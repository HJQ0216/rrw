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c048ca8a8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参数计算需求" sheetId="1" r:id="R47adf8888517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000000000"/>
  </x:numFmts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1F4E78"/>
      <x:name val="Arial"/>
    </x:font>
    <x:font>
      <x:sz val="10"/>
      <x:color rgb="FF4B5563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6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B8C2CC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6" borderId="3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horizontal="center" vertical="center"/>
    </x:xf>
    <x:xf numFmtId="0" fontId="1" fillId="4" borderId="3" xfId="0" applyNumberFormat="1" applyFont="1" applyFill="1" applyBorder="1" applyAlignment="1">
      <x:alignment horizontal="right" vertical="center"/>
    </x:xf>
    <x:xf numFmtId="0" fontId="1" fillId="5" borderId="3" xfId="0" applyNumberFormat="1" applyFont="1" applyFill="1" applyBorder="1" applyAlignment="1">
      <x:alignment horizontal="right" vertical="center"/>
    </x:xf>
    <x:xf numFmtId="0" fontId="1" fillId="4" borderId="4" xfId="0" applyNumberFormat="1" applyFont="1" applyFill="1" applyBorder="1" applyAlignment="1">
      <x:alignment horizontal="right" vertical="center"/>
    </x:xf>
    <x:xf numFmtId="0" fontId="1" fillId="5" borderId="4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horizontal="right" vertical="center"/>
    </x:xf>
    <x:xf numFmtId="0" fontId="1" fillId="5" borderId="5" xfId="0" applyNumberFormat="1" applyFont="1" applyFill="1" applyBorder="1" applyAlignment="1">
      <x:alignment horizontal="right" vertical="center"/>
    </x:xf>
    <x:xf numFmtId="0" fontId="1" fillId="5" borderId="3" xfId="0" applyNumberFormat="1" applyFont="1" applyFill="1" applyBorder="1" applyAlignment="1">
      <x:alignment horizontal="center" vertical="center"/>
    </x:xf>
    <x:xf numFmtId="0" fontId="1" fillId="5" borderId="4" xfId="0" applyNumberFormat="1" applyFont="1" applyFill="1" applyBorder="1" applyAlignment="1">
      <x:alignment horizontal="center" vertical="center"/>
    </x:xf>
    <x:xf numFmtId="0" fontId="1" fillId="5" borderId="5" xfId="0" applyNumberFormat="1" applyFont="1" applyFill="1" applyBorder="1" applyAlignment="1">
      <x:alignment horizontal="center" vertical="center"/>
    </x:xf>
    <x:xf numFmtId="200" fontId="1" fillId="3" borderId="3" xfId="0" applyNumberFormat="1" applyFont="1" applyFill="1" applyBorder="1" applyAlignment="1">
      <x:alignment horizontal="center" vertical="center"/>
    </x:xf>
    <x:xf numFmtId="200" fontId="1" fillId="3" borderId="4" xfId="0" applyNumberFormat="1" applyFont="1" applyFill="1" applyBorder="1" applyAlignment="1">
      <x:alignment horizontal="center" vertical="center"/>
    </x:xf>
    <x:xf numFmtId="200" fontId="1" fillId="3" borderId="5" xfId="0" applyNumberFormat="1" applyFont="1" applyFill="1" applyBorder="1" applyAlignment="1">
      <x:alignment horizontal="center" vertical="center"/>
    </x:xf>
    <x:xf numFmtId="201" fontId="1" fillId="4" borderId="3" xfId="0" applyNumberFormat="1" applyFont="1" applyFill="1" applyBorder="1" applyAlignment="1">
      <x:alignment horizontal="right" vertical="center"/>
    </x:xf>
    <x:xf numFmtId="201" fontId="1" fillId="5" borderId="3" xfId="0" applyNumberFormat="1" applyFont="1" applyFill="1" applyBorder="1" applyAlignment="1">
      <x:alignment horizontal="right" vertical="center"/>
    </x:xf>
    <x:xf numFmtId="201" fontId="1" fillId="4" borderId="4" xfId="0" applyNumberFormat="1" applyFont="1" applyFill="1" applyBorder="1" applyAlignment="1">
      <x:alignment horizontal="right" vertical="center"/>
    </x:xf>
    <x:xf numFmtId="201" fontId="1" fillId="5" borderId="4" xfId="0" applyNumberFormat="1" applyFont="1" applyFill="1" applyBorder="1" applyAlignment="1">
      <x:alignment horizontal="right" vertical="center"/>
    </x:xf>
    <x:xf numFmtId="201" fontId="1" fillId="4" borderId="5" xfId="0" applyNumberFormat="1" applyFont="1" applyFill="1" applyBorder="1" applyAlignment="1">
      <x:alignment horizontal="right" vertical="center"/>
    </x:xf>
    <x:xf numFmtId="201" fontId="1" fillId="5" borderId="5" xfId="0" applyNumberFormat="1" applyFont="1" applyFill="1" applyBorder="1" applyAlignment="1">
      <x:alignment horizontal="right" vertical="center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1" fillId="6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71e4869c845ac" /><Relationship Type="http://schemas.openxmlformats.org/officeDocument/2006/relationships/theme" Target="/xl/theme/theme1.xml" Id="R120ff0443f094c99" /><Relationship Type="http://schemas.openxmlformats.org/officeDocument/2006/relationships/sharedStrings" Target="/xl/sharedStrings.xml" Id="R9a53f14d54194349" /><Relationship Type="http://schemas.openxmlformats.org/officeDocument/2006/relationships/worksheet" Target="/xl/worksheets/sheet1.xml" Id="R47adf88885174b83" /></Relationships>
</file>

<file path=xl/tables/table1.xml><?xml version="1.0" encoding="utf-8"?>
<x:table xmlns:x="http://schemas.openxmlformats.org/spreadsheetml/2006/main" id="1" name="SingleParameterRequests" displayName="SingleParameterRequests" ref="A7:R33" headerRowCount="1" totalsRowCount="0" totalsRowShown="0">
  <x:tableColumns count="18">
    <x:tableColumn id="1" name="单参数项目"/>
    <x:tableColumn id="2" name="变化参数取值"/>
    <x:tableColumn id="3" name="构件总数 n"/>
    <x:tableColumn id="4" name="潜在脆性构件数 n1"/>
    <x:tableColumn id="5" name="可靠指标 β"/>
    <x:tableColumn id="6" name="相关系数 ρ"/>
    <x:tableColumn id="7" name="脆性发生概率 Pbi"/>
    <x:tableColumn id="8" name="K_RLP"/>
    <x:tableColumn id="9" name="目标构件"/>
    <x:tableColumn id="10" name="Pf(S) 下界"/>
    <x:tableColumn id="11" name="Pf(S) 上界"/>
    <x:tableColumn id="12" name="Pf(S_i+) 下界"/>
    <x:tableColumn id="13" name="Pf(S_i+) 上界"/>
    <x:tableColumn id="14" name="RRW 下界"/>
    <x:tableColumn id="15" name="RRW 上界"/>
    <x:tableColumn id="16" name="RRW 区间中点"/>
    <x:tableColumn id="17" name="返回状态"/>
    <x:tableColumn id="18" name="参数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953ce433cd47f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17" hidden="0" customWidth="1"/>
    <x:col min="5" max="5" width="12" hidden="0" customWidth="1"/>
    <x:col min="6" max="6" width="12" hidden="0" customWidth="1"/>
    <x:col min="7" max="7" width="18" hidden="0" customWidth="1"/>
    <x:col min="8" max="8" width="10" hidden="0" customWidth="1"/>
    <x:col min="9" max="9" width="28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15" hidden="0" customWidth="1"/>
    <x:col min="15" max="15" width="15" hidden="0" customWidth="1"/>
    <x:col min="16" max="16" width="18" hidden="0" customWidth="1"/>
    <x:col min="17" max="17" width="13" hidden="0" customWidth="1"/>
    <x:col min="18" max="18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3" t="str">
        <x:v>串联系统RRW单参数计算需求表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2" customHeight="1">
      <x:c r="A4" s="5" t="str">
        <x:v>计算口径：Pbi=0.2，K_RLP=3；目标构件i保留在系统中并设为完全可靠。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 ht="22" customHeight="1">
      <x:c r="A5" s="5" t="str">
        <x:v>返回要求：填写Pf(S)与Pf(S_i+)上下界，保留10～12位有效数字。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22" customHeight="1">
      <x:c r="A6" s="5" t="str">
        <x:v>参数依据：吴仁彬硕士论文第2.3.1节及当前已确认复现网格。黄色列填写返回概率，绿色列自动计算RRW。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 ht="44" customHeight="1">
      <x:c r="A7" s="10" t="str">
        <x:v>单参数项目</x:v>
      </x:c>
      <x:c r="B7" s="10" t="str">
        <x:v>变化参数取值</x:v>
      </x:c>
      <x:c r="C7" s="10" t="str">
        <x:v>构件总数 n</x:v>
      </x:c>
      <x:c r="D7" s="10" t="str">
        <x:v>潜在脆性构件数 n1</x:v>
      </x:c>
      <x:c r="E7" s="10" t="str">
        <x:v>可靠指标 β</x:v>
      </x:c>
      <x:c r="F7" s="10" t="str">
        <x:v>相关系数 ρ</x:v>
      </x:c>
      <x:c r="G7" s="10" t="str">
        <x:v>脆性发生概率 Pbi</x:v>
      </x:c>
      <x:c r="H7" s="10" t="str">
        <x:v>K_RLP</x:v>
      </x:c>
      <x:c r="I7" s="10" t="str">
        <x:v>目标构件</x:v>
      </x:c>
      <x:c r="J7" s="10" t="str">
        <x:v>Pf(S) 下界</x:v>
      </x:c>
      <x:c r="K7" s="10" t="str">
        <x:v>Pf(S) 上界</x:v>
      </x:c>
      <x:c r="L7" s="10" t="str">
        <x:v>Pf(S_i+) 下界</x:v>
      </x:c>
      <x:c r="M7" s="10" t="str">
        <x:v>Pf(S_i+) 上界</x:v>
      </x:c>
      <x:c r="N7" s="10" t="str">
        <x:v>RRW 下界</x:v>
      </x:c>
      <x:c r="O7" s="10" t="str">
        <x:v>RRW 上界</x:v>
      </x:c>
      <x:c r="P7" s="10" t="str">
        <x:v>RRW 区间中点</x:v>
      </x:c>
      <x:c r="Q7" s="10" t="str">
        <x:v>返回状态</x:v>
      </x:c>
      <x:c r="R7" s="10" t="str">
        <x:v>参数说明</x:v>
      </x:c>
    </x:row>
    <x:row r="8" ht="27" customHeight="1">
      <x:c r="A8" s="26" t="str">
        <x:v>相关系数ρ</x:v>
      </x:c>
      <x:c r="B8" s="26" t="n">
        <x:v>0.1</x:v>
      </x:c>
      <x:c r="C8" s="26" t="n">
        <x:v>8</x:v>
      </x:c>
      <x:c r="D8" s="26" t="n">
        <x:v>1</x:v>
      </x:c>
      <x:c r="E8" s="38" t="n">
        <x:v>3</x:v>
      </x:c>
      <x:c r="F8" s="38" t="n">
        <x:v>0.1</x:v>
      </x:c>
      <x:c r="G8" s="38" t="n">
        <x:v>0.2</x:v>
      </x:c>
      <x:c r="H8" s="26" t="n">
        <x:v>3</x:v>
      </x:c>
      <x:c r="I8" s="47" t="str">
        <x:v>唯一潜在脆性构件i</x:v>
      </x:c>
      <x:c r="J8" s="41"/>
      <x:c r="K8" s="41"/>
      <x:c r="L8" s="41"/>
      <x:c r="M8" s="41"/>
      <x:c r="N8" s="42" t="str">
        <x:f>IF(OR(J8="",M8="",M8=0),"",J8/M8)</x:f>
      </x:c>
      <x:c r="O8" s="42" t="str">
        <x:f>IF(OR(K8="",L8="",L8=0),"",K8/L8)</x:f>
      </x:c>
      <x:c r="P8" s="42" t="str">
        <x:f>IF(OR(N8="",O8=""),"",AVERAGE(N8:O8))</x:f>
      </x:c>
      <x:c r="Q8" s="35" t="str">
        <x:f>IF(COUNTA(J8:M8)=0,"待返回",IF(COUNTA(J8:M8)&lt;4,"待补充",IF(OR(L8=0,M8=0),"检查分母","已返回")))</x:f>
        <x:v>待返回</x:v>
      </x:c>
      <x:c r="R8" s="50" t="str">
        <x:v>固定n=8、n1=1、β=3.0、Pbi=0.2；对应论文图2.6</x:v>
      </x:c>
    </x:row>
    <x:row r="9" ht="27" customHeight="1">
      <x:c r="A9" s="27" t="str">
        <x:v>相关系数ρ</x:v>
      </x:c>
      <x:c r="B9" s="27" t="n">
        <x:v>0.3</x:v>
      </x:c>
      <x:c r="C9" s="27" t="n">
        <x:v>8</x:v>
      </x:c>
      <x:c r="D9" s="27" t="n">
        <x:v>1</x:v>
      </x:c>
      <x:c r="E9" s="39" t="n">
        <x:v>3</x:v>
      </x:c>
      <x:c r="F9" s="39" t="n">
        <x:v>0.3</x:v>
      </x:c>
      <x:c r="G9" s="39" t="n">
        <x:v>0.2</x:v>
      </x:c>
      <x:c r="H9" s="27" t="n">
        <x:v>3</x:v>
      </x:c>
      <x:c r="I9" s="48" t="str">
        <x:v>唯一潜在脆性构件i</x:v>
      </x:c>
      <x:c r="J9" s="43"/>
      <x:c r="K9" s="43"/>
      <x:c r="L9" s="43"/>
      <x:c r="M9" s="43"/>
      <x:c r="N9" s="44" t="str">
        <x:f>IF(OR(J9="",M9="",M9=0),"",J9/M9)</x:f>
      </x:c>
      <x:c r="O9" s="44" t="str">
        <x:f>IF(OR(K9="",L9="",L9=0),"",K9/L9)</x:f>
      </x:c>
      <x:c r="P9" s="44" t="str">
        <x:f>IF(OR(N9="",O9=""),"",AVERAGE(N9:O9))</x:f>
      </x:c>
      <x:c r="Q9" s="36" t="str">
        <x:f>IF(COUNTA(J9:M9)=0,"待返回",IF(COUNTA(J9:M9)&lt;4,"待补充",IF(OR(L9=0,M9=0),"检查分母","已返回")))</x:f>
        <x:v>待返回</x:v>
      </x:c>
      <x:c r="R9" s="51" t="str">
        <x:v>固定n=8、n1=1、β=3.0、Pbi=0.2；对应论文图2.6</x:v>
      </x:c>
    </x:row>
    <x:row r="10" ht="27" customHeight="1">
      <x:c r="A10" s="27" t="str">
        <x:v>相关系数ρ</x:v>
      </x:c>
      <x:c r="B10" s="27" t="n">
        <x:v>0.5</x:v>
      </x:c>
      <x:c r="C10" s="27" t="n">
        <x:v>8</x:v>
      </x:c>
      <x:c r="D10" s="27" t="n">
        <x:v>1</x:v>
      </x:c>
      <x:c r="E10" s="39" t="n">
        <x:v>3</x:v>
      </x:c>
      <x:c r="F10" s="39" t="n">
        <x:v>0.5</x:v>
      </x:c>
      <x:c r="G10" s="39" t="n">
        <x:v>0.2</x:v>
      </x:c>
      <x:c r="H10" s="27" t="n">
        <x:v>3</x:v>
      </x:c>
      <x:c r="I10" s="48" t="str">
        <x:v>唯一潜在脆性构件i</x:v>
      </x:c>
      <x:c r="J10" s="43"/>
      <x:c r="K10" s="43"/>
      <x:c r="L10" s="43"/>
      <x:c r="M10" s="43"/>
      <x:c r="N10" s="44" t="str">
        <x:f>IF(OR(J10="",M10="",M10=0),"",J10/M10)</x:f>
      </x:c>
      <x:c r="O10" s="44" t="str">
        <x:f>IF(OR(K10="",L10="",L10=0),"",K10/L10)</x:f>
      </x:c>
      <x:c r="P10" s="44" t="str">
        <x:f>IF(OR(N10="",O10=""),"",AVERAGE(N10:O10))</x:f>
      </x:c>
      <x:c r="Q10" s="36" t="str">
        <x:f>IF(COUNTA(J10:M10)=0,"待返回",IF(COUNTA(J10:M10)&lt;4,"待补充",IF(OR(L10=0,M10=0),"检查分母","已返回")))</x:f>
        <x:v>待返回</x:v>
      </x:c>
      <x:c r="R10" s="51" t="str">
        <x:v>固定n=8、n1=1、β=3.0、Pbi=0.2；对应论文图2.6</x:v>
      </x:c>
    </x:row>
    <x:row r="11" ht="27" customHeight="1">
      <x:c r="A11" s="27" t="str">
        <x:v>相关系数ρ</x:v>
      </x:c>
      <x:c r="B11" s="27" t="n">
        <x:v>0.7</x:v>
      </x:c>
      <x:c r="C11" s="27" t="n">
        <x:v>8</x:v>
      </x:c>
      <x:c r="D11" s="27" t="n">
        <x:v>1</x:v>
      </x:c>
      <x:c r="E11" s="39" t="n">
        <x:v>3</x:v>
      </x:c>
      <x:c r="F11" s="39" t="n">
        <x:v>0.7</x:v>
      </x:c>
      <x:c r="G11" s="39" t="n">
        <x:v>0.2</x:v>
      </x:c>
      <x:c r="H11" s="27" t="n">
        <x:v>3</x:v>
      </x:c>
      <x:c r="I11" s="48" t="str">
        <x:v>唯一潜在脆性构件i</x:v>
      </x:c>
      <x:c r="J11" s="43"/>
      <x:c r="K11" s="43"/>
      <x:c r="L11" s="43"/>
      <x:c r="M11" s="43"/>
      <x:c r="N11" s="44" t="str">
        <x:f>IF(OR(J11="",M11="",M11=0),"",J11/M11)</x:f>
      </x:c>
      <x:c r="O11" s="44" t="str">
        <x:f>IF(OR(K11="",L11="",L11=0),"",K11/L11)</x:f>
      </x:c>
      <x:c r="P11" s="44" t="str">
        <x:f>IF(OR(N11="",O11=""),"",AVERAGE(N11:O11))</x:f>
      </x:c>
      <x:c r="Q11" s="36" t="str">
        <x:f>IF(COUNTA(J11:M11)=0,"待返回",IF(COUNTA(J11:M11)&lt;4,"待补充",IF(OR(L11=0,M11=0),"检查分母","已返回")))</x:f>
        <x:v>待返回</x:v>
      </x:c>
      <x:c r="R11" s="51" t="str">
        <x:v>固定n=8、n1=1、β=3.0、Pbi=0.2；对应论文图2.6</x:v>
      </x:c>
    </x:row>
    <x:row r="12" ht="27" customHeight="1">
      <x:c r="A12" s="27" t="str">
        <x:v>相关系数ρ</x:v>
      </x:c>
      <x:c r="B12" s="27" t="n">
        <x:v>0.9</x:v>
      </x:c>
      <x:c r="C12" s="27" t="n">
        <x:v>8</x:v>
      </x:c>
      <x:c r="D12" s="27" t="n">
        <x:v>1</x:v>
      </x:c>
      <x:c r="E12" s="39" t="n">
        <x:v>3</x:v>
      </x:c>
      <x:c r="F12" s="39" t="n">
        <x:v>0.9</x:v>
      </x:c>
      <x:c r="G12" s="39" t="n">
        <x:v>0.2</x:v>
      </x:c>
      <x:c r="H12" s="27" t="n">
        <x:v>3</x:v>
      </x:c>
      <x:c r="I12" s="48" t="str">
        <x:v>唯一潜在脆性构件i</x:v>
      </x:c>
      <x:c r="J12" s="43"/>
      <x:c r="K12" s="43"/>
      <x:c r="L12" s="43"/>
      <x:c r="M12" s="43"/>
      <x:c r="N12" s="44" t="str">
        <x:f>IF(OR(J12="",M12="",M12=0),"",J12/M12)</x:f>
      </x:c>
      <x:c r="O12" s="44" t="str">
        <x:f>IF(OR(K12="",L12="",L12=0),"",K12/L12)</x:f>
      </x:c>
      <x:c r="P12" s="44" t="str">
        <x:f>IF(OR(N12="",O12=""),"",AVERAGE(N12:O12))</x:f>
      </x:c>
      <x:c r="Q12" s="36" t="str">
        <x:f>IF(COUNTA(J12:M12)=0,"待返回",IF(COUNTA(J12:M12)&lt;4,"待补充",IF(OR(L12=0,M12=0),"检查分母","已返回")))</x:f>
        <x:v>待返回</x:v>
      </x:c>
      <x:c r="R12" s="51" t="str">
        <x:v>固定n=8、n1=1、β=3.0、Pbi=0.2；对应论文图2.6</x:v>
      </x:c>
    </x:row>
    <x:row r="13" ht="27" customHeight="1">
      <x:c r="A13" s="27" t="str">
        <x:v>构件总数n</x:v>
      </x:c>
      <x:c r="B13" s="27" t="n">
        <x:v>8</x:v>
      </x:c>
      <x:c r="C13" s="27" t="n">
        <x:v>8</x:v>
      </x:c>
      <x:c r="D13" s="27" t="n">
        <x:v>1</x:v>
      </x:c>
      <x:c r="E13" s="39" t="n">
        <x:v>3</x:v>
      </x:c>
      <x:c r="F13" s="39" t="n">
        <x:v>0.1</x:v>
      </x:c>
      <x:c r="G13" s="39" t="n">
        <x:v>0.2</x:v>
      </x:c>
      <x:c r="H13" s="27" t="n">
        <x:v>3</x:v>
      </x:c>
      <x:c r="I13" s="48" t="str">
        <x:v>唯一潜在脆性构件i</x:v>
      </x:c>
      <x:c r="J13" s="43"/>
      <x:c r="K13" s="43"/>
      <x:c r="L13" s="43"/>
      <x:c r="M13" s="43"/>
      <x:c r="N13" s="44" t="str">
        <x:f>IF(OR(J13="",M13="",M13=0),"",J13/M13)</x:f>
      </x:c>
      <x:c r="O13" s="44" t="str">
        <x:f>IF(OR(K13="",L13="",L13=0),"",K13/L13)</x:f>
      </x:c>
      <x:c r="P13" s="44" t="str">
        <x:f>IF(OR(N13="",O13=""),"",AVERAGE(N13:O13))</x:f>
      </x:c>
      <x:c r="Q13" s="36" t="str">
        <x:f>IF(COUNTA(J13:M13)=0,"待返回",IF(COUNTA(J13:M13)&lt;4,"待补充",IF(OR(L13=0,M13=0),"检查分母","已返回")))</x:f>
        <x:v>待返回</x:v>
      </x:c>
      <x:c r="R13" s="51" t="str">
        <x:v>固定n1=1、β=3.0、ρ=0.1、Pbi=0.2；对应论文图2.7</x:v>
      </x:c>
    </x:row>
    <x:row r="14" ht="27" customHeight="1">
      <x:c r="A14" s="27" t="str">
        <x:v>构件总数n</x:v>
      </x:c>
      <x:c r="B14" s="27" t="n">
        <x:v>12</x:v>
      </x:c>
      <x:c r="C14" s="27" t="n">
        <x:v>12</x:v>
      </x:c>
      <x:c r="D14" s="27" t="n">
        <x:v>1</x:v>
      </x:c>
      <x:c r="E14" s="39" t="n">
        <x:v>3</x:v>
      </x:c>
      <x:c r="F14" s="39" t="n">
        <x:v>0.1</x:v>
      </x:c>
      <x:c r="G14" s="39" t="n">
        <x:v>0.2</x:v>
      </x:c>
      <x:c r="H14" s="27" t="n">
        <x:v>3</x:v>
      </x:c>
      <x:c r="I14" s="48" t="str">
        <x:v>唯一潜在脆性构件i</x:v>
      </x:c>
      <x:c r="J14" s="43"/>
      <x:c r="K14" s="43"/>
      <x:c r="L14" s="43"/>
      <x:c r="M14" s="43"/>
      <x:c r="N14" s="44" t="str">
        <x:f>IF(OR(J14="",M14="",M14=0),"",J14/M14)</x:f>
      </x:c>
      <x:c r="O14" s="44" t="str">
        <x:f>IF(OR(K14="",L14="",L14=0),"",K14/L14)</x:f>
      </x:c>
      <x:c r="P14" s="44" t="str">
        <x:f>IF(OR(N14="",O14=""),"",AVERAGE(N14:O14))</x:f>
      </x:c>
      <x:c r="Q14" s="36" t="str">
        <x:f>IF(COUNTA(J14:M14)=0,"待返回",IF(COUNTA(J14:M14)&lt;4,"待补充",IF(OR(L14=0,M14=0),"检查分母","已返回")))</x:f>
        <x:v>待返回</x:v>
      </x:c>
      <x:c r="R14" s="51" t="str">
        <x:v>固定n1=1、β=3.0、ρ=0.1、Pbi=0.2；对应论文图2.7</x:v>
      </x:c>
    </x:row>
    <x:row r="15" ht="27" customHeight="1">
      <x:c r="A15" s="27" t="str">
        <x:v>构件总数n</x:v>
      </x:c>
      <x:c r="B15" s="27" t="n">
        <x:v>16</x:v>
      </x:c>
      <x:c r="C15" s="27" t="n">
        <x:v>16</x:v>
      </x:c>
      <x:c r="D15" s="27" t="n">
        <x:v>1</x:v>
      </x:c>
      <x:c r="E15" s="39" t="n">
        <x:v>3</x:v>
      </x:c>
      <x:c r="F15" s="39" t="n">
        <x:v>0.1</x:v>
      </x:c>
      <x:c r="G15" s="39" t="n">
        <x:v>0.2</x:v>
      </x:c>
      <x:c r="H15" s="27" t="n">
        <x:v>3</x:v>
      </x:c>
      <x:c r="I15" s="48" t="str">
        <x:v>唯一潜在脆性构件i</x:v>
      </x:c>
      <x:c r="J15" s="43"/>
      <x:c r="K15" s="43"/>
      <x:c r="L15" s="43"/>
      <x:c r="M15" s="43"/>
      <x:c r="N15" s="44" t="str">
        <x:f>IF(OR(J15="",M15="",M15=0),"",J15/M15)</x:f>
      </x:c>
      <x:c r="O15" s="44" t="str">
        <x:f>IF(OR(K15="",L15="",L15=0),"",K15/L15)</x:f>
      </x:c>
      <x:c r="P15" s="44" t="str">
        <x:f>IF(OR(N15="",O15=""),"",AVERAGE(N15:O15))</x:f>
      </x:c>
      <x:c r="Q15" s="36" t="str">
        <x:f>IF(COUNTA(J15:M15)=0,"待返回",IF(COUNTA(J15:M15)&lt;4,"待补充",IF(OR(L15=0,M15=0),"检查分母","已返回")))</x:f>
        <x:v>待返回</x:v>
      </x:c>
      <x:c r="R15" s="51" t="str">
        <x:v>固定n1=1、β=3.0、ρ=0.1、Pbi=0.2；对应论文图2.7</x:v>
      </x:c>
    </x:row>
    <x:row r="16" ht="27" customHeight="1">
      <x:c r="A16" s="27" t="str">
        <x:v>构件总数n</x:v>
      </x:c>
      <x:c r="B16" s="27" t="n">
        <x:v>20</x:v>
      </x:c>
      <x:c r="C16" s="27" t="n">
        <x:v>20</x:v>
      </x:c>
      <x:c r="D16" s="27" t="n">
        <x:v>1</x:v>
      </x:c>
      <x:c r="E16" s="39" t="n">
        <x:v>3</x:v>
      </x:c>
      <x:c r="F16" s="39" t="n">
        <x:v>0.1</x:v>
      </x:c>
      <x:c r="G16" s="39" t="n">
        <x:v>0.2</x:v>
      </x:c>
      <x:c r="H16" s="27" t="n">
        <x:v>3</x:v>
      </x:c>
      <x:c r="I16" s="48" t="str">
        <x:v>唯一潜在脆性构件i</x:v>
      </x:c>
      <x:c r="J16" s="43"/>
      <x:c r="K16" s="43"/>
      <x:c r="L16" s="43"/>
      <x:c r="M16" s="43"/>
      <x:c r="N16" s="44" t="str">
        <x:f>IF(OR(J16="",M16="",M16=0),"",J16/M16)</x:f>
      </x:c>
      <x:c r="O16" s="44" t="str">
        <x:f>IF(OR(K16="",L16="",L16=0),"",K16/L16)</x:f>
      </x:c>
      <x:c r="P16" s="44" t="str">
        <x:f>IF(OR(N16="",O16=""),"",AVERAGE(N16:O16))</x:f>
      </x:c>
      <x:c r="Q16" s="36" t="str">
        <x:f>IF(COUNTA(J16:M16)=0,"待返回",IF(COUNTA(J16:M16)&lt;4,"待补充",IF(OR(L16=0,M16=0),"检查分母","已返回")))</x:f>
        <x:v>待返回</x:v>
      </x:c>
      <x:c r="R16" s="51" t="str">
        <x:v>固定n1=1、β=3.0、ρ=0.1、Pbi=0.2；对应论文图2.7</x:v>
      </x:c>
    </x:row>
    <x:row r="17" ht="27" customHeight="1">
      <x:c r="A17" s="27" t="str">
        <x:v>构件总数n</x:v>
      </x:c>
      <x:c r="B17" s="27" t="n">
        <x:v>24</x:v>
      </x:c>
      <x:c r="C17" s="27" t="n">
        <x:v>24</x:v>
      </x:c>
      <x:c r="D17" s="27" t="n">
        <x:v>1</x:v>
      </x:c>
      <x:c r="E17" s="39" t="n">
        <x:v>3</x:v>
      </x:c>
      <x:c r="F17" s="39" t="n">
        <x:v>0.1</x:v>
      </x:c>
      <x:c r="G17" s="39" t="n">
        <x:v>0.2</x:v>
      </x:c>
      <x:c r="H17" s="27" t="n">
        <x:v>3</x:v>
      </x:c>
      <x:c r="I17" s="48" t="str">
        <x:v>唯一潜在脆性构件i</x:v>
      </x:c>
      <x:c r="J17" s="43"/>
      <x:c r="K17" s="43"/>
      <x:c r="L17" s="43"/>
      <x:c r="M17" s="43"/>
      <x:c r="N17" s="44" t="str">
        <x:f>IF(OR(J17="",M17="",M17=0),"",J17/M17)</x:f>
      </x:c>
      <x:c r="O17" s="44" t="str">
        <x:f>IF(OR(K17="",L17="",L17=0),"",K17/L17)</x:f>
      </x:c>
      <x:c r="P17" s="44" t="str">
        <x:f>IF(OR(N17="",O17=""),"",AVERAGE(N17:O17))</x:f>
      </x:c>
      <x:c r="Q17" s="36" t="str">
        <x:f>IF(COUNTA(J17:M17)=0,"待返回",IF(COUNTA(J17:M17)&lt;4,"待补充",IF(OR(L17=0,M17=0),"检查分母","已返回")))</x:f>
        <x:v>待返回</x:v>
      </x:c>
      <x:c r="R17" s="51" t="str">
        <x:v>固定n1=1、β=3.0、ρ=0.1、Pbi=0.2；对应论文图2.7</x:v>
      </x:c>
    </x:row>
    <x:row r="18" ht="27" customHeight="1">
      <x:c r="A18" s="27" t="str">
        <x:v>构件总数n</x:v>
      </x:c>
      <x:c r="B18" s="27" t="n">
        <x:v>28</x:v>
      </x:c>
      <x:c r="C18" s="27" t="n">
        <x:v>28</x:v>
      </x:c>
      <x:c r="D18" s="27" t="n">
        <x:v>1</x:v>
      </x:c>
      <x:c r="E18" s="39" t="n">
        <x:v>3</x:v>
      </x:c>
      <x:c r="F18" s="39" t="n">
        <x:v>0.1</x:v>
      </x:c>
      <x:c r="G18" s="39" t="n">
        <x:v>0.2</x:v>
      </x:c>
      <x:c r="H18" s="27" t="n">
        <x:v>3</x:v>
      </x:c>
      <x:c r="I18" s="48" t="str">
        <x:v>唯一潜在脆性构件i</x:v>
      </x:c>
      <x:c r="J18" s="43"/>
      <x:c r="K18" s="43"/>
      <x:c r="L18" s="43"/>
      <x:c r="M18" s="43"/>
      <x:c r="N18" s="44" t="str">
        <x:f>IF(OR(J18="",M18="",M18=0),"",J18/M18)</x:f>
      </x:c>
      <x:c r="O18" s="44" t="str">
        <x:f>IF(OR(K18="",L18="",L18=0),"",K18/L18)</x:f>
      </x:c>
      <x:c r="P18" s="44" t="str">
        <x:f>IF(OR(N18="",O18=""),"",AVERAGE(N18:O18))</x:f>
      </x:c>
      <x:c r="Q18" s="36" t="str">
        <x:f>IF(COUNTA(J18:M18)=0,"待返回",IF(COUNTA(J18:M18)&lt;4,"待补充",IF(OR(L18=0,M18=0),"检查分母","已返回")))</x:f>
        <x:v>待返回</x:v>
      </x:c>
      <x:c r="R18" s="51" t="str">
        <x:v>固定n1=1、β=3.0、ρ=0.1、Pbi=0.2；对应论文图2.7</x:v>
      </x:c>
    </x:row>
    <x:row r="19" ht="27" customHeight="1">
      <x:c r="A19" s="27" t="str">
        <x:v>构件总数n</x:v>
      </x:c>
      <x:c r="B19" s="27" t="n">
        <x:v>32</x:v>
      </x:c>
      <x:c r="C19" s="27" t="n">
        <x:v>32</x:v>
      </x:c>
      <x:c r="D19" s="27" t="n">
        <x:v>1</x:v>
      </x:c>
      <x:c r="E19" s="39" t="n">
        <x:v>3</x:v>
      </x:c>
      <x:c r="F19" s="39" t="n">
        <x:v>0.1</x:v>
      </x:c>
      <x:c r="G19" s="39" t="n">
        <x:v>0.2</x:v>
      </x:c>
      <x:c r="H19" s="27" t="n">
        <x:v>3</x:v>
      </x:c>
      <x:c r="I19" s="48" t="str">
        <x:v>唯一潜在脆性构件i</x:v>
      </x:c>
      <x:c r="J19" s="43"/>
      <x:c r="K19" s="43"/>
      <x:c r="L19" s="43"/>
      <x:c r="M19" s="43"/>
      <x:c r="N19" s="44" t="str">
        <x:f>IF(OR(J19="",M19="",M19=0),"",J19/M19)</x:f>
      </x:c>
      <x:c r="O19" s="44" t="str">
        <x:f>IF(OR(K19="",L19="",L19=0),"",K19/L19)</x:f>
      </x:c>
      <x:c r="P19" s="44" t="str">
        <x:f>IF(OR(N19="",O19=""),"",AVERAGE(N19:O19))</x:f>
      </x:c>
      <x:c r="Q19" s="36" t="str">
        <x:f>IF(COUNTA(J19:M19)=0,"待返回",IF(COUNTA(J19:M19)&lt;4,"待补充",IF(OR(L19=0,M19=0),"检查分母","已返回")))</x:f>
        <x:v>待返回</x:v>
      </x:c>
      <x:c r="R19" s="51" t="str">
        <x:v>固定n1=1、β=3.0、ρ=0.1、Pbi=0.2；对应论文图2.7</x:v>
      </x:c>
    </x:row>
    <x:row r="20" ht="27" customHeight="1">
      <x:c r="A20" s="27" t="str">
        <x:v>构件总数n</x:v>
      </x:c>
      <x:c r="B20" s="27" t="n">
        <x:v>36</x:v>
      </x:c>
      <x:c r="C20" s="27" t="n">
        <x:v>36</x:v>
      </x:c>
      <x:c r="D20" s="27" t="n">
        <x:v>1</x:v>
      </x:c>
      <x:c r="E20" s="39" t="n">
        <x:v>3</x:v>
      </x:c>
      <x:c r="F20" s="39" t="n">
        <x:v>0.1</x:v>
      </x:c>
      <x:c r="G20" s="39" t="n">
        <x:v>0.2</x:v>
      </x:c>
      <x:c r="H20" s="27" t="n">
        <x:v>3</x:v>
      </x:c>
      <x:c r="I20" s="48" t="str">
        <x:v>唯一潜在脆性构件i</x:v>
      </x:c>
      <x:c r="J20" s="43"/>
      <x:c r="K20" s="43"/>
      <x:c r="L20" s="43"/>
      <x:c r="M20" s="43"/>
      <x:c r="N20" s="44" t="str">
        <x:f>IF(OR(J20="",M20="",M20=0),"",J20/M20)</x:f>
      </x:c>
      <x:c r="O20" s="44" t="str">
        <x:f>IF(OR(K20="",L20="",L20=0),"",K20/L20)</x:f>
      </x:c>
      <x:c r="P20" s="44" t="str">
        <x:f>IF(OR(N20="",O20=""),"",AVERAGE(N20:O20))</x:f>
      </x:c>
      <x:c r="Q20" s="36" t="str">
        <x:f>IF(COUNTA(J20:M20)=0,"待返回",IF(COUNTA(J20:M20)&lt;4,"待补充",IF(OR(L20=0,M20=0),"检查分母","已返回")))</x:f>
        <x:v>待返回</x:v>
      </x:c>
      <x:c r="R20" s="51" t="str">
        <x:v>固定n1=1、β=3.0、ρ=0.1、Pbi=0.2；对应论文图2.7</x:v>
      </x:c>
    </x:row>
    <x:row r="21" ht="27" customHeight="1">
      <x:c r="A21" s="27" t="str">
        <x:v>构件总数n</x:v>
      </x:c>
      <x:c r="B21" s="27" t="n">
        <x:v>40</x:v>
      </x:c>
      <x:c r="C21" s="27" t="n">
        <x:v>40</x:v>
      </x:c>
      <x:c r="D21" s="27" t="n">
        <x:v>1</x:v>
      </x:c>
      <x:c r="E21" s="39" t="n">
        <x:v>3</x:v>
      </x:c>
      <x:c r="F21" s="39" t="n">
        <x:v>0.1</x:v>
      </x:c>
      <x:c r="G21" s="39" t="n">
        <x:v>0.2</x:v>
      </x:c>
      <x:c r="H21" s="27" t="n">
        <x:v>3</x:v>
      </x:c>
      <x:c r="I21" s="48" t="str">
        <x:v>唯一潜在脆性构件i</x:v>
      </x:c>
      <x:c r="J21" s="43"/>
      <x:c r="K21" s="43"/>
      <x:c r="L21" s="43"/>
      <x:c r="M21" s="43"/>
      <x:c r="N21" s="44" t="str">
        <x:f>IF(OR(J21="",M21="",M21=0),"",J21/M21)</x:f>
      </x:c>
      <x:c r="O21" s="44" t="str">
        <x:f>IF(OR(K21="",L21="",L21=0),"",K21/L21)</x:f>
      </x:c>
      <x:c r="P21" s="44" t="str">
        <x:f>IF(OR(N21="",O21=""),"",AVERAGE(N21:O21))</x:f>
      </x:c>
      <x:c r="Q21" s="36" t="str">
        <x:f>IF(COUNTA(J21:M21)=0,"待返回",IF(COUNTA(J21:M21)&lt;4,"待补充",IF(OR(L21=0,M21=0),"检查分母","已返回")))</x:f>
        <x:v>待返回</x:v>
      </x:c>
      <x:c r="R21" s="51" t="str">
        <x:v>固定n1=1、β=3.0、ρ=0.1、Pbi=0.2；对应论文图2.7</x:v>
      </x:c>
    </x:row>
    <x:row r="22" ht="27" customHeight="1">
      <x:c r="A22" s="27" t="str">
        <x:v>构件总数n</x:v>
      </x:c>
      <x:c r="B22" s="27" t="n">
        <x:v>44</x:v>
      </x:c>
      <x:c r="C22" s="27" t="n">
        <x:v>44</x:v>
      </x:c>
      <x:c r="D22" s="27" t="n">
        <x:v>1</x:v>
      </x:c>
      <x:c r="E22" s="39" t="n">
        <x:v>3</x:v>
      </x:c>
      <x:c r="F22" s="39" t="n">
        <x:v>0.1</x:v>
      </x:c>
      <x:c r="G22" s="39" t="n">
        <x:v>0.2</x:v>
      </x:c>
      <x:c r="H22" s="27" t="n">
        <x:v>3</x:v>
      </x:c>
      <x:c r="I22" s="48" t="str">
        <x:v>唯一潜在脆性构件i</x:v>
      </x:c>
      <x:c r="J22" s="43"/>
      <x:c r="K22" s="43"/>
      <x:c r="L22" s="43"/>
      <x:c r="M22" s="43"/>
      <x:c r="N22" s="44" t="str">
        <x:f>IF(OR(J22="",M22="",M22=0),"",J22/M22)</x:f>
      </x:c>
      <x:c r="O22" s="44" t="str">
        <x:f>IF(OR(K22="",L22="",L22=0),"",K22/L22)</x:f>
      </x:c>
      <x:c r="P22" s="44" t="str">
        <x:f>IF(OR(N22="",O22=""),"",AVERAGE(N22:O22))</x:f>
      </x:c>
      <x:c r="Q22" s="36" t="str">
        <x:f>IF(COUNTA(J22:M22)=0,"待返回",IF(COUNTA(J22:M22)&lt;4,"待补充",IF(OR(L22=0,M22=0),"检查分母","已返回")))</x:f>
        <x:v>待返回</x:v>
      </x:c>
      <x:c r="R22" s="51" t="str">
        <x:v>固定n1=1、β=3.0、ρ=0.1、Pbi=0.2；对应论文图2.7</x:v>
      </x:c>
    </x:row>
    <x:row r="23" ht="27" customHeight="1">
      <x:c r="A23" s="27" t="str">
        <x:v>构件总数n</x:v>
      </x:c>
      <x:c r="B23" s="27" t="n">
        <x:v>48</x:v>
      </x:c>
      <x:c r="C23" s="27" t="n">
        <x:v>48</x:v>
      </x:c>
      <x:c r="D23" s="27" t="n">
        <x:v>1</x:v>
      </x:c>
      <x:c r="E23" s="39" t="n">
        <x:v>3</x:v>
      </x:c>
      <x:c r="F23" s="39" t="n">
        <x:v>0.1</x:v>
      </x:c>
      <x:c r="G23" s="39" t="n">
        <x:v>0.2</x:v>
      </x:c>
      <x:c r="H23" s="27" t="n">
        <x:v>3</x:v>
      </x:c>
      <x:c r="I23" s="48" t="str">
        <x:v>唯一潜在脆性构件i</x:v>
      </x:c>
      <x:c r="J23" s="43"/>
      <x:c r="K23" s="43"/>
      <x:c r="L23" s="43"/>
      <x:c r="M23" s="43"/>
      <x:c r="N23" s="44" t="str">
        <x:f>IF(OR(J23="",M23="",M23=0),"",J23/M23)</x:f>
      </x:c>
      <x:c r="O23" s="44" t="str">
        <x:f>IF(OR(K23="",L23="",L23=0),"",K23/L23)</x:f>
      </x:c>
      <x:c r="P23" s="44" t="str">
        <x:f>IF(OR(N23="",O23=""),"",AVERAGE(N23:O23))</x:f>
      </x:c>
      <x:c r="Q23" s="36" t="str">
        <x:f>IF(COUNTA(J23:M23)=0,"待返回",IF(COUNTA(J23:M23)&lt;4,"待补充",IF(OR(L23=0,M23=0),"检查分母","已返回")))</x:f>
        <x:v>待返回</x:v>
      </x:c>
      <x:c r="R23" s="51" t="str">
        <x:v>固定n1=1、β=3.0、ρ=0.1、Pbi=0.2；对应论文图2.7</x:v>
      </x:c>
    </x:row>
    <x:row r="24" ht="27" customHeight="1">
      <x:c r="A24" s="27" t="str">
        <x:v>可靠指标β</x:v>
      </x:c>
      <x:c r="B24" s="27" t="n">
        <x:v>3</x:v>
      </x:c>
      <x:c r="C24" s="27" t="n">
        <x:v>10</x:v>
      </x:c>
      <x:c r="D24" s="27" t="n">
        <x:v>1</x:v>
      </x:c>
      <x:c r="E24" s="39" t="n">
        <x:v>3</x:v>
      </x:c>
      <x:c r="F24" s="39" t="n">
        <x:v>0.1</x:v>
      </x:c>
      <x:c r="G24" s="39" t="n">
        <x:v>0.2</x:v>
      </x:c>
      <x:c r="H24" s="27" t="n">
        <x:v>3</x:v>
      </x:c>
      <x:c r="I24" s="48" t="str">
        <x:v>唯一潜在脆性构件i</x:v>
      </x:c>
      <x:c r="J24" s="43"/>
      <x:c r="K24" s="43"/>
      <x:c r="L24" s="43"/>
      <x:c r="M24" s="43"/>
      <x:c r="N24" s="44" t="str">
        <x:f>IF(OR(J24="",M24="",M24=0),"",J24/M24)</x:f>
      </x:c>
      <x:c r="O24" s="44" t="str">
        <x:f>IF(OR(K24="",L24="",L24=0),"",K24/L24)</x:f>
      </x:c>
      <x:c r="P24" s="44" t="str">
        <x:f>IF(OR(N24="",O24=""),"",AVERAGE(N24:O24))</x:f>
      </x:c>
      <x:c r="Q24" s="36" t="str">
        <x:f>IF(COUNTA(J24:M24)=0,"待返回",IF(COUNTA(J24:M24)&lt;4,"待补充",IF(OR(L24=0,M24=0),"检查分母","已返回")))</x:f>
        <x:v>待返回</x:v>
      </x:c>
      <x:c r="R24" s="51" t="str">
        <x:v>固定n=10、n1=1、ρ=0.1、Pbi=0.2；对应论文图2.8</x:v>
      </x:c>
    </x:row>
    <x:row r="25" ht="27" customHeight="1">
      <x:c r="A25" s="27" t="str">
        <x:v>可靠指标β</x:v>
      </x:c>
      <x:c r="B25" s="27" t="n">
        <x:v>3.1</x:v>
      </x:c>
      <x:c r="C25" s="27" t="n">
        <x:v>10</x:v>
      </x:c>
      <x:c r="D25" s="27" t="n">
        <x:v>1</x:v>
      </x:c>
      <x:c r="E25" s="39" t="n">
        <x:v>3.1</x:v>
      </x:c>
      <x:c r="F25" s="39" t="n">
        <x:v>0.1</x:v>
      </x:c>
      <x:c r="G25" s="39" t="n">
        <x:v>0.2</x:v>
      </x:c>
      <x:c r="H25" s="27" t="n">
        <x:v>3</x:v>
      </x:c>
      <x:c r="I25" s="48" t="str">
        <x:v>唯一潜在脆性构件i</x:v>
      </x:c>
      <x:c r="J25" s="43"/>
      <x:c r="K25" s="43"/>
      <x:c r="L25" s="43"/>
      <x:c r="M25" s="43"/>
      <x:c r="N25" s="44" t="str">
        <x:f>IF(OR(J25="",M25="",M25=0),"",J25/M25)</x:f>
      </x:c>
      <x:c r="O25" s="44" t="str">
        <x:f>IF(OR(K25="",L25="",L25=0),"",K25/L25)</x:f>
      </x:c>
      <x:c r="P25" s="44" t="str">
        <x:f>IF(OR(N25="",O25=""),"",AVERAGE(N25:O25))</x:f>
      </x:c>
      <x:c r="Q25" s="36" t="str">
        <x:f>IF(COUNTA(J25:M25)=0,"待返回",IF(COUNTA(J25:M25)&lt;4,"待补充",IF(OR(L25=0,M25=0),"检查分母","已返回")))</x:f>
        <x:v>待返回</x:v>
      </x:c>
      <x:c r="R25" s="51" t="str">
        <x:v>固定n=10、n1=1、ρ=0.1、Pbi=0.2；对应论文图2.8</x:v>
      </x:c>
    </x:row>
    <x:row r="26" ht="27" customHeight="1">
      <x:c r="A26" s="27" t="str">
        <x:v>可靠指标β</x:v>
      </x:c>
      <x:c r="B26" s="27" t="n">
        <x:v>3.2</x:v>
      </x:c>
      <x:c r="C26" s="27" t="n">
        <x:v>10</x:v>
      </x:c>
      <x:c r="D26" s="27" t="n">
        <x:v>1</x:v>
      </x:c>
      <x:c r="E26" s="39" t="n">
        <x:v>3.2</x:v>
      </x:c>
      <x:c r="F26" s="39" t="n">
        <x:v>0.1</x:v>
      </x:c>
      <x:c r="G26" s="39" t="n">
        <x:v>0.2</x:v>
      </x:c>
      <x:c r="H26" s="27" t="n">
        <x:v>3</x:v>
      </x:c>
      <x:c r="I26" s="48" t="str">
        <x:v>唯一潜在脆性构件i</x:v>
      </x:c>
      <x:c r="J26" s="43"/>
      <x:c r="K26" s="43"/>
      <x:c r="L26" s="43"/>
      <x:c r="M26" s="43"/>
      <x:c r="N26" s="44" t="str">
        <x:f>IF(OR(J26="",M26="",M26=0),"",J26/M26)</x:f>
      </x:c>
      <x:c r="O26" s="44" t="str">
        <x:f>IF(OR(K26="",L26="",L26=0),"",K26/L26)</x:f>
      </x:c>
      <x:c r="P26" s="44" t="str">
        <x:f>IF(OR(N26="",O26=""),"",AVERAGE(N26:O26))</x:f>
      </x:c>
      <x:c r="Q26" s="36" t="str">
        <x:f>IF(COUNTA(J26:M26)=0,"待返回",IF(COUNTA(J26:M26)&lt;4,"待补充",IF(OR(L26=0,M26=0),"检查分母","已返回")))</x:f>
        <x:v>待返回</x:v>
      </x:c>
      <x:c r="R26" s="51" t="str">
        <x:v>固定n=10、n1=1、ρ=0.1、Pbi=0.2；对应论文图2.8</x:v>
      </x:c>
    </x:row>
    <x:row r="27" ht="27" customHeight="1">
      <x:c r="A27" s="27" t="str">
        <x:v>可靠指标β</x:v>
      </x:c>
      <x:c r="B27" s="27" t="n">
        <x:v>3.3</x:v>
      </x:c>
      <x:c r="C27" s="27" t="n">
        <x:v>10</x:v>
      </x:c>
      <x:c r="D27" s="27" t="n">
        <x:v>1</x:v>
      </x:c>
      <x:c r="E27" s="39" t="n">
        <x:v>3.3</x:v>
      </x:c>
      <x:c r="F27" s="39" t="n">
        <x:v>0.1</x:v>
      </x:c>
      <x:c r="G27" s="39" t="n">
        <x:v>0.2</x:v>
      </x:c>
      <x:c r="H27" s="27" t="n">
        <x:v>3</x:v>
      </x:c>
      <x:c r="I27" s="48" t="str">
        <x:v>唯一潜在脆性构件i</x:v>
      </x:c>
      <x:c r="J27" s="43"/>
      <x:c r="K27" s="43"/>
      <x:c r="L27" s="43"/>
      <x:c r="M27" s="43"/>
      <x:c r="N27" s="44" t="str">
        <x:f>IF(OR(J27="",M27="",M27=0),"",J27/M27)</x:f>
      </x:c>
      <x:c r="O27" s="44" t="str">
        <x:f>IF(OR(K27="",L27="",L27=0),"",K27/L27)</x:f>
      </x:c>
      <x:c r="P27" s="44" t="str">
        <x:f>IF(OR(N27="",O27=""),"",AVERAGE(N27:O27))</x:f>
      </x:c>
      <x:c r="Q27" s="36" t="str">
        <x:f>IF(COUNTA(J27:M27)=0,"待返回",IF(COUNTA(J27:M27)&lt;4,"待补充",IF(OR(L27=0,M27=0),"检查分母","已返回")))</x:f>
        <x:v>待返回</x:v>
      </x:c>
      <x:c r="R27" s="51" t="str">
        <x:v>固定n=10、n1=1、ρ=0.1、Pbi=0.2；对应论文图2.8</x:v>
      </x:c>
    </x:row>
    <x:row r="28" ht="27" customHeight="1">
      <x:c r="A28" s="27" t="str">
        <x:v>可靠指标β</x:v>
      </x:c>
      <x:c r="B28" s="27" t="n">
        <x:v>3.4</x:v>
      </x:c>
      <x:c r="C28" s="27" t="n">
        <x:v>10</x:v>
      </x:c>
      <x:c r="D28" s="27" t="n">
        <x:v>1</x:v>
      </x:c>
      <x:c r="E28" s="39" t="n">
        <x:v>3.4</x:v>
      </x:c>
      <x:c r="F28" s="39" t="n">
        <x:v>0.1</x:v>
      </x:c>
      <x:c r="G28" s="39" t="n">
        <x:v>0.2</x:v>
      </x:c>
      <x:c r="H28" s="27" t="n">
        <x:v>3</x:v>
      </x:c>
      <x:c r="I28" s="48" t="str">
        <x:v>唯一潜在脆性构件i</x:v>
      </x:c>
      <x:c r="J28" s="43"/>
      <x:c r="K28" s="43"/>
      <x:c r="L28" s="43"/>
      <x:c r="M28" s="43"/>
      <x:c r="N28" s="44" t="str">
        <x:f>IF(OR(J28="",M28="",M28=0),"",J28/M28)</x:f>
      </x:c>
      <x:c r="O28" s="44" t="str">
        <x:f>IF(OR(K28="",L28="",L28=0),"",K28/L28)</x:f>
      </x:c>
      <x:c r="P28" s="44" t="str">
        <x:f>IF(OR(N28="",O28=""),"",AVERAGE(N28:O28))</x:f>
      </x:c>
      <x:c r="Q28" s="36" t="str">
        <x:f>IF(COUNTA(J28:M28)=0,"待返回",IF(COUNTA(J28:M28)&lt;4,"待补充",IF(OR(L28=0,M28=0),"检查分母","已返回")))</x:f>
        <x:v>待返回</x:v>
      </x:c>
      <x:c r="R28" s="51" t="str">
        <x:v>固定n=10、n1=1、ρ=0.1、Pbi=0.2；对应论文图2.8</x:v>
      </x:c>
    </x:row>
    <x:row r="29" ht="27" customHeight="1">
      <x:c r="A29" s="27" t="str">
        <x:v>可靠指标β</x:v>
      </x:c>
      <x:c r="B29" s="27" t="n">
        <x:v>3.5</x:v>
      </x:c>
      <x:c r="C29" s="27" t="n">
        <x:v>10</x:v>
      </x:c>
      <x:c r="D29" s="27" t="n">
        <x:v>1</x:v>
      </x:c>
      <x:c r="E29" s="39" t="n">
        <x:v>3.5</x:v>
      </x:c>
      <x:c r="F29" s="39" t="n">
        <x:v>0.1</x:v>
      </x:c>
      <x:c r="G29" s="39" t="n">
        <x:v>0.2</x:v>
      </x:c>
      <x:c r="H29" s="27" t="n">
        <x:v>3</x:v>
      </x:c>
      <x:c r="I29" s="48" t="str">
        <x:v>唯一潜在脆性构件i</x:v>
      </x:c>
      <x:c r="J29" s="43"/>
      <x:c r="K29" s="43"/>
      <x:c r="L29" s="43"/>
      <x:c r="M29" s="43"/>
      <x:c r="N29" s="44" t="str">
        <x:f>IF(OR(J29="",M29="",M29=0),"",J29/M29)</x:f>
      </x:c>
      <x:c r="O29" s="44" t="str">
        <x:f>IF(OR(K29="",L29="",L29=0),"",K29/L29)</x:f>
      </x:c>
      <x:c r="P29" s="44" t="str">
        <x:f>IF(OR(N29="",O29=""),"",AVERAGE(N29:O29))</x:f>
      </x:c>
      <x:c r="Q29" s="36" t="str">
        <x:f>IF(COUNTA(J29:M29)=0,"待返回",IF(COUNTA(J29:M29)&lt;4,"待补充",IF(OR(L29=0,M29=0),"检查分母","已返回")))</x:f>
        <x:v>待返回</x:v>
      </x:c>
      <x:c r="R29" s="51" t="str">
        <x:v>固定n=10、n1=1、ρ=0.1、Pbi=0.2；对应论文图2.8</x:v>
      </x:c>
    </x:row>
    <x:row r="30" ht="27" customHeight="1">
      <x:c r="A30" s="27" t="str">
        <x:v>可靠指标β</x:v>
      </x:c>
      <x:c r="B30" s="27" t="n">
        <x:v>3.6</x:v>
      </x:c>
      <x:c r="C30" s="27" t="n">
        <x:v>10</x:v>
      </x:c>
      <x:c r="D30" s="27" t="n">
        <x:v>1</x:v>
      </x:c>
      <x:c r="E30" s="39" t="n">
        <x:v>3.6</x:v>
      </x:c>
      <x:c r="F30" s="39" t="n">
        <x:v>0.1</x:v>
      </x:c>
      <x:c r="G30" s="39" t="n">
        <x:v>0.2</x:v>
      </x:c>
      <x:c r="H30" s="27" t="n">
        <x:v>3</x:v>
      </x:c>
      <x:c r="I30" s="48" t="str">
        <x:v>唯一潜在脆性构件i</x:v>
      </x:c>
      <x:c r="J30" s="43"/>
      <x:c r="K30" s="43"/>
      <x:c r="L30" s="43"/>
      <x:c r="M30" s="43"/>
      <x:c r="N30" s="44" t="str">
        <x:f>IF(OR(J30="",M30="",M30=0),"",J30/M30)</x:f>
      </x:c>
      <x:c r="O30" s="44" t="str">
        <x:f>IF(OR(K30="",L30="",L30=0),"",K30/L30)</x:f>
      </x:c>
      <x:c r="P30" s="44" t="str">
        <x:f>IF(OR(N30="",O30=""),"",AVERAGE(N30:O30))</x:f>
      </x:c>
      <x:c r="Q30" s="36" t="str">
        <x:f>IF(COUNTA(J30:M30)=0,"待返回",IF(COUNTA(J30:M30)&lt;4,"待补充",IF(OR(L30=0,M30=0),"检查分母","已返回")))</x:f>
        <x:v>待返回</x:v>
      </x:c>
      <x:c r="R30" s="51" t="str">
        <x:v>固定n=10、n1=1、ρ=0.1、Pbi=0.2；对应论文图2.8</x:v>
      </x:c>
    </x:row>
    <x:row r="31" ht="27" customHeight="1">
      <x:c r="A31" s="27" t="str">
        <x:v>潜在脆性构件数n1</x:v>
      </x:c>
      <x:c r="B31" s="27" t="n">
        <x:v>1</x:v>
      </x:c>
      <x:c r="C31" s="27" t="n">
        <x:v>8</x:v>
      </x:c>
      <x:c r="D31" s="27" t="n">
        <x:v>1</x:v>
      </x:c>
      <x:c r="E31" s="39" t="n">
        <x:v>3</x:v>
      </x:c>
      <x:c r="F31" s="39" t="n">
        <x:v>0.1</x:v>
      </x:c>
      <x:c r="G31" s="39" t="n">
        <x:v>0.2</x:v>
      </x:c>
      <x:c r="H31" s="27" t="n">
        <x:v>3</x:v>
      </x:c>
      <x:c r="I31" s="48" t="str">
        <x:v>唯一潜在脆性构件i</x:v>
      </x:c>
      <x:c r="J31" s="43"/>
      <x:c r="K31" s="43"/>
      <x:c r="L31" s="43"/>
      <x:c r="M31" s="43"/>
      <x:c r="N31" s="44" t="str">
        <x:f>IF(OR(J31="",M31="",M31=0),"",J31/M31)</x:f>
      </x:c>
      <x:c r="O31" s="44" t="str">
        <x:f>IF(OR(K31="",L31="",L31=0),"",K31/L31)</x:f>
      </x:c>
      <x:c r="P31" s="44" t="str">
        <x:f>IF(OR(N31="",O31=""),"",AVERAGE(N31:O31))</x:f>
      </x:c>
      <x:c r="Q31" s="36" t="str">
        <x:f>IF(COUNTA(J31:M31)=0,"待返回",IF(COUNTA(J31:M31)&lt;4,"待补充",IF(OR(L31=0,M31=0),"检查分母","已返回")))</x:f>
        <x:v>待返回</x:v>
      </x:c>
      <x:c r="R31" s="51" t="str">
        <x:v>固定n=8、β=3.0、ρ=0.1、Pbi=0.2；对应论文图2.9</x:v>
      </x:c>
    </x:row>
    <x:row r="32" ht="27" customHeight="1">
      <x:c r="A32" s="27" t="str">
        <x:v>潜在脆性构件数n1</x:v>
      </x:c>
      <x:c r="B32" s="27" t="n">
        <x:v>2</x:v>
      </x:c>
      <x:c r="C32" s="27" t="n">
        <x:v>8</x:v>
      </x:c>
      <x:c r="D32" s="27" t="n">
        <x:v>2</x:v>
      </x:c>
      <x:c r="E32" s="39" t="n">
        <x:v>3</x:v>
      </x:c>
      <x:c r="F32" s="39" t="n">
        <x:v>0.1</x:v>
      </x:c>
      <x:c r="G32" s="39" t="n">
        <x:v>0.2</x:v>
      </x:c>
      <x:c r="H32" s="27" t="n">
        <x:v>3</x:v>
      </x:c>
      <x:c r="I32" s="48" t="str">
        <x:v>潜在脆性构件之一i（固定同一编号）</x:v>
      </x:c>
      <x:c r="J32" s="43"/>
      <x:c r="K32" s="43"/>
      <x:c r="L32" s="43"/>
      <x:c r="M32" s="43"/>
      <x:c r="N32" s="44" t="str">
        <x:f>IF(OR(J32="",M32="",M32=0),"",J32/M32)</x:f>
      </x:c>
      <x:c r="O32" s="44" t="str">
        <x:f>IF(OR(K32="",L32="",L32=0),"",K32/L32)</x:f>
      </x:c>
      <x:c r="P32" s="44" t="str">
        <x:f>IF(OR(N32="",O32=""),"",AVERAGE(N32:O32))</x:f>
      </x:c>
      <x:c r="Q32" s="36" t="str">
        <x:f>IF(COUNTA(J32:M32)=0,"待返回",IF(COUNTA(J32:M32)&lt;4,"待补充",IF(OR(L32=0,M32=0),"检查分母","已返回")))</x:f>
        <x:v>待返回</x:v>
      </x:c>
      <x:c r="R32" s="51" t="str">
        <x:v>固定n=8、β=3.0、ρ=0.1、Pbi=0.2；对应论文图2.9</x:v>
      </x:c>
    </x:row>
    <x:row r="33" ht="27" customHeight="1">
      <x:c r="A33" s="28" t="str">
        <x:v>潜在脆性构件数n1</x:v>
      </x:c>
      <x:c r="B33" s="28" t="n">
        <x:v>3</x:v>
      </x:c>
      <x:c r="C33" s="28" t="n">
        <x:v>8</x:v>
      </x:c>
      <x:c r="D33" s="28" t="n">
        <x:v>3</x:v>
      </x:c>
      <x:c r="E33" s="40" t="n">
        <x:v>3</x:v>
      </x:c>
      <x:c r="F33" s="40" t="n">
        <x:v>0.1</x:v>
      </x:c>
      <x:c r="G33" s="40" t="n">
        <x:v>0.2</x:v>
      </x:c>
      <x:c r="H33" s="28" t="n">
        <x:v>3</x:v>
      </x:c>
      <x:c r="I33" s="49" t="str">
        <x:v>潜在脆性构件之一i（固定同一编号）</x:v>
      </x:c>
      <x:c r="J33" s="45"/>
      <x:c r="K33" s="45"/>
      <x:c r="L33" s="45"/>
      <x:c r="M33" s="45"/>
      <x:c r="N33" s="46" t="str">
        <x:f>IF(OR(J33="",M33="",M33=0),"",J33/M33)</x:f>
      </x:c>
      <x:c r="O33" s="46" t="str">
        <x:f>IF(OR(K33="",L33="",L33=0),"",K33/L33)</x:f>
      </x:c>
      <x:c r="P33" s="46" t="str">
        <x:f>IF(OR(N33="",O33=""),"",AVERAGE(N33:O33))</x:f>
      </x:c>
      <x:c r="Q33" s="37" t="str">
        <x:f>IF(COUNTA(J33:M33)=0,"待返回",IF(COUNTA(J33:M33)&lt;4,"待补充",IF(OR(L33=0,M33=0),"检查分母","已返回")))</x:f>
        <x:v>待返回</x:v>
      </x:c>
      <x:c r="R33" s="52" t="str">
        <x:v>固定n=8、β=3.0、ρ=0.1、Pbi=0.2；对应论文图2.9</x:v>
      </x:c>
    </x:row>
  </x:sheetData>
  <x:pageMargins left="0.7" right="0.7" top="0.75" bottom="0.75" header="0.3" footer="0.3"/>
  <x:tableParts count="1">
    <x:tablePart xmlns:r="http://schemas.openxmlformats.org/officeDocument/2006/relationships" r:id="Re9953ce433cd47fd"/>
  </x:tableParts>
</x:worksheet>
</file>