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6f72c571644e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多参数计算需求" sheetId="1" r:id="Rb6d2e05b60f142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0000000000"/>
  </x:numFmts>
  <x:fonts count="5">
    <x:font>
      <x:sz val="11"/>
      <x:name val="Carlito"/>
    </x:font>
    <x:font>
      <x:sz val="10"/>
      <x:color rgb="FF1F2937"/>
      <x:name val="Arial"/>
    </x:font>
    <x:font>
      <x:b/>
      <x:sz val="15"/>
      <x:color rgb="FF1F4E78"/>
      <x:name val="Arial"/>
    </x:font>
    <x:font>
      <x:sz val="10"/>
      <x:color rgb="FF4B5563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</x:fills>
  <x:borders count="6">
    <x:border/>
    <x:border>
      <x:bottom style="thin">
        <x:color rgb="FF1F4E7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E1E8"/>
      </x:bottom>
    </x:border>
    <x:border>
      <x:top style="thin">
        <x:color rgb="FFD9E1E8"/>
      </x:top>
      <x:bottom style="thin">
        <x:color rgb="FFD9E1E8"/>
      </x:bottom>
    </x:border>
    <x:border>
      <x:top style="thin">
        <x:color rgb="FFD9E1E8"/>
      </x:top>
      <x:bottom style="thin">
        <x:color rgb="FFB8C2CC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5" borderId="3" xfId="0" applyNumberFormat="1" applyFont="1" applyFill="1" applyBorder="1" applyAlignment="1">
      <x:alignment vertical="center"/>
    </x:xf>
    <x:xf numFmtId="0" fontId="1" fillId="5" borderId="4" xfId="0" applyNumberFormat="1" applyFont="1" applyFill="1" applyBorder="1" applyAlignment="1">
      <x:alignment vertical="center"/>
    </x:xf>
    <x:xf numFmtId="0" fontId="1" fillId="5" borderId="5" xfId="0" applyNumberFormat="1" applyFont="1" applyFill="1" applyBorder="1" applyAlignment="1">
      <x:alignment vertical="center"/>
    </x:xf>
    <x:xf numFmtId="0" fontId="1" fillId="6" borderId="3" xfId="0" applyNumberFormat="1" applyFont="1" applyFill="1" applyBorder="1" applyAlignment="1">
      <x:alignment vertical="center"/>
    </x:xf>
    <x:xf numFmtId="0" fontId="1" fillId="6" borderId="4" xfId="0" applyNumberFormat="1" applyFont="1" applyFill="1" applyBorder="1" applyAlignment="1">
      <x:alignment vertical="center"/>
    </x:xf>
    <x:xf numFmtId="0" fontId="1" fillId="6" borderId="5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horizontal="center" vertical="center"/>
    </x:xf>
    <x:xf numFmtId="0" fontId="1" fillId="3" borderId="4" xfId="0" applyNumberFormat="1" applyFont="1" applyFill="1" applyBorder="1" applyAlignment="1">
      <x:alignment horizontal="center" vertical="center"/>
    </x:xf>
    <x:xf numFmtId="0" fontId="1" fillId="3" borderId="5" xfId="0" applyNumberFormat="1" applyFont="1" applyFill="1" applyBorder="1" applyAlignment="1">
      <x:alignment horizontal="center" vertical="center"/>
    </x:xf>
    <x:xf numFmtId="0" fontId="1" fillId="4" borderId="3" xfId="0" applyNumberFormat="1" applyFont="1" applyFill="1" applyBorder="1" applyAlignment="1">
      <x:alignment horizontal="right" vertical="center"/>
    </x:xf>
    <x:xf numFmtId="0" fontId="1" fillId="5" borderId="3" xfId="0" applyNumberFormat="1" applyFont="1" applyFill="1" applyBorder="1" applyAlignment="1">
      <x:alignment horizontal="right" vertical="center"/>
    </x:xf>
    <x:xf numFmtId="0" fontId="1" fillId="4" borderId="4" xfId="0" applyNumberFormat="1" applyFont="1" applyFill="1" applyBorder="1" applyAlignment="1">
      <x:alignment horizontal="right" vertical="center"/>
    </x:xf>
    <x:xf numFmtId="0" fontId="1" fillId="5" borderId="4" xfId="0" applyNumberFormat="1" applyFont="1" applyFill="1" applyBorder="1" applyAlignment="1">
      <x:alignment horizontal="right" vertical="center"/>
    </x:xf>
    <x:xf numFmtId="0" fontId="1" fillId="4" borderId="5" xfId="0" applyNumberFormat="1" applyFont="1" applyFill="1" applyBorder="1" applyAlignment="1">
      <x:alignment horizontal="right" vertical="center"/>
    </x:xf>
    <x:xf numFmtId="0" fontId="1" fillId="5" borderId="5" xfId="0" applyNumberFormat="1" applyFont="1" applyFill="1" applyBorder="1" applyAlignment="1">
      <x:alignment horizontal="right" vertical="center"/>
    </x:xf>
    <x:xf numFmtId="0" fontId="1" fillId="5" borderId="3" xfId="0" applyNumberFormat="1" applyFont="1" applyFill="1" applyBorder="1" applyAlignment="1">
      <x:alignment horizontal="center" vertical="center"/>
    </x:xf>
    <x:xf numFmtId="0" fontId="1" fillId="5" borderId="4" xfId="0" applyNumberFormat="1" applyFont="1" applyFill="1" applyBorder="1" applyAlignment="1">
      <x:alignment horizontal="center" vertical="center"/>
    </x:xf>
    <x:xf numFmtId="0" fontId="1" fillId="5" borderId="5" xfId="0" applyNumberFormat="1" applyFont="1" applyFill="1" applyBorder="1" applyAlignment="1">
      <x:alignment horizontal="center" vertical="center"/>
    </x:xf>
    <x:xf numFmtId="200" fontId="1" fillId="3" borderId="3" xfId="0" applyNumberFormat="1" applyFont="1" applyFill="1" applyBorder="1" applyAlignment="1">
      <x:alignment horizontal="center" vertical="center"/>
    </x:xf>
    <x:xf numFmtId="200" fontId="1" fillId="3" borderId="4" xfId="0" applyNumberFormat="1" applyFont="1" applyFill="1" applyBorder="1" applyAlignment="1">
      <x:alignment horizontal="center" vertical="center"/>
    </x:xf>
    <x:xf numFmtId="200" fontId="1" fillId="3" borderId="5" xfId="0" applyNumberFormat="1" applyFont="1" applyFill="1" applyBorder="1" applyAlignment="1">
      <x:alignment horizontal="center" vertical="center"/>
    </x:xf>
    <x:xf numFmtId="201" fontId="1" fillId="4" borderId="3" xfId="0" applyNumberFormat="1" applyFont="1" applyFill="1" applyBorder="1" applyAlignment="1">
      <x:alignment horizontal="right" vertical="center"/>
    </x:xf>
    <x:xf numFmtId="201" fontId="1" fillId="5" borderId="3" xfId="0" applyNumberFormat="1" applyFont="1" applyFill="1" applyBorder="1" applyAlignment="1">
      <x:alignment horizontal="right" vertical="center"/>
    </x:xf>
    <x:xf numFmtId="201" fontId="1" fillId="4" borderId="4" xfId="0" applyNumberFormat="1" applyFont="1" applyFill="1" applyBorder="1" applyAlignment="1">
      <x:alignment horizontal="right" vertical="center"/>
    </x:xf>
    <x:xf numFmtId="201" fontId="1" fillId="5" borderId="4" xfId="0" applyNumberFormat="1" applyFont="1" applyFill="1" applyBorder="1" applyAlignment="1">
      <x:alignment horizontal="right" vertical="center"/>
    </x:xf>
    <x:xf numFmtId="201" fontId="1" fillId="4" borderId="5" xfId="0" applyNumberFormat="1" applyFont="1" applyFill="1" applyBorder="1" applyAlignment="1">
      <x:alignment horizontal="right" vertical="center"/>
    </x:xf>
    <x:xf numFmtId="201" fontId="1" fillId="5" borderId="5" xfId="0" applyNumberFormat="1" applyFont="1" applyFill="1" applyBorder="1" applyAlignment="1">
      <x:alignment horizontal="right" vertical="center"/>
    </x:xf>
    <x:xf numFmtId="0" fontId="1" fillId="3" borderId="3" xfId="0" applyNumberFormat="1" applyFont="1" applyFill="1" applyBorder="1" applyAlignment="1">
      <x:alignment vertical="center" wrapText="1"/>
    </x:xf>
    <x:xf numFmtId="0" fontId="1" fillId="3" borderId="4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0" fontId="1" fillId="6" borderId="3" xfId="0" applyNumberFormat="1" applyFont="1" applyFill="1" applyBorder="1" applyAlignment="1">
      <x:alignment vertical="center" wrapText="1"/>
    </x:xf>
    <x:xf numFmtId="0" fontId="1" fillId="6" borderId="4" xfId="0" applyNumberFormat="1" applyFont="1" applyFill="1" applyBorder="1" applyAlignment="1">
      <x:alignment vertical="center" wrapText="1"/>
    </x:xf>
    <x:xf numFmtId="0" fontId="1" fillId="6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c3ddcf316f4244" /><Relationship Type="http://schemas.openxmlformats.org/officeDocument/2006/relationships/theme" Target="/xl/theme/theme1.xml" Id="R20d1fd5b79cc47bd" /><Relationship Type="http://schemas.openxmlformats.org/officeDocument/2006/relationships/sharedStrings" Target="/xl/sharedStrings.xml" Id="Rb208be319e2b4f5f" /><Relationship Type="http://schemas.openxmlformats.org/officeDocument/2006/relationships/worksheet" Target="/xl/worksheets/sheet1.xml" Id="Rb6d2e05b60f142bc" /></Relationships>
</file>

<file path=xl/tables/table1.xml><?xml version="1.0" encoding="utf-8"?>
<x:table xmlns:x="http://schemas.openxmlformats.org/spreadsheetml/2006/main" id="1" name="MultiParameterRequests" displayName="MultiParameterRequests" ref="A7:U110" headerRowCount="1" totalsRowCount="0" totalsRowShown="0">
  <x:tableColumns count="21">
    <x:tableColumn id="1" name="双参数组合"/>
    <x:tableColumn id="2" name="参数1"/>
    <x:tableColumn id="3" name="参数1取值"/>
    <x:tableColumn id="4" name="参数2"/>
    <x:tableColumn id="5" name="参数2取值"/>
    <x:tableColumn id="6" name="构件总数 n"/>
    <x:tableColumn id="7" name="潜在脆性构件数 n1"/>
    <x:tableColumn id="8" name="可靠指标 β"/>
    <x:tableColumn id="9" name="相关系数 ρ"/>
    <x:tableColumn id="10" name="脆性发生概率 Pbi"/>
    <x:tableColumn id="11" name="K_RLP"/>
    <x:tableColumn id="12" name="目标构件"/>
    <x:tableColumn id="13" name="Pf(S) 下界"/>
    <x:tableColumn id="14" name="Pf(S) 上界"/>
    <x:tableColumn id="15" name="Pf(S_i+) 下界"/>
    <x:tableColumn id="16" name="Pf(S_i+) 上界"/>
    <x:tableColumn id="17" name="RRW 下界"/>
    <x:tableColumn id="18" name="RRW 上界"/>
    <x:tableColumn id="19" name="RRW 区间中点"/>
    <x:tableColumn id="20" name="返回状态"/>
    <x:tableColumn id="21" name="参数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7e7ee3ab274da2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3" hidden="0" customWidth="1"/>
    <x:col min="4" max="4" width="22" hidden="0" customWidth="1"/>
    <x:col min="5" max="5" width="13" hidden="0" customWidth="1"/>
    <x:col min="6" max="6" width="12" hidden="0" customWidth="1"/>
    <x:col min="7" max="7" width="17" hidden="0" customWidth="1"/>
    <x:col min="8" max="8" width="12" hidden="0" customWidth="1"/>
    <x:col min="9" max="9" width="12" hidden="0" customWidth="1"/>
    <x:col min="10" max="10" width="18" hidden="0" customWidth="1"/>
    <x:col min="11" max="11" width="10" hidden="0" customWidth="1"/>
    <x:col min="12" max="12" width="28" hidden="0" customWidth="1"/>
    <x:col min="13" max="13" width="16" hidden="0" customWidth="1"/>
    <x:col min="14" max="14" width="16" hidden="0" customWidth="1"/>
    <x:col min="15" max="15" width="18" hidden="0" customWidth="1"/>
    <x:col min="16" max="16" width="18" hidden="0" customWidth="1"/>
    <x:col min="17" max="17" width="15" hidden="0" customWidth="1"/>
    <x:col min="18" max="18" width="15" hidden="0" customWidth="1"/>
    <x:col min="19" max="19" width="18" hidden="0" customWidth="1"/>
    <x:col min="20" max="20" width="13" hidden="0" customWidth="1"/>
    <x:col min="21" max="21" width="4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>
      <x:c r="A2" s="3" t="str">
        <x:v>串联系统RRW多参数计算需求表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</x:row>
    <x:row r="4" ht="22" customHeight="1">
      <x:c r="A4" s="5" t="str">
        <x:v>计算口径：ρ×n1固定n=8；n×n1固定ρ=0.3；n×ρ固定n1=1。统一β=3.0、Pbi=0.2、K_RLP=3。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</x:row>
    <x:row r="5" ht="22" customHeight="1">
      <x:c r="A5" s="5" t="str">
        <x:v>返回要求：填写Pf(S)与Pf(S_i+)上下界，保留10～12位有效数字。</x:v>
      </x:c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  <x:c r="T5" s="5"/>
      <x:c r="U5" s="5"/>
    </x:row>
    <x:row r="6" ht="22" customHeight="1">
      <x:c r="A6" s="5" t="str">
        <x:v>参数依据：吴仁彬硕士论文第2.3.2节及当前确认的103点复现网格。黄色列填写返回概率，绿色列自动计算RRW。</x:v>
      </x:c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</x:row>
    <x:row r="7" ht="44" customHeight="1">
      <x:c r="A7" s="10" t="str">
        <x:v>双参数组合</x:v>
      </x:c>
      <x:c r="B7" s="10" t="str">
        <x:v>参数1</x:v>
      </x:c>
      <x:c r="C7" s="10" t="str">
        <x:v>参数1取值</x:v>
      </x:c>
      <x:c r="D7" s="10" t="str">
        <x:v>参数2</x:v>
      </x:c>
      <x:c r="E7" s="10" t="str">
        <x:v>参数2取值</x:v>
      </x:c>
      <x:c r="F7" s="10" t="str">
        <x:v>构件总数 n</x:v>
      </x:c>
      <x:c r="G7" s="10" t="str">
        <x:v>潜在脆性构件数 n1</x:v>
      </x:c>
      <x:c r="H7" s="10" t="str">
        <x:v>可靠指标 β</x:v>
      </x:c>
      <x:c r="I7" s="10" t="str">
        <x:v>相关系数 ρ</x:v>
      </x:c>
      <x:c r="J7" s="10" t="str">
        <x:v>脆性发生概率 Pbi</x:v>
      </x:c>
      <x:c r="K7" s="10" t="str">
        <x:v>K_RLP</x:v>
      </x:c>
      <x:c r="L7" s="10" t="str">
        <x:v>目标构件</x:v>
      </x:c>
      <x:c r="M7" s="10" t="str">
        <x:v>Pf(S) 下界</x:v>
      </x:c>
      <x:c r="N7" s="10" t="str">
        <x:v>Pf(S) 上界</x:v>
      </x:c>
      <x:c r="O7" s="10" t="str">
        <x:v>Pf(S_i+) 下界</x:v>
      </x:c>
      <x:c r="P7" s="10" t="str">
        <x:v>Pf(S_i+) 上界</x:v>
      </x:c>
      <x:c r="Q7" s="10" t="str">
        <x:v>RRW 下界</x:v>
      </x:c>
      <x:c r="R7" s="10" t="str">
        <x:v>RRW 上界</x:v>
      </x:c>
      <x:c r="S7" s="10" t="str">
        <x:v>RRW 区间中点</x:v>
      </x:c>
      <x:c r="T7" s="10" t="str">
        <x:v>返回状态</x:v>
      </x:c>
      <x:c r="U7" s="10" t="str">
        <x:v>参数说明</x:v>
      </x:c>
    </x:row>
    <x:row r="8" ht="27" customHeight="1">
      <x:c r="A8" s="26" t="str">
        <x:v>ρ×n1</x:v>
      </x:c>
      <x:c r="B8" s="26" t="str">
        <x:v>相关系数ρ</x:v>
      </x:c>
      <x:c r="C8" s="26" t="n">
        <x:v>0.1</x:v>
      </x:c>
      <x:c r="D8" s="26" t="str">
        <x:v>潜在脆性构件数n1</x:v>
      </x:c>
      <x:c r="E8" s="26" t="n">
        <x:v>1</x:v>
      </x:c>
      <x:c r="F8" s="26" t="n">
        <x:v>8</x:v>
      </x:c>
      <x:c r="G8" s="26" t="n">
        <x:v>1</x:v>
      </x:c>
      <x:c r="H8" s="38" t="n">
        <x:v>3</x:v>
      </x:c>
      <x:c r="I8" s="38" t="n">
        <x:v>0.1</x:v>
      </x:c>
      <x:c r="J8" s="38" t="n">
        <x:v>0.2</x:v>
      </x:c>
      <x:c r="K8" s="26" t="n">
        <x:v>3</x:v>
      </x:c>
      <x:c r="L8" s="47" t="str">
        <x:v>唯一潜在脆性构件i</x:v>
      </x:c>
      <x:c r="M8" s="41"/>
      <x:c r="N8" s="41"/>
      <x:c r="O8" s="41"/>
      <x:c r="P8" s="41"/>
      <x:c r="Q8" s="42" t="str">
        <x:f>IF(OR(M8="",P8="",P8=0),"",M8/P8)</x:f>
      </x:c>
      <x:c r="R8" s="42" t="str">
        <x:f>IF(OR(N8="",O8="",O8=0),"",N8/O8)</x:f>
      </x:c>
      <x:c r="S8" s="42" t="str">
        <x:f>IF(OR(Q8="",R8=""),"",AVERAGE(Q8:R8))</x:f>
      </x:c>
      <x:c r="T8" s="35" t="str">
        <x:f>IF(COUNTA(M8:P8)=0,"待返回",IF(COUNTA(M8:P8)&lt;4,"待补充",IF(OR(O8=0,P8=0),"检查分母","已返回")))</x:f>
        <x:v>待返回</x:v>
      </x:c>
      <x:c r="U8" s="50" t="str">
        <x:v>固定n=8、β=3.0、Pbi=0.2；对应论文图2.10</x:v>
      </x:c>
    </x:row>
    <x:row r="9" ht="27" customHeight="1">
      <x:c r="A9" s="27" t="str">
        <x:v>ρ×n1</x:v>
      </x:c>
      <x:c r="B9" s="27" t="str">
        <x:v>相关系数ρ</x:v>
      </x:c>
      <x:c r="C9" s="27" t="n">
        <x:v>0.3</x:v>
      </x:c>
      <x:c r="D9" s="27" t="str">
        <x:v>潜在脆性构件数n1</x:v>
      </x:c>
      <x:c r="E9" s="27" t="n">
        <x:v>1</x:v>
      </x:c>
      <x:c r="F9" s="27" t="n">
        <x:v>8</x:v>
      </x:c>
      <x:c r="G9" s="27" t="n">
        <x:v>1</x:v>
      </x:c>
      <x:c r="H9" s="39" t="n">
        <x:v>3</x:v>
      </x:c>
      <x:c r="I9" s="39" t="n">
        <x:v>0.3</x:v>
      </x:c>
      <x:c r="J9" s="39" t="n">
        <x:v>0.2</x:v>
      </x:c>
      <x:c r="K9" s="27" t="n">
        <x:v>3</x:v>
      </x:c>
      <x:c r="L9" s="48" t="str">
        <x:v>唯一潜在脆性构件i</x:v>
      </x:c>
      <x:c r="M9" s="43"/>
      <x:c r="N9" s="43"/>
      <x:c r="O9" s="43"/>
      <x:c r="P9" s="43"/>
      <x:c r="Q9" s="44" t="str">
        <x:f>IF(OR(M9="",P9="",P9=0),"",M9/P9)</x:f>
      </x:c>
      <x:c r="R9" s="44" t="str">
        <x:f>IF(OR(N9="",O9="",O9=0),"",N9/O9)</x:f>
      </x:c>
      <x:c r="S9" s="44" t="str">
        <x:f>IF(OR(Q9="",R9=""),"",AVERAGE(Q9:R9))</x:f>
      </x:c>
      <x:c r="T9" s="36" t="str">
        <x:f>IF(COUNTA(M9:P9)=0,"待返回",IF(COUNTA(M9:P9)&lt;4,"待补充",IF(OR(O9=0,P9=0),"检查分母","已返回")))</x:f>
        <x:v>待返回</x:v>
      </x:c>
      <x:c r="U9" s="51" t="str">
        <x:v>固定n=8、β=3.0、Pbi=0.2；对应论文图2.10</x:v>
      </x:c>
    </x:row>
    <x:row r="10" ht="27" customHeight="1">
      <x:c r="A10" s="27" t="str">
        <x:v>ρ×n1</x:v>
      </x:c>
      <x:c r="B10" s="27" t="str">
        <x:v>相关系数ρ</x:v>
      </x:c>
      <x:c r="C10" s="27" t="n">
        <x:v>0.5</x:v>
      </x:c>
      <x:c r="D10" s="27" t="str">
        <x:v>潜在脆性构件数n1</x:v>
      </x:c>
      <x:c r="E10" s="27" t="n">
        <x:v>1</x:v>
      </x:c>
      <x:c r="F10" s="27" t="n">
        <x:v>8</x:v>
      </x:c>
      <x:c r="G10" s="27" t="n">
        <x:v>1</x:v>
      </x:c>
      <x:c r="H10" s="39" t="n">
        <x:v>3</x:v>
      </x:c>
      <x:c r="I10" s="39" t="n">
        <x:v>0.5</x:v>
      </x:c>
      <x:c r="J10" s="39" t="n">
        <x:v>0.2</x:v>
      </x:c>
      <x:c r="K10" s="27" t="n">
        <x:v>3</x:v>
      </x:c>
      <x:c r="L10" s="48" t="str">
        <x:v>唯一潜在脆性构件i</x:v>
      </x:c>
      <x:c r="M10" s="43"/>
      <x:c r="N10" s="43"/>
      <x:c r="O10" s="43"/>
      <x:c r="P10" s="43"/>
      <x:c r="Q10" s="44" t="str">
        <x:f>IF(OR(M10="",P10="",P10=0),"",M10/P10)</x:f>
      </x:c>
      <x:c r="R10" s="44" t="str">
        <x:f>IF(OR(N10="",O10="",O10=0),"",N10/O10)</x:f>
      </x:c>
      <x:c r="S10" s="44" t="str">
        <x:f>IF(OR(Q10="",R10=""),"",AVERAGE(Q10:R10))</x:f>
      </x:c>
      <x:c r="T10" s="36" t="str">
        <x:f>IF(COUNTA(M10:P10)=0,"待返回",IF(COUNTA(M10:P10)&lt;4,"待补充",IF(OR(O10=0,P10=0),"检查分母","已返回")))</x:f>
        <x:v>待返回</x:v>
      </x:c>
      <x:c r="U10" s="51" t="str">
        <x:v>固定n=8、β=3.0、Pbi=0.2；对应论文图2.10</x:v>
      </x:c>
    </x:row>
    <x:row r="11" ht="27" customHeight="1">
      <x:c r="A11" s="27" t="str">
        <x:v>ρ×n1</x:v>
      </x:c>
      <x:c r="B11" s="27" t="str">
        <x:v>相关系数ρ</x:v>
      </x:c>
      <x:c r="C11" s="27" t="n">
        <x:v>0.7</x:v>
      </x:c>
      <x:c r="D11" s="27" t="str">
        <x:v>潜在脆性构件数n1</x:v>
      </x:c>
      <x:c r="E11" s="27" t="n">
        <x:v>1</x:v>
      </x:c>
      <x:c r="F11" s="27" t="n">
        <x:v>8</x:v>
      </x:c>
      <x:c r="G11" s="27" t="n">
        <x:v>1</x:v>
      </x:c>
      <x:c r="H11" s="39" t="n">
        <x:v>3</x:v>
      </x:c>
      <x:c r="I11" s="39" t="n">
        <x:v>0.7</x:v>
      </x:c>
      <x:c r="J11" s="39" t="n">
        <x:v>0.2</x:v>
      </x:c>
      <x:c r="K11" s="27" t="n">
        <x:v>3</x:v>
      </x:c>
      <x:c r="L11" s="48" t="str">
        <x:v>唯一潜在脆性构件i</x:v>
      </x:c>
      <x:c r="M11" s="43"/>
      <x:c r="N11" s="43"/>
      <x:c r="O11" s="43"/>
      <x:c r="P11" s="43"/>
      <x:c r="Q11" s="44" t="str">
        <x:f>IF(OR(M11="",P11="",P11=0),"",M11/P11)</x:f>
      </x:c>
      <x:c r="R11" s="44" t="str">
        <x:f>IF(OR(N11="",O11="",O11=0),"",N11/O11)</x:f>
      </x:c>
      <x:c r="S11" s="44" t="str">
        <x:f>IF(OR(Q11="",R11=""),"",AVERAGE(Q11:R11))</x:f>
      </x:c>
      <x:c r="T11" s="36" t="str">
        <x:f>IF(COUNTA(M11:P11)=0,"待返回",IF(COUNTA(M11:P11)&lt;4,"待补充",IF(OR(O11=0,P11=0),"检查分母","已返回")))</x:f>
        <x:v>待返回</x:v>
      </x:c>
      <x:c r="U11" s="51" t="str">
        <x:v>固定n=8、β=3.0、Pbi=0.2；对应论文图2.10</x:v>
      </x:c>
    </x:row>
    <x:row r="12" ht="27" customHeight="1">
      <x:c r="A12" s="27" t="str">
        <x:v>ρ×n1</x:v>
      </x:c>
      <x:c r="B12" s="27" t="str">
        <x:v>相关系数ρ</x:v>
      </x:c>
      <x:c r="C12" s="27" t="n">
        <x:v>0.9</x:v>
      </x:c>
      <x:c r="D12" s="27" t="str">
        <x:v>潜在脆性构件数n1</x:v>
      </x:c>
      <x:c r="E12" s="27" t="n">
        <x:v>1</x:v>
      </x:c>
      <x:c r="F12" s="27" t="n">
        <x:v>8</x:v>
      </x:c>
      <x:c r="G12" s="27" t="n">
        <x:v>1</x:v>
      </x:c>
      <x:c r="H12" s="39" t="n">
        <x:v>3</x:v>
      </x:c>
      <x:c r="I12" s="39" t="n">
        <x:v>0.9</x:v>
      </x:c>
      <x:c r="J12" s="39" t="n">
        <x:v>0.2</x:v>
      </x:c>
      <x:c r="K12" s="27" t="n">
        <x:v>3</x:v>
      </x:c>
      <x:c r="L12" s="48" t="str">
        <x:v>唯一潜在脆性构件i</x:v>
      </x:c>
      <x:c r="M12" s="43"/>
      <x:c r="N12" s="43"/>
      <x:c r="O12" s="43"/>
      <x:c r="P12" s="43"/>
      <x:c r="Q12" s="44" t="str">
        <x:f>IF(OR(M12="",P12="",P12=0),"",M12/P12)</x:f>
      </x:c>
      <x:c r="R12" s="44" t="str">
        <x:f>IF(OR(N12="",O12="",O12=0),"",N12/O12)</x:f>
      </x:c>
      <x:c r="S12" s="44" t="str">
        <x:f>IF(OR(Q12="",R12=""),"",AVERAGE(Q12:R12))</x:f>
      </x:c>
      <x:c r="T12" s="36" t="str">
        <x:f>IF(COUNTA(M12:P12)=0,"待返回",IF(COUNTA(M12:P12)&lt;4,"待补充",IF(OR(O12=0,P12=0),"检查分母","已返回")))</x:f>
        <x:v>待返回</x:v>
      </x:c>
      <x:c r="U12" s="51" t="str">
        <x:v>固定n=8、β=3.0、Pbi=0.2；对应论文图2.10</x:v>
      </x:c>
    </x:row>
    <x:row r="13" ht="27" customHeight="1">
      <x:c r="A13" s="27" t="str">
        <x:v>ρ×n1</x:v>
      </x:c>
      <x:c r="B13" s="27" t="str">
        <x:v>相关系数ρ</x:v>
      </x:c>
      <x:c r="C13" s="27" t="n">
        <x:v>0.1</x:v>
      </x:c>
      <x:c r="D13" s="27" t="str">
        <x:v>潜在脆性构件数n1</x:v>
      </x:c>
      <x:c r="E13" s="27" t="n">
        <x:v>2</x:v>
      </x:c>
      <x:c r="F13" s="27" t="n">
        <x:v>8</x:v>
      </x:c>
      <x:c r="G13" s="27" t="n">
        <x:v>2</x:v>
      </x:c>
      <x:c r="H13" s="39" t="n">
        <x:v>3</x:v>
      </x:c>
      <x:c r="I13" s="39" t="n">
        <x:v>0.1</x:v>
      </x:c>
      <x:c r="J13" s="39" t="n">
        <x:v>0.2</x:v>
      </x:c>
      <x:c r="K13" s="27" t="n">
        <x:v>3</x:v>
      </x:c>
      <x:c r="L13" s="48" t="str">
        <x:v>潜在脆性构件之一i（固定同一编号）</x:v>
      </x:c>
      <x:c r="M13" s="43"/>
      <x:c r="N13" s="43"/>
      <x:c r="O13" s="43"/>
      <x:c r="P13" s="43"/>
      <x:c r="Q13" s="44" t="str">
        <x:f>IF(OR(M13="",P13="",P13=0),"",M13/P13)</x:f>
      </x:c>
      <x:c r="R13" s="44" t="str">
        <x:f>IF(OR(N13="",O13="",O13=0),"",N13/O13)</x:f>
      </x:c>
      <x:c r="S13" s="44" t="str">
        <x:f>IF(OR(Q13="",R13=""),"",AVERAGE(Q13:R13))</x:f>
      </x:c>
      <x:c r="T13" s="36" t="str">
        <x:f>IF(COUNTA(M13:P13)=0,"待返回",IF(COUNTA(M13:P13)&lt;4,"待补充",IF(OR(O13=0,P13=0),"检查分母","已返回")))</x:f>
        <x:v>待返回</x:v>
      </x:c>
      <x:c r="U13" s="51" t="str">
        <x:v>固定n=8、β=3.0、Pbi=0.2；对应论文图2.10</x:v>
      </x:c>
    </x:row>
    <x:row r="14" ht="27" customHeight="1">
      <x:c r="A14" s="27" t="str">
        <x:v>ρ×n1</x:v>
      </x:c>
      <x:c r="B14" s="27" t="str">
        <x:v>相关系数ρ</x:v>
      </x:c>
      <x:c r="C14" s="27" t="n">
        <x:v>0.3</x:v>
      </x:c>
      <x:c r="D14" s="27" t="str">
        <x:v>潜在脆性构件数n1</x:v>
      </x:c>
      <x:c r="E14" s="27" t="n">
        <x:v>2</x:v>
      </x:c>
      <x:c r="F14" s="27" t="n">
        <x:v>8</x:v>
      </x:c>
      <x:c r="G14" s="27" t="n">
        <x:v>2</x:v>
      </x:c>
      <x:c r="H14" s="39" t="n">
        <x:v>3</x:v>
      </x:c>
      <x:c r="I14" s="39" t="n">
        <x:v>0.3</x:v>
      </x:c>
      <x:c r="J14" s="39" t="n">
        <x:v>0.2</x:v>
      </x:c>
      <x:c r="K14" s="27" t="n">
        <x:v>3</x:v>
      </x:c>
      <x:c r="L14" s="48" t="str">
        <x:v>潜在脆性构件之一i（固定同一编号）</x:v>
      </x:c>
      <x:c r="M14" s="43"/>
      <x:c r="N14" s="43"/>
      <x:c r="O14" s="43"/>
      <x:c r="P14" s="43"/>
      <x:c r="Q14" s="44" t="str">
        <x:f>IF(OR(M14="",P14="",P14=0),"",M14/P14)</x:f>
      </x:c>
      <x:c r="R14" s="44" t="str">
        <x:f>IF(OR(N14="",O14="",O14=0),"",N14/O14)</x:f>
      </x:c>
      <x:c r="S14" s="44" t="str">
        <x:f>IF(OR(Q14="",R14=""),"",AVERAGE(Q14:R14))</x:f>
      </x:c>
      <x:c r="T14" s="36" t="str">
        <x:f>IF(COUNTA(M14:P14)=0,"待返回",IF(COUNTA(M14:P14)&lt;4,"待补充",IF(OR(O14=0,P14=0),"检查分母","已返回")))</x:f>
        <x:v>待返回</x:v>
      </x:c>
      <x:c r="U14" s="51" t="str">
        <x:v>固定n=8、β=3.0、Pbi=0.2；对应论文图2.10</x:v>
      </x:c>
    </x:row>
    <x:row r="15" ht="27" customHeight="1">
      <x:c r="A15" s="27" t="str">
        <x:v>ρ×n1</x:v>
      </x:c>
      <x:c r="B15" s="27" t="str">
        <x:v>相关系数ρ</x:v>
      </x:c>
      <x:c r="C15" s="27" t="n">
        <x:v>0.5</x:v>
      </x:c>
      <x:c r="D15" s="27" t="str">
        <x:v>潜在脆性构件数n1</x:v>
      </x:c>
      <x:c r="E15" s="27" t="n">
        <x:v>2</x:v>
      </x:c>
      <x:c r="F15" s="27" t="n">
        <x:v>8</x:v>
      </x:c>
      <x:c r="G15" s="27" t="n">
        <x:v>2</x:v>
      </x:c>
      <x:c r="H15" s="39" t="n">
        <x:v>3</x:v>
      </x:c>
      <x:c r="I15" s="39" t="n">
        <x:v>0.5</x:v>
      </x:c>
      <x:c r="J15" s="39" t="n">
        <x:v>0.2</x:v>
      </x:c>
      <x:c r="K15" s="27" t="n">
        <x:v>3</x:v>
      </x:c>
      <x:c r="L15" s="48" t="str">
        <x:v>潜在脆性构件之一i（固定同一编号）</x:v>
      </x:c>
      <x:c r="M15" s="43"/>
      <x:c r="N15" s="43"/>
      <x:c r="O15" s="43"/>
      <x:c r="P15" s="43"/>
      <x:c r="Q15" s="44" t="str">
        <x:f>IF(OR(M15="",P15="",P15=0),"",M15/P15)</x:f>
      </x:c>
      <x:c r="R15" s="44" t="str">
        <x:f>IF(OR(N15="",O15="",O15=0),"",N15/O15)</x:f>
      </x:c>
      <x:c r="S15" s="44" t="str">
        <x:f>IF(OR(Q15="",R15=""),"",AVERAGE(Q15:R15))</x:f>
      </x:c>
      <x:c r="T15" s="36" t="str">
        <x:f>IF(COUNTA(M15:P15)=0,"待返回",IF(COUNTA(M15:P15)&lt;4,"待补充",IF(OR(O15=0,P15=0),"检查分母","已返回")))</x:f>
        <x:v>待返回</x:v>
      </x:c>
      <x:c r="U15" s="51" t="str">
        <x:v>固定n=8、β=3.0、Pbi=0.2；对应论文图2.10</x:v>
      </x:c>
    </x:row>
    <x:row r="16" ht="27" customHeight="1">
      <x:c r="A16" s="27" t="str">
        <x:v>ρ×n1</x:v>
      </x:c>
      <x:c r="B16" s="27" t="str">
        <x:v>相关系数ρ</x:v>
      </x:c>
      <x:c r="C16" s="27" t="n">
        <x:v>0.7</x:v>
      </x:c>
      <x:c r="D16" s="27" t="str">
        <x:v>潜在脆性构件数n1</x:v>
      </x:c>
      <x:c r="E16" s="27" t="n">
        <x:v>2</x:v>
      </x:c>
      <x:c r="F16" s="27" t="n">
        <x:v>8</x:v>
      </x:c>
      <x:c r="G16" s="27" t="n">
        <x:v>2</x:v>
      </x:c>
      <x:c r="H16" s="39" t="n">
        <x:v>3</x:v>
      </x:c>
      <x:c r="I16" s="39" t="n">
        <x:v>0.7</x:v>
      </x:c>
      <x:c r="J16" s="39" t="n">
        <x:v>0.2</x:v>
      </x:c>
      <x:c r="K16" s="27" t="n">
        <x:v>3</x:v>
      </x:c>
      <x:c r="L16" s="48" t="str">
        <x:v>潜在脆性构件之一i（固定同一编号）</x:v>
      </x:c>
      <x:c r="M16" s="43"/>
      <x:c r="N16" s="43"/>
      <x:c r="O16" s="43"/>
      <x:c r="P16" s="43"/>
      <x:c r="Q16" s="44" t="str">
        <x:f>IF(OR(M16="",P16="",P16=0),"",M16/P16)</x:f>
      </x:c>
      <x:c r="R16" s="44" t="str">
        <x:f>IF(OR(N16="",O16="",O16=0),"",N16/O16)</x:f>
      </x:c>
      <x:c r="S16" s="44" t="str">
        <x:f>IF(OR(Q16="",R16=""),"",AVERAGE(Q16:R16))</x:f>
      </x:c>
      <x:c r="T16" s="36" t="str">
        <x:f>IF(COUNTA(M16:P16)=0,"待返回",IF(COUNTA(M16:P16)&lt;4,"待补充",IF(OR(O16=0,P16=0),"检查分母","已返回")))</x:f>
        <x:v>待返回</x:v>
      </x:c>
      <x:c r="U16" s="51" t="str">
        <x:v>固定n=8、β=3.0、Pbi=0.2；对应论文图2.10</x:v>
      </x:c>
    </x:row>
    <x:row r="17" ht="27" customHeight="1">
      <x:c r="A17" s="27" t="str">
        <x:v>ρ×n1</x:v>
      </x:c>
      <x:c r="B17" s="27" t="str">
        <x:v>相关系数ρ</x:v>
      </x:c>
      <x:c r="C17" s="27" t="n">
        <x:v>0.9</x:v>
      </x:c>
      <x:c r="D17" s="27" t="str">
        <x:v>潜在脆性构件数n1</x:v>
      </x:c>
      <x:c r="E17" s="27" t="n">
        <x:v>2</x:v>
      </x:c>
      <x:c r="F17" s="27" t="n">
        <x:v>8</x:v>
      </x:c>
      <x:c r="G17" s="27" t="n">
        <x:v>2</x:v>
      </x:c>
      <x:c r="H17" s="39" t="n">
        <x:v>3</x:v>
      </x:c>
      <x:c r="I17" s="39" t="n">
        <x:v>0.9</x:v>
      </x:c>
      <x:c r="J17" s="39" t="n">
        <x:v>0.2</x:v>
      </x:c>
      <x:c r="K17" s="27" t="n">
        <x:v>3</x:v>
      </x:c>
      <x:c r="L17" s="48" t="str">
        <x:v>潜在脆性构件之一i（固定同一编号）</x:v>
      </x:c>
      <x:c r="M17" s="43"/>
      <x:c r="N17" s="43"/>
      <x:c r="O17" s="43"/>
      <x:c r="P17" s="43"/>
      <x:c r="Q17" s="44" t="str">
        <x:f>IF(OR(M17="",P17="",P17=0),"",M17/P17)</x:f>
      </x:c>
      <x:c r="R17" s="44" t="str">
        <x:f>IF(OR(N17="",O17="",O17=0),"",N17/O17)</x:f>
      </x:c>
      <x:c r="S17" s="44" t="str">
        <x:f>IF(OR(Q17="",R17=""),"",AVERAGE(Q17:R17))</x:f>
      </x:c>
      <x:c r="T17" s="36" t="str">
        <x:f>IF(COUNTA(M17:P17)=0,"待返回",IF(COUNTA(M17:P17)&lt;4,"待补充",IF(OR(O17=0,P17=0),"检查分母","已返回")))</x:f>
        <x:v>待返回</x:v>
      </x:c>
      <x:c r="U17" s="51" t="str">
        <x:v>固定n=8、β=3.0、Pbi=0.2；对应论文图2.10</x:v>
      </x:c>
    </x:row>
    <x:row r="18" ht="27" customHeight="1">
      <x:c r="A18" s="27" t="str">
        <x:v>ρ×n1</x:v>
      </x:c>
      <x:c r="B18" s="27" t="str">
        <x:v>相关系数ρ</x:v>
      </x:c>
      <x:c r="C18" s="27" t="n">
        <x:v>0.1</x:v>
      </x:c>
      <x:c r="D18" s="27" t="str">
        <x:v>潜在脆性构件数n1</x:v>
      </x:c>
      <x:c r="E18" s="27" t="n">
        <x:v>3</x:v>
      </x:c>
      <x:c r="F18" s="27" t="n">
        <x:v>8</x:v>
      </x:c>
      <x:c r="G18" s="27" t="n">
        <x:v>3</x:v>
      </x:c>
      <x:c r="H18" s="39" t="n">
        <x:v>3</x:v>
      </x:c>
      <x:c r="I18" s="39" t="n">
        <x:v>0.1</x:v>
      </x:c>
      <x:c r="J18" s="39" t="n">
        <x:v>0.2</x:v>
      </x:c>
      <x:c r="K18" s="27" t="n">
        <x:v>3</x:v>
      </x:c>
      <x:c r="L18" s="48" t="str">
        <x:v>潜在脆性构件之一i（固定同一编号）</x:v>
      </x:c>
      <x:c r="M18" s="43"/>
      <x:c r="N18" s="43"/>
      <x:c r="O18" s="43"/>
      <x:c r="P18" s="43"/>
      <x:c r="Q18" s="44" t="str">
        <x:f>IF(OR(M18="",P18="",P18=0),"",M18/P18)</x:f>
      </x:c>
      <x:c r="R18" s="44" t="str">
        <x:f>IF(OR(N18="",O18="",O18=0),"",N18/O18)</x:f>
      </x:c>
      <x:c r="S18" s="44" t="str">
        <x:f>IF(OR(Q18="",R18=""),"",AVERAGE(Q18:R18))</x:f>
      </x:c>
      <x:c r="T18" s="36" t="str">
        <x:f>IF(COUNTA(M18:P18)=0,"待返回",IF(COUNTA(M18:P18)&lt;4,"待补充",IF(OR(O18=0,P18=0),"检查分母","已返回")))</x:f>
        <x:v>待返回</x:v>
      </x:c>
      <x:c r="U18" s="51" t="str">
        <x:v>固定n=8、β=3.0、Pbi=0.2；对应论文图2.10</x:v>
      </x:c>
    </x:row>
    <x:row r="19" ht="27" customHeight="1">
      <x:c r="A19" s="27" t="str">
        <x:v>ρ×n1</x:v>
      </x:c>
      <x:c r="B19" s="27" t="str">
        <x:v>相关系数ρ</x:v>
      </x:c>
      <x:c r="C19" s="27" t="n">
        <x:v>0.3</x:v>
      </x:c>
      <x:c r="D19" s="27" t="str">
        <x:v>潜在脆性构件数n1</x:v>
      </x:c>
      <x:c r="E19" s="27" t="n">
        <x:v>3</x:v>
      </x:c>
      <x:c r="F19" s="27" t="n">
        <x:v>8</x:v>
      </x:c>
      <x:c r="G19" s="27" t="n">
        <x:v>3</x:v>
      </x:c>
      <x:c r="H19" s="39" t="n">
        <x:v>3</x:v>
      </x:c>
      <x:c r="I19" s="39" t="n">
        <x:v>0.3</x:v>
      </x:c>
      <x:c r="J19" s="39" t="n">
        <x:v>0.2</x:v>
      </x:c>
      <x:c r="K19" s="27" t="n">
        <x:v>3</x:v>
      </x:c>
      <x:c r="L19" s="48" t="str">
        <x:v>潜在脆性构件之一i（固定同一编号）</x:v>
      </x:c>
      <x:c r="M19" s="43"/>
      <x:c r="N19" s="43"/>
      <x:c r="O19" s="43"/>
      <x:c r="P19" s="43"/>
      <x:c r="Q19" s="44" t="str">
        <x:f>IF(OR(M19="",P19="",P19=0),"",M19/P19)</x:f>
      </x:c>
      <x:c r="R19" s="44" t="str">
        <x:f>IF(OR(N19="",O19="",O19=0),"",N19/O19)</x:f>
      </x:c>
      <x:c r="S19" s="44" t="str">
        <x:f>IF(OR(Q19="",R19=""),"",AVERAGE(Q19:R19))</x:f>
      </x:c>
      <x:c r="T19" s="36" t="str">
        <x:f>IF(COUNTA(M19:P19)=0,"待返回",IF(COUNTA(M19:P19)&lt;4,"待补充",IF(OR(O19=0,P19=0),"检查分母","已返回")))</x:f>
        <x:v>待返回</x:v>
      </x:c>
      <x:c r="U19" s="51" t="str">
        <x:v>固定n=8、β=3.0、Pbi=0.2；对应论文图2.10</x:v>
      </x:c>
    </x:row>
    <x:row r="20" ht="27" customHeight="1">
      <x:c r="A20" s="27" t="str">
        <x:v>ρ×n1</x:v>
      </x:c>
      <x:c r="B20" s="27" t="str">
        <x:v>相关系数ρ</x:v>
      </x:c>
      <x:c r="C20" s="27" t="n">
        <x:v>0.5</x:v>
      </x:c>
      <x:c r="D20" s="27" t="str">
        <x:v>潜在脆性构件数n1</x:v>
      </x:c>
      <x:c r="E20" s="27" t="n">
        <x:v>3</x:v>
      </x:c>
      <x:c r="F20" s="27" t="n">
        <x:v>8</x:v>
      </x:c>
      <x:c r="G20" s="27" t="n">
        <x:v>3</x:v>
      </x:c>
      <x:c r="H20" s="39" t="n">
        <x:v>3</x:v>
      </x:c>
      <x:c r="I20" s="39" t="n">
        <x:v>0.5</x:v>
      </x:c>
      <x:c r="J20" s="39" t="n">
        <x:v>0.2</x:v>
      </x:c>
      <x:c r="K20" s="27" t="n">
        <x:v>3</x:v>
      </x:c>
      <x:c r="L20" s="48" t="str">
        <x:v>潜在脆性构件之一i（固定同一编号）</x:v>
      </x:c>
      <x:c r="M20" s="43"/>
      <x:c r="N20" s="43"/>
      <x:c r="O20" s="43"/>
      <x:c r="P20" s="43"/>
      <x:c r="Q20" s="44" t="str">
        <x:f>IF(OR(M20="",P20="",P20=0),"",M20/P20)</x:f>
      </x:c>
      <x:c r="R20" s="44" t="str">
        <x:f>IF(OR(N20="",O20="",O20=0),"",N20/O20)</x:f>
      </x:c>
      <x:c r="S20" s="44" t="str">
        <x:f>IF(OR(Q20="",R20=""),"",AVERAGE(Q20:R20))</x:f>
      </x:c>
      <x:c r="T20" s="36" t="str">
        <x:f>IF(COUNTA(M20:P20)=0,"待返回",IF(COUNTA(M20:P20)&lt;4,"待补充",IF(OR(O20=0,P20=0),"检查分母","已返回")))</x:f>
        <x:v>待返回</x:v>
      </x:c>
      <x:c r="U20" s="51" t="str">
        <x:v>固定n=8、β=3.0、Pbi=0.2；对应论文图2.10</x:v>
      </x:c>
    </x:row>
    <x:row r="21" ht="27" customHeight="1">
      <x:c r="A21" s="27" t="str">
        <x:v>ρ×n1</x:v>
      </x:c>
      <x:c r="B21" s="27" t="str">
        <x:v>相关系数ρ</x:v>
      </x:c>
      <x:c r="C21" s="27" t="n">
        <x:v>0.7</x:v>
      </x:c>
      <x:c r="D21" s="27" t="str">
        <x:v>潜在脆性构件数n1</x:v>
      </x:c>
      <x:c r="E21" s="27" t="n">
        <x:v>3</x:v>
      </x:c>
      <x:c r="F21" s="27" t="n">
        <x:v>8</x:v>
      </x:c>
      <x:c r="G21" s="27" t="n">
        <x:v>3</x:v>
      </x:c>
      <x:c r="H21" s="39" t="n">
        <x:v>3</x:v>
      </x:c>
      <x:c r="I21" s="39" t="n">
        <x:v>0.7</x:v>
      </x:c>
      <x:c r="J21" s="39" t="n">
        <x:v>0.2</x:v>
      </x:c>
      <x:c r="K21" s="27" t="n">
        <x:v>3</x:v>
      </x:c>
      <x:c r="L21" s="48" t="str">
        <x:v>潜在脆性构件之一i（固定同一编号）</x:v>
      </x:c>
      <x:c r="M21" s="43"/>
      <x:c r="N21" s="43"/>
      <x:c r="O21" s="43"/>
      <x:c r="P21" s="43"/>
      <x:c r="Q21" s="44" t="str">
        <x:f>IF(OR(M21="",P21="",P21=0),"",M21/P21)</x:f>
      </x:c>
      <x:c r="R21" s="44" t="str">
        <x:f>IF(OR(N21="",O21="",O21=0),"",N21/O21)</x:f>
      </x:c>
      <x:c r="S21" s="44" t="str">
        <x:f>IF(OR(Q21="",R21=""),"",AVERAGE(Q21:R21))</x:f>
      </x:c>
      <x:c r="T21" s="36" t="str">
        <x:f>IF(COUNTA(M21:P21)=0,"待返回",IF(COUNTA(M21:P21)&lt;4,"待补充",IF(OR(O21=0,P21=0),"检查分母","已返回")))</x:f>
        <x:v>待返回</x:v>
      </x:c>
      <x:c r="U21" s="51" t="str">
        <x:v>固定n=8、β=3.0、Pbi=0.2；对应论文图2.10</x:v>
      </x:c>
    </x:row>
    <x:row r="22" ht="27" customHeight="1">
      <x:c r="A22" s="27" t="str">
        <x:v>ρ×n1</x:v>
      </x:c>
      <x:c r="B22" s="27" t="str">
        <x:v>相关系数ρ</x:v>
      </x:c>
      <x:c r="C22" s="27" t="n">
        <x:v>0.9</x:v>
      </x:c>
      <x:c r="D22" s="27" t="str">
        <x:v>潜在脆性构件数n1</x:v>
      </x:c>
      <x:c r="E22" s="27" t="n">
        <x:v>3</x:v>
      </x:c>
      <x:c r="F22" s="27" t="n">
        <x:v>8</x:v>
      </x:c>
      <x:c r="G22" s="27" t="n">
        <x:v>3</x:v>
      </x:c>
      <x:c r="H22" s="39" t="n">
        <x:v>3</x:v>
      </x:c>
      <x:c r="I22" s="39" t="n">
        <x:v>0.9</x:v>
      </x:c>
      <x:c r="J22" s="39" t="n">
        <x:v>0.2</x:v>
      </x:c>
      <x:c r="K22" s="27" t="n">
        <x:v>3</x:v>
      </x:c>
      <x:c r="L22" s="48" t="str">
        <x:v>潜在脆性构件之一i（固定同一编号）</x:v>
      </x:c>
      <x:c r="M22" s="43"/>
      <x:c r="N22" s="43"/>
      <x:c r="O22" s="43"/>
      <x:c r="P22" s="43"/>
      <x:c r="Q22" s="44" t="str">
        <x:f>IF(OR(M22="",P22="",P22=0),"",M22/P22)</x:f>
      </x:c>
      <x:c r="R22" s="44" t="str">
        <x:f>IF(OR(N22="",O22="",O22=0),"",N22/O22)</x:f>
      </x:c>
      <x:c r="S22" s="44" t="str">
        <x:f>IF(OR(Q22="",R22=""),"",AVERAGE(Q22:R22))</x:f>
      </x:c>
      <x:c r="T22" s="36" t="str">
        <x:f>IF(COUNTA(M22:P22)=0,"待返回",IF(COUNTA(M22:P22)&lt;4,"待补充",IF(OR(O22=0,P22=0),"检查分母","已返回")))</x:f>
        <x:v>待返回</x:v>
      </x:c>
      <x:c r="U22" s="51" t="str">
        <x:v>固定n=8、β=3.0、Pbi=0.2；对应论文图2.10</x:v>
      </x:c>
    </x:row>
    <x:row r="23" ht="27" customHeight="1">
      <x:c r="A23" s="27" t="str">
        <x:v>n×n1</x:v>
      </x:c>
      <x:c r="B23" s="27" t="str">
        <x:v>构件总数n</x:v>
      </x:c>
      <x:c r="C23" s="27" t="n">
        <x:v>8</x:v>
      </x:c>
      <x:c r="D23" s="27" t="str">
        <x:v>潜在脆性构件数n1</x:v>
      </x:c>
      <x:c r="E23" s="27" t="n">
        <x:v>1</x:v>
      </x:c>
      <x:c r="F23" s="27" t="n">
        <x:v>8</x:v>
      </x:c>
      <x:c r="G23" s="27" t="n">
        <x:v>1</x:v>
      </x:c>
      <x:c r="H23" s="39" t="n">
        <x:v>3</x:v>
      </x:c>
      <x:c r="I23" s="39" t="n">
        <x:v>0.3</x:v>
      </x:c>
      <x:c r="J23" s="39" t="n">
        <x:v>0.2</x:v>
      </x:c>
      <x:c r="K23" s="27" t="n">
        <x:v>3</x:v>
      </x:c>
      <x:c r="L23" s="48" t="str">
        <x:v>唯一潜在脆性构件i</x:v>
      </x:c>
      <x:c r="M23" s="43"/>
      <x:c r="N23" s="43"/>
      <x:c r="O23" s="43"/>
      <x:c r="P23" s="43"/>
      <x:c r="Q23" s="44" t="str">
        <x:f>IF(OR(M23="",P23="",P23=0),"",M23/P23)</x:f>
      </x:c>
      <x:c r="R23" s="44" t="str">
        <x:f>IF(OR(N23="",O23="",O23=0),"",N23/O23)</x:f>
      </x:c>
      <x:c r="S23" s="44" t="str">
        <x:f>IF(OR(Q23="",R23=""),"",AVERAGE(Q23:R23))</x:f>
      </x:c>
      <x:c r="T23" s="36" t="str">
        <x:f>IF(COUNTA(M23:P23)=0,"待返回",IF(COUNTA(M23:P23)&lt;4,"待补充",IF(OR(O23=0,P23=0),"检查分母","已返回")))</x:f>
        <x:v>待返回</x:v>
      </x:c>
      <x:c r="U23" s="51" t="str">
        <x:v>固定ρ=0.3、β=3.0、Pbi=0.2；对应论文图2.11</x:v>
      </x:c>
    </x:row>
    <x:row r="24" ht="27" customHeight="1">
      <x:c r="A24" s="27" t="str">
        <x:v>n×n1</x:v>
      </x:c>
      <x:c r="B24" s="27" t="str">
        <x:v>构件总数n</x:v>
      </x:c>
      <x:c r="C24" s="27" t="n">
        <x:v>12</x:v>
      </x:c>
      <x:c r="D24" s="27" t="str">
        <x:v>潜在脆性构件数n1</x:v>
      </x:c>
      <x:c r="E24" s="27" t="n">
        <x:v>1</x:v>
      </x:c>
      <x:c r="F24" s="27" t="n">
        <x:v>12</x:v>
      </x:c>
      <x:c r="G24" s="27" t="n">
        <x:v>1</x:v>
      </x:c>
      <x:c r="H24" s="39" t="n">
        <x:v>3</x:v>
      </x:c>
      <x:c r="I24" s="39" t="n">
        <x:v>0.3</x:v>
      </x:c>
      <x:c r="J24" s="39" t="n">
        <x:v>0.2</x:v>
      </x:c>
      <x:c r="K24" s="27" t="n">
        <x:v>3</x:v>
      </x:c>
      <x:c r="L24" s="48" t="str">
        <x:v>唯一潜在脆性构件i</x:v>
      </x:c>
      <x:c r="M24" s="43"/>
      <x:c r="N24" s="43"/>
      <x:c r="O24" s="43"/>
      <x:c r="P24" s="43"/>
      <x:c r="Q24" s="44" t="str">
        <x:f>IF(OR(M24="",P24="",P24=0),"",M24/P24)</x:f>
      </x:c>
      <x:c r="R24" s="44" t="str">
        <x:f>IF(OR(N24="",O24="",O24=0),"",N24/O24)</x:f>
      </x:c>
      <x:c r="S24" s="44" t="str">
        <x:f>IF(OR(Q24="",R24=""),"",AVERAGE(Q24:R24))</x:f>
      </x:c>
      <x:c r="T24" s="36" t="str">
        <x:f>IF(COUNTA(M24:P24)=0,"待返回",IF(COUNTA(M24:P24)&lt;4,"待补充",IF(OR(O24=0,P24=0),"检查分母","已返回")))</x:f>
        <x:v>待返回</x:v>
      </x:c>
      <x:c r="U24" s="51" t="str">
        <x:v>固定ρ=0.3、β=3.0、Pbi=0.2；对应论文图2.11</x:v>
      </x:c>
    </x:row>
    <x:row r="25" ht="27" customHeight="1">
      <x:c r="A25" s="27" t="str">
        <x:v>n×n1</x:v>
      </x:c>
      <x:c r="B25" s="27" t="str">
        <x:v>构件总数n</x:v>
      </x:c>
      <x:c r="C25" s="27" t="n">
        <x:v>16</x:v>
      </x:c>
      <x:c r="D25" s="27" t="str">
        <x:v>潜在脆性构件数n1</x:v>
      </x:c>
      <x:c r="E25" s="27" t="n">
        <x:v>1</x:v>
      </x:c>
      <x:c r="F25" s="27" t="n">
        <x:v>16</x:v>
      </x:c>
      <x:c r="G25" s="27" t="n">
        <x:v>1</x:v>
      </x:c>
      <x:c r="H25" s="39" t="n">
        <x:v>3</x:v>
      </x:c>
      <x:c r="I25" s="39" t="n">
        <x:v>0.3</x:v>
      </x:c>
      <x:c r="J25" s="39" t="n">
        <x:v>0.2</x:v>
      </x:c>
      <x:c r="K25" s="27" t="n">
        <x:v>3</x:v>
      </x:c>
      <x:c r="L25" s="48" t="str">
        <x:v>唯一潜在脆性构件i</x:v>
      </x:c>
      <x:c r="M25" s="43"/>
      <x:c r="N25" s="43"/>
      <x:c r="O25" s="43"/>
      <x:c r="P25" s="43"/>
      <x:c r="Q25" s="44" t="str">
        <x:f>IF(OR(M25="",P25="",P25=0),"",M25/P25)</x:f>
      </x:c>
      <x:c r="R25" s="44" t="str">
        <x:f>IF(OR(N25="",O25="",O25=0),"",N25/O25)</x:f>
      </x:c>
      <x:c r="S25" s="44" t="str">
        <x:f>IF(OR(Q25="",R25=""),"",AVERAGE(Q25:R25))</x:f>
      </x:c>
      <x:c r="T25" s="36" t="str">
        <x:f>IF(COUNTA(M25:P25)=0,"待返回",IF(COUNTA(M25:P25)&lt;4,"待补充",IF(OR(O25=0,P25=0),"检查分母","已返回")))</x:f>
        <x:v>待返回</x:v>
      </x:c>
      <x:c r="U25" s="51" t="str">
        <x:v>固定ρ=0.3、β=3.0、Pbi=0.2；对应论文图2.11</x:v>
      </x:c>
    </x:row>
    <x:row r="26" ht="27" customHeight="1">
      <x:c r="A26" s="27" t="str">
        <x:v>n×n1</x:v>
      </x:c>
      <x:c r="B26" s="27" t="str">
        <x:v>构件总数n</x:v>
      </x:c>
      <x:c r="C26" s="27" t="n">
        <x:v>20</x:v>
      </x:c>
      <x:c r="D26" s="27" t="str">
        <x:v>潜在脆性构件数n1</x:v>
      </x:c>
      <x:c r="E26" s="27" t="n">
        <x:v>1</x:v>
      </x:c>
      <x:c r="F26" s="27" t="n">
        <x:v>20</x:v>
      </x:c>
      <x:c r="G26" s="27" t="n">
        <x:v>1</x:v>
      </x:c>
      <x:c r="H26" s="39" t="n">
        <x:v>3</x:v>
      </x:c>
      <x:c r="I26" s="39" t="n">
        <x:v>0.3</x:v>
      </x:c>
      <x:c r="J26" s="39" t="n">
        <x:v>0.2</x:v>
      </x:c>
      <x:c r="K26" s="27" t="n">
        <x:v>3</x:v>
      </x:c>
      <x:c r="L26" s="48" t="str">
        <x:v>唯一潜在脆性构件i</x:v>
      </x:c>
      <x:c r="M26" s="43"/>
      <x:c r="N26" s="43"/>
      <x:c r="O26" s="43"/>
      <x:c r="P26" s="43"/>
      <x:c r="Q26" s="44" t="str">
        <x:f>IF(OR(M26="",P26="",P26=0),"",M26/P26)</x:f>
      </x:c>
      <x:c r="R26" s="44" t="str">
        <x:f>IF(OR(N26="",O26="",O26=0),"",N26/O26)</x:f>
      </x:c>
      <x:c r="S26" s="44" t="str">
        <x:f>IF(OR(Q26="",R26=""),"",AVERAGE(Q26:R26))</x:f>
      </x:c>
      <x:c r="T26" s="36" t="str">
        <x:f>IF(COUNTA(M26:P26)=0,"待返回",IF(COUNTA(M26:P26)&lt;4,"待补充",IF(OR(O26=0,P26=0),"检查分母","已返回")))</x:f>
        <x:v>待返回</x:v>
      </x:c>
      <x:c r="U26" s="51" t="str">
        <x:v>固定ρ=0.3、β=3.0、Pbi=0.2；对应论文图2.11</x:v>
      </x:c>
    </x:row>
    <x:row r="27" ht="27" customHeight="1">
      <x:c r="A27" s="27" t="str">
        <x:v>n×n1</x:v>
      </x:c>
      <x:c r="B27" s="27" t="str">
        <x:v>构件总数n</x:v>
      </x:c>
      <x:c r="C27" s="27" t="n">
        <x:v>24</x:v>
      </x:c>
      <x:c r="D27" s="27" t="str">
        <x:v>潜在脆性构件数n1</x:v>
      </x:c>
      <x:c r="E27" s="27" t="n">
        <x:v>1</x:v>
      </x:c>
      <x:c r="F27" s="27" t="n">
        <x:v>24</x:v>
      </x:c>
      <x:c r="G27" s="27" t="n">
        <x:v>1</x:v>
      </x:c>
      <x:c r="H27" s="39" t="n">
        <x:v>3</x:v>
      </x:c>
      <x:c r="I27" s="39" t="n">
        <x:v>0.3</x:v>
      </x:c>
      <x:c r="J27" s="39" t="n">
        <x:v>0.2</x:v>
      </x:c>
      <x:c r="K27" s="27" t="n">
        <x:v>3</x:v>
      </x:c>
      <x:c r="L27" s="48" t="str">
        <x:v>唯一潜在脆性构件i</x:v>
      </x:c>
      <x:c r="M27" s="43"/>
      <x:c r="N27" s="43"/>
      <x:c r="O27" s="43"/>
      <x:c r="P27" s="43"/>
      <x:c r="Q27" s="44" t="str">
        <x:f>IF(OR(M27="",P27="",P27=0),"",M27/P27)</x:f>
      </x:c>
      <x:c r="R27" s="44" t="str">
        <x:f>IF(OR(N27="",O27="",O27=0),"",N27/O27)</x:f>
      </x:c>
      <x:c r="S27" s="44" t="str">
        <x:f>IF(OR(Q27="",R27=""),"",AVERAGE(Q27:R27))</x:f>
      </x:c>
      <x:c r="T27" s="36" t="str">
        <x:f>IF(COUNTA(M27:P27)=0,"待返回",IF(COUNTA(M27:P27)&lt;4,"待补充",IF(OR(O27=0,P27=0),"检查分母","已返回")))</x:f>
        <x:v>待返回</x:v>
      </x:c>
      <x:c r="U27" s="51" t="str">
        <x:v>固定ρ=0.3、β=3.0、Pbi=0.2；对应论文图2.11</x:v>
      </x:c>
    </x:row>
    <x:row r="28" ht="27" customHeight="1">
      <x:c r="A28" s="27" t="str">
        <x:v>n×n1</x:v>
      </x:c>
      <x:c r="B28" s="27" t="str">
        <x:v>构件总数n</x:v>
      </x:c>
      <x:c r="C28" s="27" t="n">
        <x:v>28</x:v>
      </x:c>
      <x:c r="D28" s="27" t="str">
        <x:v>潜在脆性构件数n1</x:v>
      </x:c>
      <x:c r="E28" s="27" t="n">
        <x:v>1</x:v>
      </x:c>
      <x:c r="F28" s="27" t="n">
        <x:v>28</x:v>
      </x:c>
      <x:c r="G28" s="27" t="n">
        <x:v>1</x:v>
      </x:c>
      <x:c r="H28" s="39" t="n">
        <x:v>3</x:v>
      </x:c>
      <x:c r="I28" s="39" t="n">
        <x:v>0.3</x:v>
      </x:c>
      <x:c r="J28" s="39" t="n">
        <x:v>0.2</x:v>
      </x:c>
      <x:c r="K28" s="27" t="n">
        <x:v>3</x:v>
      </x:c>
      <x:c r="L28" s="48" t="str">
        <x:v>唯一潜在脆性构件i</x:v>
      </x:c>
      <x:c r="M28" s="43"/>
      <x:c r="N28" s="43"/>
      <x:c r="O28" s="43"/>
      <x:c r="P28" s="43"/>
      <x:c r="Q28" s="44" t="str">
        <x:f>IF(OR(M28="",P28="",P28=0),"",M28/P28)</x:f>
      </x:c>
      <x:c r="R28" s="44" t="str">
        <x:f>IF(OR(N28="",O28="",O28=0),"",N28/O28)</x:f>
      </x:c>
      <x:c r="S28" s="44" t="str">
        <x:f>IF(OR(Q28="",R28=""),"",AVERAGE(Q28:R28))</x:f>
      </x:c>
      <x:c r="T28" s="36" t="str">
        <x:f>IF(COUNTA(M28:P28)=0,"待返回",IF(COUNTA(M28:P28)&lt;4,"待补充",IF(OR(O28=0,P28=0),"检查分母","已返回")))</x:f>
        <x:v>待返回</x:v>
      </x:c>
      <x:c r="U28" s="51" t="str">
        <x:v>固定ρ=0.3、β=3.0、Pbi=0.2；对应论文图2.11</x:v>
      </x:c>
    </x:row>
    <x:row r="29" ht="27" customHeight="1">
      <x:c r="A29" s="27" t="str">
        <x:v>n×n1</x:v>
      </x:c>
      <x:c r="B29" s="27" t="str">
        <x:v>构件总数n</x:v>
      </x:c>
      <x:c r="C29" s="27" t="n">
        <x:v>32</x:v>
      </x:c>
      <x:c r="D29" s="27" t="str">
        <x:v>潜在脆性构件数n1</x:v>
      </x:c>
      <x:c r="E29" s="27" t="n">
        <x:v>1</x:v>
      </x:c>
      <x:c r="F29" s="27" t="n">
        <x:v>32</x:v>
      </x:c>
      <x:c r="G29" s="27" t="n">
        <x:v>1</x:v>
      </x:c>
      <x:c r="H29" s="39" t="n">
        <x:v>3</x:v>
      </x:c>
      <x:c r="I29" s="39" t="n">
        <x:v>0.3</x:v>
      </x:c>
      <x:c r="J29" s="39" t="n">
        <x:v>0.2</x:v>
      </x:c>
      <x:c r="K29" s="27" t="n">
        <x:v>3</x:v>
      </x:c>
      <x:c r="L29" s="48" t="str">
        <x:v>唯一潜在脆性构件i</x:v>
      </x:c>
      <x:c r="M29" s="43"/>
      <x:c r="N29" s="43"/>
      <x:c r="O29" s="43"/>
      <x:c r="P29" s="43"/>
      <x:c r="Q29" s="44" t="str">
        <x:f>IF(OR(M29="",P29="",P29=0),"",M29/P29)</x:f>
      </x:c>
      <x:c r="R29" s="44" t="str">
        <x:f>IF(OR(N29="",O29="",O29=0),"",N29/O29)</x:f>
      </x:c>
      <x:c r="S29" s="44" t="str">
        <x:f>IF(OR(Q29="",R29=""),"",AVERAGE(Q29:R29))</x:f>
      </x:c>
      <x:c r="T29" s="36" t="str">
        <x:f>IF(COUNTA(M29:P29)=0,"待返回",IF(COUNTA(M29:P29)&lt;4,"待补充",IF(OR(O29=0,P29=0),"检查分母","已返回")))</x:f>
        <x:v>待返回</x:v>
      </x:c>
      <x:c r="U29" s="51" t="str">
        <x:v>固定ρ=0.3、β=3.0、Pbi=0.2；对应论文图2.11</x:v>
      </x:c>
    </x:row>
    <x:row r="30" ht="27" customHeight="1">
      <x:c r="A30" s="27" t="str">
        <x:v>n×n1</x:v>
      </x:c>
      <x:c r="B30" s="27" t="str">
        <x:v>构件总数n</x:v>
      </x:c>
      <x:c r="C30" s="27" t="n">
        <x:v>36</x:v>
      </x:c>
      <x:c r="D30" s="27" t="str">
        <x:v>潜在脆性构件数n1</x:v>
      </x:c>
      <x:c r="E30" s="27" t="n">
        <x:v>1</x:v>
      </x:c>
      <x:c r="F30" s="27" t="n">
        <x:v>36</x:v>
      </x:c>
      <x:c r="G30" s="27" t="n">
        <x:v>1</x:v>
      </x:c>
      <x:c r="H30" s="39" t="n">
        <x:v>3</x:v>
      </x:c>
      <x:c r="I30" s="39" t="n">
        <x:v>0.3</x:v>
      </x:c>
      <x:c r="J30" s="39" t="n">
        <x:v>0.2</x:v>
      </x:c>
      <x:c r="K30" s="27" t="n">
        <x:v>3</x:v>
      </x:c>
      <x:c r="L30" s="48" t="str">
        <x:v>唯一潜在脆性构件i</x:v>
      </x:c>
      <x:c r="M30" s="43"/>
      <x:c r="N30" s="43"/>
      <x:c r="O30" s="43"/>
      <x:c r="P30" s="43"/>
      <x:c r="Q30" s="44" t="str">
        <x:f>IF(OR(M30="",P30="",P30=0),"",M30/P30)</x:f>
      </x:c>
      <x:c r="R30" s="44" t="str">
        <x:f>IF(OR(N30="",O30="",O30=0),"",N30/O30)</x:f>
      </x:c>
      <x:c r="S30" s="44" t="str">
        <x:f>IF(OR(Q30="",R30=""),"",AVERAGE(Q30:R30))</x:f>
      </x:c>
      <x:c r="T30" s="36" t="str">
        <x:f>IF(COUNTA(M30:P30)=0,"待返回",IF(COUNTA(M30:P30)&lt;4,"待补充",IF(OR(O30=0,P30=0),"检查分母","已返回")))</x:f>
        <x:v>待返回</x:v>
      </x:c>
      <x:c r="U30" s="51" t="str">
        <x:v>固定ρ=0.3、β=3.0、Pbi=0.2；对应论文图2.11</x:v>
      </x:c>
    </x:row>
    <x:row r="31" ht="27" customHeight="1">
      <x:c r="A31" s="27" t="str">
        <x:v>n×n1</x:v>
      </x:c>
      <x:c r="B31" s="27" t="str">
        <x:v>构件总数n</x:v>
      </x:c>
      <x:c r="C31" s="27" t="n">
        <x:v>40</x:v>
      </x:c>
      <x:c r="D31" s="27" t="str">
        <x:v>潜在脆性构件数n1</x:v>
      </x:c>
      <x:c r="E31" s="27" t="n">
        <x:v>1</x:v>
      </x:c>
      <x:c r="F31" s="27" t="n">
        <x:v>40</x:v>
      </x:c>
      <x:c r="G31" s="27" t="n">
        <x:v>1</x:v>
      </x:c>
      <x:c r="H31" s="39" t="n">
        <x:v>3</x:v>
      </x:c>
      <x:c r="I31" s="39" t="n">
        <x:v>0.3</x:v>
      </x:c>
      <x:c r="J31" s="39" t="n">
        <x:v>0.2</x:v>
      </x:c>
      <x:c r="K31" s="27" t="n">
        <x:v>3</x:v>
      </x:c>
      <x:c r="L31" s="48" t="str">
        <x:v>唯一潜在脆性构件i</x:v>
      </x:c>
      <x:c r="M31" s="43"/>
      <x:c r="N31" s="43"/>
      <x:c r="O31" s="43"/>
      <x:c r="P31" s="43"/>
      <x:c r="Q31" s="44" t="str">
        <x:f>IF(OR(M31="",P31="",P31=0),"",M31/P31)</x:f>
      </x:c>
      <x:c r="R31" s="44" t="str">
        <x:f>IF(OR(N31="",O31="",O31=0),"",N31/O31)</x:f>
      </x:c>
      <x:c r="S31" s="44" t="str">
        <x:f>IF(OR(Q31="",R31=""),"",AVERAGE(Q31:R31))</x:f>
      </x:c>
      <x:c r="T31" s="36" t="str">
        <x:f>IF(COUNTA(M31:P31)=0,"待返回",IF(COUNTA(M31:P31)&lt;4,"待补充",IF(OR(O31=0,P31=0),"检查分母","已返回")))</x:f>
        <x:v>待返回</x:v>
      </x:c>
      <x:c r="U31" s="51" t="str">
        <x:v>固定ρ=0.3、β=3.0、Pbi=0.2；对应论文图2.11</x:v>
      </x:c>
    </x:row>
    <x:row r="32" ht="27" customHeight="1">
      <x:c r="A32" s="27" t="str">
        <x:v>n×n1</x:v>
      </x:c>
      <x:c r="B32" s="27" t="str">
        <x:v>构件总数n</x:v>
      </x:c>
      <x:c r="C32" s="27" t="n">
        <x:v>44</x:v>
      </x:c>
      <x:c r="D32" s="27" t="str">
        <x:v>潜在脆性构件数n1</x:v>
      </x:c>
      <x:c r="E32" s="27" t="n">
        <x:v>1</x:v>
      </x:c>
      <x:c r="F32" s="27" t="n">
        <x:v>44</x:v>
      </x:c>
      <x:c r="G32" s="27" t="n">
        <x:v>1</x:v>
      </x:c>
      <x:c r="H32" s="39" t="n">
        <x:v>3</x:v>
      </x:c>
      <x:c r="I32" s="39" t="n">
        <x:v>0.3</x:v>
      </x:c>
      <x:c r="J32" s="39" t="n">
        <x:v>0.2</x:v>
      </x:c>
      <x:c r="K32" s="27" t="n">
        <x:v>3</x:v>
      </x:c>
      <x:c r="L32" s="48" t="str">
        <x:v>唯一潜在脆性构件i</x:v>
      </x:c>
      <x:c r="M32" s="43"/>
      <x:c r="N32" s="43"/>
      <x:c r="O32" s="43"/>
      <x:c r="P32" s="43"/>
      <x:c r="Q32" s="44" t="str">
        <x:f>IF(OR(M32="",P32="",P32=0),"",M32/P32)</x:f>
      </x:c>
      <x:c r="R32" s="44" t="str">
        <x:f>IF(OR(N32="",O32="",O32=0),"",N32/O32)</x:f>
      </x:c>
      <x:c r="S32" s="44" t="str">
        <x:f>IF(OR(Q32="",R32=""),"",AVERAGE(Q32:R32))</x:f>
      </x:c>
      <x:c r="T32" s="36" t="str">
        <x:f>IF(COUNTA(M32:P32)=0,"待返回",IF(COUNTA(M32:P32)&lt;4,"待补充",IF(OR(O32=0,P32=0),"检查分母","已返回")))</x:f>
        <x:v>待返回</x:v>
      </x:c>
      <x:c r="U32" s="51" t="str">
        <x:v>固定ρ=0.3、β=3.0、Pbi=0.2；对应论文图2.11</x:v>
      </x:c>
    </x:row>
    <x:row r="33" ht="27" customHeight="1">
      <x:c r="A33" s="27" t="str">
        <x:v>n×n1</x:v>
      </x:c>
      <x:c r="B33" s="27" t="str">
        <x:v>构件总数n</x:v>
      </x:c>
      <x:c r="C33" s="27" t="n">
        <x:v>48</x:v>
      </x:c>
      <x:c r="D33" s="27" t="str">
        <x:v>潜在脆性构件数n1</x:v>
      </x:c>
      <x:c r="E33" s="27" t="n">
        <x:v>1</x:v>
      </x:c>
      <x:c r="F33" s="27" t="n">
        <x:v>48</x:v>
      </x:c>
      <x:c r="G33" s="27" t="n">
        <x:v>1</x:v>
      </x:c>
      <x:c r="H33" s="39" t="n">
        <x:v>3</x:v>
      </x:c>
      <x:c r="I33" s="39" t="n">
        <x:v>0.3</x:v>
      </x:c>
      <x:c r="J33" s="39" t="n">
        <x:v>0.2</x:v>
      </x:c>
      <x:c r="K33" s="27" t="n">
        <x:v>3</x:v>
      </x:c>
      <x:c r="L33" s="48" t="str">
        <x:v>唯一潜在脆性构件i</x:v>
      </x:c>
      <x:c r="M33" s="43"/>
      <x:c r="N33" s="43"/>
      <x:c r="O33" s="43"/>
      <x:c r="P33" s="43"/>
      <x:c r="Q33" s="44" t="str">
        <x:f>IF(OR(M33="",P33="",P33=0),"",M33/P33)</x:f>
      </x:c>
      <x:c r="R33" s="44" t="str">
        <x:f>IF(OR(N33="",O33="",O33=0),"",N33/O33)</x:f>
      </x:c>
      <x:c r="S33" s="44" t="str">
        <x:f>IF(OR(Q33="",R33=""),"",AVERAGE(Q33:R33))</x:f>
      </x:c>
      <x:c r="T33" s="36" t="str">
        <x:f>IF(COUNTA(M33:P33)=0,"待返回",IF(COUNTA(M33:P33)&lt;4,"待补充",IF(OR(O33=0,P33=0),"检查分母","已返回")))</x:f>
        <x:v>待返回</x:v>
      </x:c>
      <x:c r="U33" s="51" t="str">
        <x:v>固定ρ=0.3、β=3.0、Pbi=0.2；对应论文图2.11</x:v>
      </x:c>
    </x:row>
    <x:row r="34" ht="27" customHeight="1">
      <x:c r="A34" s="27" t="str">
        <x:v>n×n1</x:v>
      </x:c>
      <x:c r="B34" s="27" t="str">
        <x:v>构件总数n</x:v>
      </x:c>
      <x:c r="C34" s="27" t="n">
        <x:v>8</x:v>
      </x:c>
      <x:c r="D34" s="27" t="str">
        <x:v>潜在脆性构件数n1</x:v>
      </x:c>
      <x:c r="E34" s="27" t="n">
        <x:v>2</x:v>
      </x:c>
      <x:c r="F34" s="27" t="n">
        <x:v>8</x:v>
      </x:c>
      <x:c r="G34" s="27" t="n">
        <x:v>2</x:v>
      </x:c>
      <x:c r="H34" s="39" t="n">
        <x:v>3</x:v>
      </x:c>
      <x:c r="I34" s="39" t="n">
        <x:v>0.3</x:v>
      </x:c>
      <x:c r="J34" s="39" t="n">
        <x:v>0.2</x:v>
      </x:c>
      <x:c r="K34" s="27" t="n">
        <x:v>3</x:v>
      </x:c>
      <x:c r="L34" s="48" t="str">
        <x:v>潜在脆性构件之一i（固定同一编号）</x:v>
      </x:c>
      <x:c r="M34" s="43"/>
      <x:c r="N34" s="43"/>
      <x:c r="O34" s="43"/>
      <x:c r="P34" s="43"/>
      <x:c r="Q34" s="44" t="str">
        <x:f>IF(OR(M34="",P34="",P34=0),"",M34/P34)</x:f>
      </x:c>
      <x:c r="R34" s="44" t="str">
        <x:f>IF(OR(N34="",O34="",O34=0),"",N34/O34)</x:f>
      </x:c>
      <x:c r="S34" s="44" t="str">
        <x:f>IF(OR(Q34="",R34=""),"",AVERAGE(Q34:R34))</x:f>
      </x:c>
      <x:c r="T34" s="36" t="str">
        <x:f>IF(COUNTA(M34:P34)=0,"待返回",IF(COUNTA(M34:P34)&lt;4,"待补充",IF(OR(O34=0,P34=0),"检查分母","已返回")))</x:f>
        <x:v>待返回</x:v>
      </x:c>
      <x:c r="U34" s="51" t="str">
        <x:v>固定ρ=0.3、β=3.0、Pbi=0.2；对应论文图2.11</x:v>
      </x:c>
    </x:row>
    <x:row r="35" ht="27" customHeight="1">
      <x:c r="A35" s="27" t="str">
        <x:v>n×n1</x:v>
      </x:c>
      <x:c r="B35" s="27" t="str">
        <x:v>构件总数n</x:v>
      </x:c>
      <x:c r="C35" s="27" t="n">
        <x:v>12</x:v>
      </x:c>
      <x:c r="D35" s="27" t="str">
        <x:v>潜在脆性构件数n1</x:v>
      </x:c>
      <x:c r="E35" s="27" t="n">
        <x:v>2</x:v>
      </x:c>
      <x:c r="F35" s="27" t="n">
        <x:v>12</x:v>
      </x:c>
      <x:c r="G35" s="27" t="n">
        <x:v>2</x:v>
      </x:c>
      <x:c r="H35" s="39" t="n">
        <x:v>3</x:v>
      </x:c>
      <x:c r="I35" s="39" t="n">
        <x:v>0.3</x:v>
      </x:c>
      <x:c r="J35" s="39" t="n">
        <x:v>0.2</x:v>
      </x:c>
      <x:c r="K35" s="27" t="n">
        <x:v>3</x:v>
      </x:c>
      <x:c r="L35" s="48" t="str">
        <x:v>潜在脆性构件之一i（固定同一编号）</x:v>
      </x:c>
      <x:c r="M35" s="43"/>
      <x:c r="N35" s="43"/>
      <x:c r="O35" s="43"/>
      <x:c r="P35" s="43"/>
      <x:c r="Q35" s="44" t="str">
        <x:f>IF(OR(M35="",P35="",P35=0),"",M35/P35)</x:f>
      </x:c>
      <x:c r="R35" s="44" t="str">
        <x:f>IF(OR(N35="",O35="",O35=0),"",N35/O35)</x:f>
      </x:c>
      <x:c r="S35" s="44" t="str">
        <x:f>IF(OR(Q35="",R35=""),"",AVERAGE(Q35:R35))</x:f>
      </x:c>
      <x:c r="T35" s="36" t="str">
        <x:f>IF(COUNTA(M35:P35)=0,"待返回",IF(COUNTA(M35:P35)&lt;4,"待补充",IF(OR(O35=0,P35=0),"检查分母","已返回")))</x:f>
        <x:v>待返回</x:v>
      </x:c>
      <x:c r="U35" s="51" t="str">
        <x:v>固定ρ=0.3、β=3.0、Pbi=0.2；对应论文图2.11</x:v>
      </x:c>
    </x:row>
    <x:row r="36" ht="27" customHeight="1">
      <x:c r="A36" s="27" t="str">
        <x:v>n×n1</x:v>
      </x:c>
      <x:c r="B36" s="27" t="str">
        <x:v>构件总数n</x:v>
      </x:c>
      <x:c r="C36" s="27" t="n">
        <x:v>16</x:v>
      </x:c>
      <x:c r="D36" s="27" t="str">
        <x:v>潜在脆性构件数n1</x:v>
      </x:c>
      <x:c r="E36" s="27" t="n">
        <x:v>2</x:v>
      </x:c>
      <x:c r="F36" s="27" t="n">
        <x:v>16</x:v>
      </x:c>
      <x:c r="G36" s="27" t="n">
        <x:v>2</x:v>
      </x:c>
      <x:c r="H36" s="39" t="n">
        <x:v>3</x:v>
      </x:c>
      <x:c r="I36" s="39" t="n">
        <x:v>0.3</x:v>
      </x:c>
      <x:c r="J36" s="39" t="n">
        <x:v>0.2</x:v>
      </x:c>
      <x:c r="K36" s="27" t="n">
        <x:v>3</x:v>
      </x:c>
      <x:c r="L36" s="48" t="str">
        <x:v>潜在脆性构件之一i（固定同一编号）</x:v>
      </x:c>
      <x:c r="M36" s="43"/>
      <x:c r="N36" s="43"/>
      <x:c r="O36" s="43"/>
      <x:c r="P36" s="43"/>
      <x:c r="Q36" s="44" t="str">
        <x:f>IF(OR(M36="",P36="",P36=0),"",M36/P36)</x:f>
      </x:c>
      <x:c r="R36" s="44" t="str">
        <x:f>IF(OR(N36="",O36="",O36=0),"",N36/O36)</x:f>
      </x:c>
      <x:c r="S36" s="44" t="str">
        <x:f>IF(OR(Q36="",R36=""),"",AVERAGE(Q36:R36))</x:f>
      </x:c>
      <x:c r="T36" s="36" t="str">
        <x:f>IF(COUNTA(M36:P36)=0,"待返回",IF(COUNTA(M36:P36)&lt;4,"待补充",IF(OR(O36=0,P36=0),"检查分母","已返回")))</x:f>
        <x:v>待返回</x:v>
      </x:c>
      <x:c r="U36" s="51" t="str">
        <x:v>固定ρ=0.3、β=3.0、Pbi=0.2；对应论文图2.11</x:v>
      </x:c>
    </x:row>
    <x:row r="37" ht="27" customHeight="1">
      <x:c r="A37" s="27" t="str">
        <x:v>n×n1</x:v>
      </x:c>
      <x:c r="B37" s="27" t="str">
        <x:v>构件总数n</x:v>
      </x:c>
      <x:c r="C37" s="27" t="n">
        <x:v>20</x:v>
      </x:c>
      <x:c r="D37" s="27" t="str">
        <x:v>潜在脆性构件数n1</x:v>
      </x:c>
      <x:c r="E37" s="27" t="n">
        <x:v>2</x:v>
      </x:c>
      <x:c r="F37" s="27" t="n">
        <x:v>20</x:v>
      </x:c>
      <x:c r="G37" s="27" t="n">
        <x:v>2</x:v>
      </x:c>
      <x:c r="H37" s="39" t="n">
        <x:v>3</x:v>
      </x:c>
      <x:c r="I37" s="39" t="n">
        <x:v>0.3</x:v>
      </x:c>
      <x:c r="J37" s="39" t="n">
        <x:v>0.2</x:v>
      </x:c>
      <x:c r="K37" s="27" t="n">
        <x:v>3</x:v>
      </x:c>
      <x:c r="L37" s="48" t="str">
        <x:v>潜在脆性构件之一i（固定同一编号）</x:v>
      </x:c>
      <x:c r="M37" s="43"/>
      <x:c r="N37" s="43"/>
      <x:c r="O37" s="43"/>
      <x:c r="P37" s="43"/>
      <x:c r="Q37" s="44" t="str">
        <x:f>IF(OR(M37="",P37="",P37=0),"",M37/P37)</x:f>
      </x:c>
      <x:c r="R37" s="44" t="str">
        <x:f>IF(OR(N37="",O37="",O37=0),"",N37/O37)</x:f>
      </x:c>
      <x:c r="S37" s="44" t="str">
        <x:f>IF(OR(Q37="",R37=""),"",AVERAGE(Q37:R37))</x:f>
      </x:c>
      <x:c r="T37" s="36" t="str">
        <x:f>IF(COUNTA(M37:P37)=0,"待返回",IF(COUNTA(M37:P37)&lt;4,"待补充",IF(OR(O37=0,P37=0),"检查分母","已返回")))</x:f>
        <x:v>待返回</x:v>
      </x:c>
      <x:c r="U37" s="51" t="str">
        <x:v>固定ρ=0.3、β=3.0、Pbi=0.2；对应论文图2.11</x:v>
      </x:c>
    </x:row>
    <x:row r="38" ht="27" customHeight="1">
      <x:c r="A38" s="27" t="str">
        <x:v>n×n1</x:v>
      </x:c>
      <x:c r="B38" s="27" t="str">
        <x:v>构件总数n</x:v>
      </x:c>
      <x:c r="C38" s="27" t="n">
        <x:v>24</x:v>
      </x:c>
      <x:c r="D38" s="27" t="str">
        <x:v>潜在脆性构件数n1</x:v>
      </x:c>
      <x:c r="E38" s="27" t="n">
        <x:v>2</x:v>
      </x:c>
      <x:c r="F38" s="27" t="n">
        <x:v>24</x:v>
      </x:c>
      <x:c r="G38" s="27" t="n">
        <x:v>2</x:v>
      </x:c>
      <x:c r="H38" s="39" t="n">
        <x:v>3</x:v>
      </x:c>
      <x:c r="I38" s="39" t="n">
        <x:v>0.3</x:v>
      </x:c>
      <x:c r="J38" s="39" t="n">
        <x:v>0.2</x:v>
      </x:c>
      <x:c r="K38" s="27" t="n">
        <x:v>3</x:v>
      </x:c>
      <x:c r="L38" s="48" t="str">
        <x:v>潜在脆性构件之一i（固定同一编号）</x:v>
      </x:c>
      <x:c r="M38" s="43"/>
      <x:c r="N38" s="43"/>
      <x:c r="O38" s="43"/>
      <x:c r="P38" s="43"/>
      <x:c r="Q38" s="44" t="str">
        <x:f>IF(OR(M38="",P38="",P38=0),"",M38/P38)</x:f>
      </x:c>
      <x:c r="R38" s="44" t="str">
        <x:f>IF(OR(N38="",O38="",O38=0),"",N38/O38)</x:f>
      </x:c>
      <x:c r="S38" s="44" t="str">
        <x:f>IF(OR(Q38="",R38=""),"",AVERAGE(Q38:R38))</x:f>
      </x:c>
      <x:c r="T38" s="36" t="str">
        <x:f>IF(COUNTA(M38:P38)=0,"待返回",IF(COUNTA(M38:P38)&lt;4,"待补充",IF(OR(O38=0,P38=0),"检查分母","已返回")))</x:f>
        <x:v>待返回</x:v>
      </x:c>
      <x:c r="U38" s="51" t="str">
        <x:v>固定ρ=0.3、β=3.0、Pbi=0.2；对应论文图2.11</x:v>
      </x:c>
    </x:row>
    <x:row r="39" ht="27" customHeight="1">
      <x:c r="A39" s="27" t="str">
        <x:v>n×n1</x:v>
      </x:c>
      <x:c r="B39" s="27" t="str">
        <x:v>构件总数n</x:v>
      </x:c>
      <x:c r="C39" s="27" t="n">
        <x:v>28</x:v>
      </x:c>
      <x:c r="D39" s="27" t="str">
        <x:v>潜在脆性构件数n1</x:v>
      </x:c>
      <x:c r="E39" s="27" t="n">
        <x:v>2</x:v>
      </x:c>
      <x:c r="F39" s="27" t="n">
        <x:v>28</x:v>
      </x:c>
      <x:c r="G39" s="27" t="n">
        <x:v>2</x:v>
      </x:c>
      <x:c r="H39" s="39" t="n">
        <x:v>3</x:v>
      </x:c>
      <x:c r="I39" s="39" t="n">
        <x:v>0.3</x:v>
      </x:c>
      <x:c r="J39" s="39" t="n">
        <x:v>0.2</x:v>
      </x:c>
      <x:c r="K39" s="27" t="n">
        <x:v>3</x:v>
      </x:c>
      <x:c r="L39" s="48" t="str">
        <x:v>潜在脆性构件之一i（固定同一编号）</x:v>
      </x:c>
      <x:c r="M39" s="43"/>
      <x:c r="N39" s="43"/>
      <x:c r="O39" s="43"/>
      <x:c r="P39" s="43"/>
      <x:c r="Q39" s="44" t="str">
        <x:f>IF(OR(M39="",P39="",P39=0),"",M39/P39)</x:f>
      </x:c>
      <x:c r="R39" s="44" t="str">
        <x:f>IF(OR(N39="",O39="",O39=0),"",N39/O39)</x:f>
      </x:c>
      <x:c r="S39" s="44" t="str">
        <x:f>IF(OR(Q39="",R39=""),"",AVERAGE(Q39:R39))</x:f>
      </x:c>
      <x:c r="T39" s="36" t="str">
        <x:f>IF(COUNTA(M39:P39)=0,"待返回",IF(COUNTA(M39:P39)&lt;4,"待补充",IF(OR(O39=0,P39=0),"检查分母","已返回")))</x:f>
        <x:v>待返回</x:v>
      </x:c>
      <x:c r="U39" s="51" t="str">
        <x:v>固定ρ=0.3、β=3.0、Pbi=0.2；对应论文图2.11</x:v>
      </x:c>
    </x:row>
    <x:row r="40" ht="27" customHeight="1">
      <x:c r="A40" s="27" t="str">
        <x:v>n×n1</x:v>
      </x:c>
      <x:c r="B40" s="27" t="str">
        <x:v>构件总数n</x:v>
      </x:c>
      <x:c r="C40" s="27" t="n">
        <x:v>32</x:v>
      </x:c>
      <x:c r="D40" s="27" t="str">
        <x:v>潜在脆性构件数n1</x:v>
      </x:c>
      <x:c r="E40" s="27" t="n">
        <x:v>2</x:v>
      </x:c>
      <x:c r="F40" s="27" t="n">
        <x:v>32</x:v>
      </x:c>
      <x:c r="G40" s="27" t="n">
        <x:v>2</x:v>
      </x:c>
      <x:c r="H40" s="39" t="n">
        <x:v>3</x:v>
      </x:c>
      <x:c r="I40" s="39" t="n">
        <x:v>0.3</x:v>
      </x:c>
      <x:c r="J40" s="39" t="n">
        <x:v>0.2</x:v>
      </x:c>
      <x:c r="K40" s="27" t="n">
        <x:v>3</x:v>
      </x:c>
      <x:c r="L40" s="48" t="str">
        <x:v>潜在脆性构件之一i（固定同一编号）</x:v>
      </x:c>
      <x:c r="M40" s="43"/>
      <x:c r="N40" s="43"/>
      <x:c r="O40" s="43"/>
      <x:c r="P40" s="43"/>
      <x:c r="Q40" s="44" t="str">
        <x:f>IF(OR(M40="",P40="",P40=0),"",M40/P40)</x:f>
      </x:c>
      <x:c r="R40" s="44" t="str">
        <x:f>IF(OR(N40="",O40="",O40=0),"",N40/O40)</x:f>
      </x:c>
      <x:c r="S40" s="44" t="str">
        <x:f>IF(OR(Q40="",R40=""),"",AVERAGE(Q40:R40))</x:f>
      </x:c>
      <x:c r="T40" s="36" t="str">
        <x:f>IF(COUNTA(M40:P40)=0,"待返回",IF(COUNTA(M40:P40)&lt;4,"待补充",IF(OR(O40=0,P40=0),"检查分母","已返回")))</x:f>
        <x:v>待返回</x:v>
      </x:c>
      <x:c r="U40" s="51" t="str">
        <x:v>固定ρ=0.3、β=3.0、Pbi=0.2；对应论文图2.11</x:v>
      </x:c>
    </x:row>
    <x:row r="41" ht="27" customHeight="1">
      <x:c r="A41" s="27" t="str">
        <x:v>n×n1</x:v>
      </x:c>
      <x:c r="B41" s="27" t="str">
        <x:v>构件总数n</x:v>
      </x:c>
      <x:c r="C41" s="27" t="n">
        <x:v>36</x:v>
      </x:c>
      <x:c r="D41" s="27" t="str">
        <x:v>潜在脆性构件数n1</x:v>
      </x:c>
      <x:c r="E41" s="27" t="n">
        <x:v>2</x:v>
      </x:c>
      <x:c r="F41" s="27" t="n">
        <x:v>36</x:v>
      </x:c>
      <x:c r="G41" s="27" t="n">
        <x:v>2</x:v>
      </x:c>
      <x:c r="H41" s="39" t="n">
        <x:v>3</x:v>
      </x:c>
      <x:c r="I41" s="39" t="n">
        <x:v>0.3</x:v>
      </x:c>
      <x:c r="J41" s="39" t="n">
        <x:v>0.2</x:v>
      </x:c>
      <x:c r="K41" s="27" t="n">
        <x:v>3</x:v>
      </x:c>
      <x:c r="L41" s="48" t="str">
        <x:v>潜在脆性构件之一i（固定同一编号）</x:v>
      </x:c>
      <x:c r="M41" s="43"/>
      <x:c r="N41" s="43"/>
      <x:c r="O41" s="43"/>
      <x:c r="P41" s="43"/>
      <x:c r="Q41" s="44" t="str">
        <x:f>IF(OR(M41="",P41="",P41=0),"",M41/P41)</x:f>
      </x:c>
      <x:c r="R41" s="44" t="str">
        <x:f>IF(OR(N41="",O41="",O41=0),"",N41/O41)</x:f>
      </x:c>
      <x:c r="S41" s="44" t="str">
        <x:f>IF(OR(Q41="",R41=""),"",AVERAGE(Q41:R41))</x:f>
      </x:c>
      <x:c r="T41" s="36" t="str">
        <x:f>IF(COUNTA(M41:P41)=0,"待返回",IF(COUNTA(M41:P41)&lt;4,"待补充",IF(OR(O41=0,P41=0),"检查分母","已返回")))</x:f>
        <x:v>待返回</x:v>
      </x:c>
      <x:c r="U41" s="51" t="str">
        <x:v>固定ρ=0.3、β=3.0、Pbi=0.2；对应论文图2.11</x:v>
      </x:c>
    </x:row>
    <x:row r="42" ht="27" customHeight="1">
      <x:c r="A42" s="27" t="str">
        <x:v>n×n1</x:v>
      </x:c>
      <x:c r="B42" s="27" t="str">
        <x:v>构件总数n</x:v>
      </x:c>
      <x:c r="C42" s="27" t="n">
        <x:v>40</x:v>
      </x:c>
      <x:c r="D42" s="27" t="str">
        <x:v>潜在脆性构件数n1</x:v>
      </x:c>
      <x:c r="E42" s="27" t="n">
        <x:v>2</x:v>
      </x:c>
      <x:c r="F42" s="27" t="n">
        <x:v>40</x:v>
      </x:c>
      <x:c r="G42" s="27" t="n">
        <x:v>2</x:v>
      </x:c>
      <x:c r="H42" s="39" t="n">
        <x:v>3</x:v>
      </x:c>
      <x:c r="I42" s="39" t="n">
        <x:v>0.3</x:v>
      </x:c>
      <x:c r="J42" s="39" t="n">
        <x:v>0.2</x:v>
      </x:c>
      <x:c r="K42" s="27" t="n">
        <x:v>3</x:v>
      </x:c>
      <x:c r="L42" s="48" t="str">
        <x:v>潜在脆性构件之一i（固定同一编号）</x:v>
      </x:c>
      <x:c r="M42" s="43"/>
      <x:c r="N42" s="43"/>
      <x:c r="O42" s="43"/>
      <x:c r="P42" s="43"/>
      <x:c r="Q42" s="44" t="str">
        <x:f>IF(OR(M42="",P42="",P42=0),"",M42/P42)</x:f>
      </x:c>
      <x:c r="R42" s="44" t="str">
        <x:f>IF(OR(N42="",O42="",O42=0),"",N42/O42)</x:f>
      </x:c>
      <x:c r="S42" s="44" t="str">
        <x:f>IF(OR(Q42="",R42=""),"",AVERAGE(Q42:R42))</x:f>
      </x:c>
      <x:c r="T42" s="36" t="str">
        <x:f>IF(COUNTA(M42:P42)=0,"待返回",IF(COUNTA(M42:P42)&lt;4,"待补充",IF(OR(O42=0,P42=0),"检查分母","已返回")))</x:f>
        <x:v>待返回</x:v>
      </x:c>
      <x:c r="U42" s="51" t="str">
        <x:v>固定ρ=0.3、β=3.0、Pbi=0.2；对应论文图2.11</x:v>
      </x:c>
    </x:row>
    <x:row r="43" ht="27" customHeight="1">
      <x:c r="A43" s="27" t="str">
        <x:v>n×n1</x:v>
      </x:c>
      <x:c r="B43" s="27" t="str">
        <x:v>构件总数n</x:v>
      </x:c>
      <x:c r="C43" s="27" t="n">
        <x:v>44</x:v>
      </x:c>
      <x:c r="D43" s="27" t="str">
        <x:v>潜在脆性构件数n1</x:v>
      </x:c>
      <x:c r="E43" s="27" t="n">
        <x:v>2</x:v>
      </x:c>
      <x:c r="F43" s="27" t="n">
        <x:v>44</x:v>
      </x:c>
      <x:c r="G43" s="27" t="n">
        <x:v>2</x:v>
      </x:c>
      <x:c r="H43" s="39" t="n">
        <x:v>3</x:v>
      </x:c>
      <x:c r="I43" s="39" t="n">
        <x:v>0.3</x:v>
      </x:c>
      <x:c r="J43" s="39" t="n">
        <x:v>0.2</x:v>
      </x:c>
      <x:c r="K43" s="27" t="n">
        <x:v>3</x:v>
      </x:c>
      <x:c r="L43" s="48" t="str">
        <x:v>潜在脆性构件之一i（固定同一编号）</x:v>
      </x:c>
      <x:c r="M43" s="43"/>
      <x:c r="N43" s="43"/>
      <x:c r="O43" s="43"/>
      <x:c r="P43" s="43"/>
      <x:c r="Q43" s="44" t="str">
        <x:f>IF(OR(M43="",P43="",P43=0),"",M43/P43)</x:f>
      </x:c>
      <x:c r="R43" s="44" t="str">
        <x:f>IF(OR(N43="",O43="",O43=0),"",N43/O43)</x:f>
      </x:c>
      <x:c r="S43" s="44" t="str">
        <x:f>IF(OR(Q43="",R43=""),"",AVERAGE(Q43:R43))</x:f>
      </x:c>
      <x:c r="T43" s="36" t="str">
        <x:f>IF(COUNTA(M43:P43)=0,"待返回",IF(COUNTA(M43:P43)&lt;4,"待补充",IF(OR(O43=0,P43=0),"检查分母","已返回")))</x:f>
        <x:v>待返回</x:v>
      </x:c>
      <x:c r="U43" s="51" t="str">
        <x:v>固定ρ=0.3、β=3.0、Pbi=0.2；对应论文图2.11</x:v>
      </x:c>
    </x:row>
    <x:row r="44" ht="27" customHeight="1">
      <x:c r="A44" s="27" t="str">
        <x:v>n×n1</x:v>
      </x:c>
      <x:c r="B44" s="27" t="str">
        <x:v>构件总数n</x:v>
      </x:c>
      <x:c r="C44" s="27" t="n">
        <x:v>48</x:v>
      </x:c>
      <x:c r="D44" s="27" t="str">
        <x:v>潜在脆性构件数n1</x:v>
      </x:c>
      <x:c r="E44" s="27" t="n">
        <x:v>2</x:v>
      </x:c>
      <x:c r="F44" s="27" t="n">
        <x:v>48</x:v>
      </x:c>
      <x:c r="G44" s="27" t="n">
        <x:v>2</x:v>
      </x:c>
      <x:c r="H44" s="39" t="n">
        <x:v>3</x:v>
      </x:c>
      <x:c r="I44" s="39" t="n">
        <x:v>0.3</x:v>
      </x:c>
      <x:c r="J44" s="39" t="n">
        <x:v>0.2</x:v>
      </x:c>
      <x:c r="K44" s="27" t="n">
        <x:v>3</x:v>
      </x:c>
      <x:c r="L44" s="48" t="str">
        <x:v>潜在脆性构件之一i（固定同一编号）</x:v>
      </x:c>
      <x:c r="M44" s="43"/>
      <x:c r="N44" s="43"/>
      <x:c r="O44" s="43"/>
      <x:c r="P44" s="43"/>
      <x:c r="Q44" s="44" t="str">
        <x:f>IF(OR(M44="",P44="",P44=0),"",M44/P44)</x:f>
      </x:c>
      <x:c r="R44" s="44" t="str">
        <x:f>IF(OR(N44="",O44="",O44=0),"",N44/O44)</x:f>
      </x:c>
      <x:c r="S44" s="44" t="str">
        <x:f>IF(OR(Q44="",R44=""),"",AVERAGE(Q44:R44))</x:f>
      </x:c>
      <x:c r="T44" s="36" t="str">
        <x:f>IF(COUNTA(M44:P44)=0,"待返回",IF(COUNTA(M44:P44)&lt;4,"待补充",IF(OR(O44=0,P44=0),"检查分母","已返回")))</x:f>
        <x:v>待返回</x:v>
      </x:c>
      <x:c r="U44" s="51" t="str">
        <x:v>固定ρ=0.3、β=3.0、Pbi=0.2；对应论文图2.11</x:v>
      </x:c>
    </x:row>
    <x:row r="45" ht="27" customHeight="1">
      <x:c r="A45" s="27" t="str">
        <x:v>n×n1</x:v>
      </x:c>
      <x:c r="B45" s="27" t="str">
        <x:v>构件总数n</x:v>
      </x:c>
      <x:c r="C45" s="27" t="n">
        <x:v>8</x:v>
      </x:c>
      <x:c r="D45" s="27" t="str">
        <x:v>潜在脆性构件数n1</x:v>
      </x:c>
      <x:c r="E45" s="27" t="n">
        <x:v>3</x:v>
      </x:c>
      <x:c r="F45" s="27" t="n">
        <x:v>8</x:v>
      </x:c>
      <x:c r="G45" s="27" t="n">
        <x:v>3</x:v>
      </x:c>
      <x:c r="H45" s="39" t="n">
        <x:v>3</x:v>
      </x:c>
      <x:c r="I45" s="39" t="n">
        <x:v>0.3</x:v>
      </x:c>
      <x:c r="J45" s="39" t="n">
        <x:v>0.2</x:v>
      </x:c>
      <x:c r="K45" s="27" t="n">
        <x:v>3</x:v>
      </x:c>
      <x:c r="L45" s="48" t="str">
        <x:v>潜在脆性构件之一i（固定同一编号）</x:v>
      </x:c>
      <x:c r="M45" s="43"/>
      <x:c r="N45" s="43"/>
      <x:c r="O45" s="43"/>
      <x:c r="P45" s="43"/>
      <x:c r="Q45" s="44" t="str">
        <x:f>IF(OR(M45="",P45="",P45=0),"",M45/P45)</x:f>
      </x:c>
      <x:c r="R45" s="44" t="str">
        <x:f>IF(OR(N45="",O45="",O45=0),"",N45/O45)</x:f>
      </x:c>
      <x:c r="S45" s="44" t="str">
        <x:f>IF(OR(Q45="",R45=""),"",AVERAGE(Q45:R45))</x:f>
      </x:c>
      <x:c r="T45" s="36" t="str">
        <x:f>IF(COUNTA(M45:P45)=0,"待返回",IF(COUNTA(M45:P45)&lt;4,"待补充",IF(OR(O45=0,P45=0),"检查分母","已返回")))</x:f>
        <x:v>待返回</x:v>
      </x:c>
      <x:c r="U45" s="51" t="str">
        <x:v>固定ρ=0.3、β=3.0、Pbi=0.2；对应论文图2.11</x:v>
      </x:c>
    </x:row>
    <x:row r="46" ht="27" customHeight="1">
      <x:c r="A46" s="27" t="str">
        <x:v>n×n1</x:v>
      </x:c>
      <x:c r="B46" s="27" t="str">
        <x:v>构件总数n</x:v>
      </x:c>
      <x:c r="C46" s="27" t="n">
        <x:v>12</x:v>
      </x:c>
      <x:c r="D46" s="27" t="str">
        <x:v>潜在脆性构件数n1</x:v>
      </x:c>
      <x:c r="E46" s="27" t="n">
        <x:v>3</x:v>
      </x:c>
      <x:c r="F46" s="27" t="n">
        <x:v>12</x:v>
      </x:c>
      <x:c r="G46" s="27" t="n">
        <x:v>3</x:v>
      </x:c>
      <x:c r="H46" s="39" t="n">
        <x:v>3</x:v>
      </x:c>
      <x:c r="I46" s="39" t="n">
        <x:v>0.3</x:v>
      </x:c>
      <x:c r="J46" s="39" t="n">
        <x:v>0.2</x:v>
      </x:c>
      <x:c r="K46" s="27" t="n">
        <x:v>3</x:v>
      </x:c>
      <x:c r="L46" s="48" t="str">
        <x:v>潜在脆性构件之一i（固定同一编号）</x:v>
      </x:c>
      <x:c r="M46" s="43"/>
      <x:c r="N46" s="43"/>
      <x:c r="O46" s="43"/>
      <x:c r="P46" s="43"/>
      <x:c r="Q46" s="44" t="str">
        <x:f>IF(OR(M46="",P46="",P46=0),"",M46/P46)</x:f>
      </x:c>
      <x:c r="R46" s="44" t="str">
        <x:f>IF(OR(N46="",O46="",O46=0),"",N46/O46)</x:f>
      </x:c>
      <x:c r="S46" s="44" t="str">
        <x:f>IF(OR(Q46="",R46=""),"",AVERAGE(Q46:R46))</x:f>
      </x:c>
      <x:c r="T46" s="36" t="str">
        <x:f>IF(COUNTA(M46:P46)=0,"待返回",IF(COUNTA(M46:P46)&lt;4,"待补充",IF(OR(O46=0,P46=0),"检查分母","已返回")))</x:f>
        <x:v>待返回</x:v>
      </x:c>
      <x:c r="U46" s="51" t="str">
        <x:v>固定ρ=0.3、β=3.0、Pbi=0.2；对应论文图2.11</x:v>
      </x:c>
    </x:row>
    <x:row r="47" ht="27" customHeight="1">
      <x:c r="A47" s="27" t="str">
        <x:v>n×n1</x:v>
      </x:c>
      <x:c r="B47" s="27" t="str">
        <x:v>构件总数n</x:v>
      </x:c>
      <x:c r="C47" s="27" t="n">
        <x:v>16</x:v>
      </x:c>
      <x:c r="D47" s="27" t="str">
        <x:v>潜在脆性构件数n1</x:v>
      </x:c>
      <x:c r="E47" s="27" t="n">
        <x:v>3</x:v>
      </x:c>
      <x:c r="F47" s="27" t="n">
        <x:v>16</x:v>
      </x:c>
      <x:c r="G47" s="27" t="n">
        <x:v>3</x:v>
      </x:c>
      <x:c r="H47" s="39" t="n">
        <x:v>3</x:v>
      </x:c>
      <x:c r="I47" s="39" t="n">
        <x:v>0.3</x:v>
      </x:c>
      <x:c r="J47" s="39" t="n">
        <x:v>0.2</x:v>
      </x:c>
      <x:c r="K47" s="27" t="n">
        <x:v>3</x:v>
      </x:c>
      <x:c r="L47" s="48" t="str">
        <x:v>潜在脆性构件之一i（固定同一编号）</x:v>
      </x:c>
      <x:c r="M47" s="43"/>
      <x:c r="N47" s="43"/>
      <x:c r="O47" s="43"/>
      <x:c r="P47" s="43"/>
      <x:c r="Q47" s="44" t="str">
        <x:f>IF(OR(M47="",P47="",P47=0),"",M47/P47)</x:f>
      </x:c>
      <x:c r="R47" s="44" t="str">
        <x:f>IF(OR(N47="",O47="",O47=0),"",N47/O47)</x:f>
      </x:c>
      <x:c r="S47" s="44" t="str">
        <x:f>IF(OR(Q47="",R47=""),"",AVERAGE(Q47:R47))</x:f>
      </x:c>
      <x:c r="T47" s="36" t="str">
        <x:f>IF(COUNTA(M47:P47)=0,"待返回",IF(COUNTA(M47:P47)&lt;4,"待补充",IF(OR(O47=0,P47=0),"检查分母","已返回")))</x:f>
        <x:v>待返回</x:v>
      </x:c>
      <x:c r="U47" s="51" t="str">
        <x:v>固定ρ=0.3、β=3.0、Pbi=0.2；对应论文图2.11</x:v>
      </x:c>
    </x:row>
    <x:row r="48" ht="27" customHeight="1">
      <x:c r="A48" s="27" t="str">
        <x:v>n×n1</x:v>
      </x:c>
      <x:c r="B48" s="27" t="str">
        <x:v>构件总数n</x:v>
      </x:c>
      <x:c r="C48" s="27" t="n">
        <x:v>20</x:v>
      </x:c>
      <x:c r="D48" s="27" t="str">
        <x:v>潜在脆性构件数n1</x:v>
      </x:c>
      <x:c r="E48" s="27" t="n">
        <x:v>3</x:v>
      </x:c>
      <x:c r="F48" s="27" t="n">
        <x:v>20</x:v>
      </x:c>
      <x:c r="G48" s="27" t="n">
        <x:v>3</x:v>
      </x:c>
      <x:c r="H48" s="39" t="n">
        <x:v>3</x:v>
      </x:c>
      <x:c r="I48" s="39" t="n">
        <x:v>0.3</x:v>
      </x:c>
      <x:c r="J48" s="39" t="n">
        <x:v>0.2</x:v>
      </x:c>
      <x:c r="K48" s="27" t="n">
        <x:v>3</x:v>
      </x:c>
      <x:c r="L48" s="48" t="str">
        <x:v>潜在脆性构件之一i（固定同一编号）</x:v>
      </x:c>
      <x:c r="M48" s="43"/>
      <x:c r="N48" s="43"/>
      <x:c r="O48" s="43"/>
      <x:c r="P48" s="43"/>
      <x:c r="Q48" s="44" t="str">
        <x:f>IF(OR(M48="",P48="",P48=0),"",M48/P48)</x:f>
      </x:c>
      <x:c r="R48" s="44" t="str">
        <x:f>IF(OR(N48="",O48="",O48=0),"",N48/O48)</x:f>
      </x:c>
      <x:c r="S48" s="44" t="str">
        <x:f>IF(OR(Q48="",R48=""),"",AVERAGE(Q48:R48))</x:f>
      </x:c>
      <x:c r="T48" s="36" t="str">
        <x:f>IF(COUNTA(M48:P48)=0,"待返回",IF(COUNTA(M48:P48)&lt;4,"待补充",IF(OR(O48=0,P48=0),"检查分母","已返回")))</x:f>
        <x:v>待返回</x:v>
      </x:c>
      <x:c r="U48" s="51" t="str">
        <x:v>固定ρ=0.3、β=3.0、Pbi=0.2；对应论文图2.11</x:v>
      </x:c>
    </x:row>
    <x:row r="49" ht="27" customHeight="1">
      <x:c r="A49" s="27" t="str">
        <x:v>n×n1</x:v>
      </x:c>
      <x:c r="B49" s="27" t="str">
        <x:v>构件总数n</x:v>
      </x:c>
      <x:c r="C49" s="27" t="n">
        <x:v>24</x:v>
      </x:c>
      <x:c r="D49" s="27" t="str">
        <x:v>潜在脆性构件数n1</x:v>
      </x:c>
      <x:c r="E49" s="27" t="n">
        <x:v>3</x:v>
      </x:c>
      <x:c r="F49" s="27" t="n">
        <x:v>24</x:v>
      </x:c>
      <x:c r="G49" s="27" t="n">
        <x:v>3</x:v>
      </x:c>
      <x:c r="H49" s="39" t="n">
        <x:v>3</x:v>
      </x:c>
      <x:c r="I49" s="39" t="n">
        <x:v>0.3</x:v>
      </x:c>
      <x:c r="J49" s="39" t="n">
        <x:v>0.2</x:v>
      </x:c>
      <x:c r="K49" s="27" t="n">
        <x:v>3</x:v>
      </x:c>
      <x:c r="L49" s="48" t="str">
        <x:v>潜在脆性构件之一i（固定同一编号）</x:v>
      </x:c>
      <x:c r="M49" s="43"/>
      <x:c r="N49" s="43"/>
      <x:c r="O49" s="43"/>
      <x:c r="P49" s="43"/>
      <x:c r="Q49" s="44" t="str">
        <x:f>IF(OR(M49="",P49="",P49=0),"",M49/P49)</x:f>
      </x:c>
      <x:c r="R49" s="44" t="str">
        <x:f>IF(OR(N49="",O49="",O49=0),"",N49/O49)</x:f>
      </x:c>
      <x:c r="S49" s="44" t="str">
        <x:f>IF(OR(Q49="",R49=""),"",AVERAGE(Q49:R49))</x:f>
      </x:c>
      <x:c r="T49" s="36" t="str">
        <x:f>IF(COUNTA(M49:P49)=0,"待返回",IF(COUNTA(M49:P49)&lt;4,"待补充",IF(OR(O49=0,P49=0),"检查分母","已返回")))</x:f>
        <x:v>待返回</x:v>
      </x:c>
      <x:c r="U49" s="51" t="str">
        <x:v>固定ρ=0.3、β=3.0、Pbi=0.2；对应论文图2.11</x:v>
      </x:c>
    </x:row>
    <x:row r="50" ht="27" customHeight="1">
      <x:c r="A50" s="27" t="str">
        <x:v>n×n1</x:v>
      </x:c>
      <x:c r="B50" s="27" t="str">
        <x:v>构件总数n</x:v>
      </x:c>
      <x:c r="C50" s="27" t="n">
        <x:v>28</x:v>
      </x:c>
      <x:c r="D50" s="27" t="str">
        <x:v>潜在脆性构件数n1</x:v>
      </x:c>
      <x:c r="E50" s="27" t="n">
        <x:v>3</x:v>
      </x:c>
      <x:c r="F50" s="27" t="n">
        <x:v>28</x:v>
      </x:c>
      <x:c r="G50" s="27" t="n">
        <x:v>3</x:v>
      </x:c>
      <x:c r="H50" s="39" t="n">
        <x:v>3</x:v>
      </x:c>
      <x:c r="I50" s="39" t="n">
        <x:v>0.3</x:v>
      </x:c>
      <x:c r="J50" s="39" t="n">
        <x:v>0.2</x:v>
      </x:c>
      <x:c r="K50" s="27" t="n">
        <x:v>3</x:v>
      </x:c>
      <x:c r="L50" s="48" t="str">
        <x:v>潜在脆性构件之一i（固定同一编号）</x:v>
      </x:c>
      <x:c r="M50" s="43"/>
      <x:c r="N50" s="43"/>
      <x:c r="O50" s="43"/>
      <x:c r="P50" s="43"/>
      <x:c r="Q50" s="44" t="str">
        <x:f>IF(OR(M50="",P50="",P50=0),"",M50/P50)</x:f>
      </x:c>
      <x:c r="R50" s="44" t="str">
        <x:f>IF(OR(N50="",O50="",O50=0),"",N50/O50)</x:f>
      </x:c>
      <x:c r="S50" s="44" t="str">
        <x:f>IF(OR(Q50="",R50=""),"",AVERAGE(Q50:R50))</x:f>
      </x:c>
      <x:c r="T50" s="36" t="str">
        <x:f>IF(COUNTA(M50:P50)=0,"待返回",IF(COUNTA(M50:P50)&lt;4,"待补充",IF(OR(O50=0,P50=0),"检查分母","已返回")))</x:f>
        <x:v>待返回</x:v>
      </x:c>
      <x:c r="U50" s="51" t="str">
        <x:v>固定ρ=0.3、β=3.0、Pbi=0.2；对应论文图2.11</x:v>
      </x:c>
    </x:row>
    <x:row r="51" ht="27" customHeight="1">
      <x:c r="A51" s="27" t="str">
        <x:v>n×n1</x:v>
      </x:c>
      <x:c r="B51" s="27" t="str">
        <x:v>构件总数n</x:v>
      </x:c>
      <x:c r="C51" s="27" t="n">
        <x:v>32</x:v>
      </x:c>
      <x:c r="D51" s="27" t="str">
        <x:v>潜在脆性构件数n1</x:v>
      </x:c>
      <x:c r="E51" s="27" t="n">
        <x:v>3</x:v>
      </x:c>
      <x:c r="F51" s="27" t="n">
        <x:v>32</x:v>
      </x:c>
      <x:c r="G51" s="27" t="n">
        <x:v>3</x:v>
      </x:c>
      <x:c r="H51" s="39" t="n">
        <x:v>3</x:v>
      </x:c>
      <x:c r="I51" s="39" t="n">
        <x:v>0.3</x:v>
      </x:c>
      <x:c r="J51" s="39" t="n">
        <x:v>0.2</x:v>
      </x:c>
      <x:c r="K51" s="27" t="n">
        <x:v>3</x:v>
      </x:c>
      <x:c r="L51" s="48" t="str">
        <x:v>潜在脆性构件之一i（固定同一编号）</x:v>
      </x:c>
      <x:c r="M51" s="43"/>
      <x:c r="N51" s="43"/>
      <x:c r="O51" s="43"/>
      <x:c r="P51" s="43"/>
      <x:c r="Q51" s="44" t="str">
        <x:f>IF(OR(M51="",P51="",P51=0),"",M51/P51)</x:f>
      </x:c>
      <x:c r="R51" s="44" t="str">
        <x:f>IF(OR(N51="",O51="",O51=0),"",N51/O51)</x:f>
      </x:c>
      <x:c r="S51" s="44" t="str">
        <x:f>IF(OR(Q51="",R51=""),"",AVERAGE(Q51:R51))</x:f>
      </x:c>
      <x:c r="T51" s="36" t="str">
        <x:f>IF(COUNTA(M51:P51)=0,"待返回",IF(COUNTA(M51:P51)&lt;4,"待补充",IF(OR(O51=0,P51=0),"检查分母","已返回")))</x:f>
        <x:v>待返回</x:v>
      </x:c>
      <x:c r="U51" s="51" t="str">
        <x:v>固定ρ=0.3、β=3.0、Pbi=0.2；对应论文图2.11</x:v>
      </x:c>
    </x:row>
    <x:row r="52" ht="27" customHeight="1">
      <x:c r="A52" s="27" t="str">
        <x:v>n×n1</x:v>
      </x:c>
      <x:c r="B52" s="27" t="str">
        <x:v>构件总数n</x:v>
      </x:c>
      <x:c r="C52" s="27" t="n">
        <x:v>36</x:v>
      </x:c>
      <x:c r="D52" s="27" t="str">
        <x:v>潜在脆性构件数n1</x:v>
      </x:c>
      <x:c r="E52" s="27" t="n">
        <x:v>3</x:v>
      </x:c>
      <x:c r="F52" s="27" t="n">
        <x:v>36</x:v>
      </x:c>
      <x:c r="G52" s="27" t="n">
        <x:v>3</x:v>
      </x:c>
      <x:c r="H52" s="39" t="n">
        <x:v>3</x:v>
      </x:c>
      <x:c r="I52" s="39" t="n">
        <x:v>0.3</x:v>
      </x:c>
      <x:c r="J52" s="39" t="n">
        <x:v>0.2</x:v>
      </x:c>
      <x:c r="K52" s="27" t="n">
        <x:v>3</x:v>
      </x:c>
      <x:c r="L52" s="48" t="str">
        <x:v>潜在脆性构件之一i（固定同一编号）</x:v>
      </x:c>
      <x:c r="M52" s="43"/>
      <x:c r="N52" s="43"/>
      <x:c r="O52" s="43"/>
      <x:c r="P52" s="43"/>
      <x:c r="Q52" s="44" t="str">
        <x:f>IF(OR(M52="",P52="",P52=0),"",M52/P52)</x:f>
      </x:c>
      <x:c r="R52" s="44" t="str">
        <x:f>IF(OR(N52="",O52="",O52=0),"",N52/O52)</x:f>
      </x:c>
      <x:c r="S52" s="44" t="str">
        <x:f>IF(OR(Q52="",R52=""),"",AVERAGE(Q52:R52))</x:f>
      </x:c>
      <x:c r="T52" s="36" t="str">
        <x:f>IF(COUNTA(M52:P52)=0,"待返回",IF(COUNTA(M52:P52)&lt;4,"待补充",IF(OR(O52=0,P52=0),"检查分母","已返回")))</x:f>
        <x:v>待返回</x:v>
      </x:c>
      <x:c r="U52" s="51" t="str">
        <x:v>固定ρ=0.3、β=3.0、Pbi=0.2；对应论文图2.11</x:v>
      </x:c>
    </x:row>
    <x:row r="53" ht="27" customHeight="1">
      <x:c r="A53" s="27" t="str">
        <x:v>n×n1</x:v>
      </x:c>
      <x:c r="B53" s="27" t="str">
        <x:v>构件总数n</x:v>
      </x:c>
      <x:c r="C53" s="27" t="n">
        <x:v>40</x:v>
      </x:c>
      <x:c r="D53" s="27" t="str">
        <x:v>潜在脆性构件数n1</x:v>
      </x:c>
      <x:c r="E53" s="27" t="n">
        <x:v>3</x:v>
      </x:c>
      <x:c r="F53" s="27" t="n">
        <x:v>40</x:v>
      </x:c>
      <x:c r="G53" s="27" t="n">
        <x:v>3</x:v>
      </x:c>
      <x:c r="H53" s="39" t="n">
        <x:v>3</x:v>
      </x:c>
      <x:c r="I53" s="39" t="n">
        <x:v>0.3</x:v>
      </x:c>
      <x:c r="J53" s="39" t="n">
        <x:v>0.2</x:v>
      </x:c>
      <x:c r="K53" s="27" t="n">
        <x:v>3</x:v>
      </x:c>
      <x:c r="L53" s="48" t="str">
        <x:v>潜在脆性构件之一i（固定同一编号）</x:v>
      </x:c>
      <x:c r="M53" s="43"/>
      <x:c r="N53" s="43"/>
      <x:c r="O53" s="43"/>
      <x:c r="P53" s="43"/>
      <x:c r="Q53" s="44" t="str">
        <x:f>IF(OR(M53="",P53="",P53=0),"",M53/P53)</x:f>
      </x:c>
      <x:c r="R53" s="44" t="str">
        <x:f>IF(OR(N53="",O53="",O53=0),"",N53/O53)</x:f>
      </x:c>
      <x:c r="S53" s="44" t="str">
        <x:f>IF(OR(Q53="",R53=""),"",AVERAGE(Q53:R53))</x:f>
      </x:c>
      <x:c r="T53" s="36" t="str">
        <x:f>IF(COUNTA(M53:P53)=0,"待返回",IF(COUNTA(M53:P53)&lt;4,"待补充",IF(OR(O53=0,P53=0),"检查分母","已返回")))</x:f>
        <x:v>待返回</x:v>
      </x:c>
      <x:c r="U53" s="51" t="str">
        <x:v>固定ρ=0.3、β=3.0、Pbi=0.2；对应论文图2.11</x:v>
      </x:c>
    </x:row>
    <x:row r="54" ht="27" customHeight="1">
      <x:c r="A54" s="27" t="str">
        <x:v>n×n1</x:v>
      </x:c>
      <x:c r="B54" s="27" t="str">
        <x:v>构件总数n</x:v>
      </x:c>
      <x:c r="C54" s="27" t="n">
        <x:v>44</x:v>
      </x:c>
      <x:c r="D54" s="27" t="str">
        <x:v>潜在脆性构件数n1</x:v>
      </x:c>
      <x:c r="E54" s="27" t="n">
        <x:v>3</x:v>
      </x:c>
      <x:c r="F54" s="27" t="n">
        <x:v>44</x:v>
      </x:c>
      <x:c r="G54" s="27" t="n">
        <x:v>3</x:v>
      </x:c>
      <x:c r="H54" s="39" t="n">
        <x:v>3</x:v>
      </x:c>
      <x:c r="I54" s="39" t="n">
        <x:v>0.3</x:v>
      </x:c>
      <x:c r="J54" s="39" t="n">
        <x:v>0.2</x:v>
      </x:c>
      <x:c r="K54" s="27" t="n">
        <x:v>3</x:v>
      </x:c>
      <x:c r="L54" s="48" t="str">
        <x:v>潜在脆性构件之一i（固定同一编号）</x:v>
      </x:c>
      <x:c r="M54" s="43"/>
      <x:c r="N54" s="43"/>
      <x:c r="O54" s="43"/>
      <x:c r="P54" s="43"/>
      <x:c r="Q54" s="44" t="str">
        <x:f>IF(OR(M54="",P54="",P54=0),"",M54/P54)</x:f>
      </x:c>
      <x:c r="R54" s="44" t="str">
        <x:f>IF(OR(N54="",O54="",O54=0),"",N54/O54)</x:f>
      </x:c>
      <x:c r="S54" s="44" t="str">
        <x:f>IF(OR(Q54="",R54=""),"",AVERAGE(Q54:R54))</x:f>
      </x:c>
      <x:c r="T54" s="36" t="str">
        <x:f>IF(COUNTA(M54:P54)=0,"待返回",IF(COUNTA(M54:P54)&lt;4,"待补充",IF(OR(O54=0,P54=0),"检查分母","已返回")))</x:f>
        <x:v>待返回</x:v>
      </x:c>
      <x:c r="U54" s="51" t="str">
        <x:v>固定ρ=0.3、β=3.0、Pbi=0.2；对应论文图2.11</x:v>
      </x:c>
    </x:row>
    <x:row r="55" ht="27" customHeight="1">
      <x:c r="A55" s="27" t="str">
        <x:v>n×n1</x:v>
      </x:c>
      <x:c r="B55" s="27" t="str">
        <x:v>构件总数n</x:v>
      </x:c>
      <x:c r="C55" s="27" t="n">
        <x:v>48</x:v>
      </x:c>
      <x:c r="D55" s="27" t="str">
        <x:v>潜在脆性构件数n1</x:v>
      </x:c>
      <x:c r="E55" s="27" t="n">
        <x:v>3</x:v>
      </x:c>
      <x:c r="F55" s="27" t="n">
        <x:v>48</x:v>
      </x:c>
      <x:c r="G55" s="27" t="n">
        <x:v>3</x:v>
      </x:c>
      <x:c r="H55" s="39" t="n">
        <x:v>3</x:v>
      </x:c>
      <x:c r="I55" s="39" t="n">
        <x:v>0.3</x:v>
      </x:c>
      <x:c r="J55" s="39" t="n">
        <x:v>0.2</x:v>
      </x:c>
      <x:c r="K55" s="27" t="n">
        <x:v>3</x:v>
      </x:c>
      <x:c r="L55" s="48" t="str">
        <x:v>潜在脆性构件之一i（固定同一编号）</x:v>
      </x:c>
      <x:c r="M55" s="43"/>
      <x:c r="N55" s="43"/>
      <x:c r="O55" s="43"/>
      <x:c r="P55" s="43"/>
      <x:c r="Q55" s="44" t="str">
        <x:f>IF(OR(M55="",P55="",P55=0),"",M55/P55)</x:f>
      </x:c>
      <x:c r="R55" s="44" t="str">
        <x:f>IF(OR(N55="",O55="",O55=0),"",N55/O55)</x:f>
      </x:c>
      <x:c r="S55" s="44" t="str">
        <x:f>IF(OR(Q55="",R55=""),"",AVERAGE(Q55:R55))</x:f>
      </x:c>
      <x:c r="T55" s="36" t="str">
        <x:f>IF(COUNTA(M55:P55)=0,"待返回",IF(COUNTA(M55:P55)&lt;4,"待补充",IF(OR(O55=0,P55=0),"检查分母","已返回")))</x:f>
        <x:v>待返回</x:v>
      </x:c>
      <x:c r="U55" s="51" t="str">
        <x:v>固定ρ=0.3、β=3.0、Pbi=0.2；对应论文图2.11</x:v>
      </x:c>
    </x:row>
    <x:row r="56" ht="27" customHeight="1">
      <x:c r="A56" s="27" t="str">
        <x:v>n×ρ</x:v>
      </x:c>
      <x:c r="B56" s="27" t="str">
        <x:v>构件总数n</x:v>
      </x:c>
      <x:c r="C56" s="27" t="n">
        <x:v>8</x:v>
      </x:c>
      <x:c r="D56" s="27" t="str">
        <x:v>相关系数ρ</x:v>
      </x:c>
      <x:c r="E56" s="27" t="n">
        <x:v>0.1</x:v>
      </x:c>
      <x:c r="F56" s="27" t="n">
        <x:v>8</x:v>
      </x:c>
      <x:c r="G56" s="27" t="n">
        <x:v>1</x:v>
      </x:c>
      <x:c r="H56" s="39" t="n">
        <x:v>3</x:v>
      </x:c>
      <x:c r="I56" s="39" t="n">
        <x:v>0.1</x:v>
      </x:c>
      <x:c r="J56" s="39" t="n">
        <x:v>0.2</x:v>
      </x:c>
      <x:c r="K56" s="27" t="n">
        <x:v>3</x:v>
      </x:c>
      <x:c r="L56" s="48" t="str">
        <x:v>唯一潜在脆性构件i</x:v>
      </x:c>
      <x:c r="M56" s="43"/>
      <x:c r="N56" s="43"/>
      <x:c r="O56" s="43"/>
      <x:c r="P56" s="43"/>
      <x:c r="Q56" s="44" t="str">
        <x:f>IF(OR(M56="",P56="",P56=0),"",M56/P56)</x:f>
      </x:c>
      <x:c r="R56" s="44" t="str">
        <x:f>IF(OR(N56="",O56="",O56=0),"",N56/O56)</x:f>
      </x:c>
      <x:c r="S56" s="44" t="str">
        <x:f>IF(OR(Q56="",R56=""),"",AVERAGE(Q56:R56))</x:f>
      </x:c>
      <x:c r="T56" s="36" t="str">
        <x:f>IF(COUNTA(M56:P56)=0,"待返回",IF(COUNTA(M56:P56)&lt;4,"待补充",IF(OR(O56=0,P56=0),"检查分母","已返回")))</x:f>
        <x:v>待返回</x:v>
      </x:c>
      <x:c r="U56" s="51" t="str">
        <x:v>固定n1=1、β=3.0、Pbi=0.2；对应论文图2.12</x:v>
      </x:c>
    </x:row>
    <x:row r="57" ht="27" customHeight="1">
      <x:c r="A57" s="27" t="str">
        <x:v>n×ρ</x:v>
      </x:c>
      <x:c r="B57" s="27" t="str">
        <x:v>构件总数n</x:v>
      </x:c>
      <x:c r="C57" s="27" t="n">
        <x:v>12</x:v>
      </x:c>
      <x:c r="D57" s="27" t="str">
        <x:v>相关系数ρ</x:v>
      </x:c>
      <x:c r="E57" s="27" t="n">
        <x:v>0.1</x:v>
      </x:c>
      <x:c r="F57" s="27" t="n">
        <x:v>12</x:v>
      </x:c>
      <x:c r="G57" s="27" t="n">
        <x:v>1</x:v>
      </x:c>
      <x:c r="H57" s="39" t="n">
        <x:v>3</x:v>
      </x:c>
      <x:c r="I57" s="39" t="n">
        <x:v>0.1</x:v>
      </x:c>
      <x:c r="J57" s="39" t="n">
        <x:v>0.2</x:v>
      </x:c>
      <x:c r="K57" s="27" t="n">
        <x:v>3</x:v>
      </x:c>
      <x:c r="L57" s="48" t="str">
        <x:v>唯一潜在脆性构件i</x:v>
      </x:c>
      <x:c r="M57" s="43"/>
      <x:c r="N57" s="43"/>
      <x:c r="O57" s="43"/>
      <x:c r="P57" s="43"/>
      <x:c r="Q57" s="44" t="str">
        <x:f>IF(OR(M57="",P57="",P57=0),"",M57/P57)</x:f>
      </x:c>
      <x:c r="R57" s="44" t="str">
        <x:f>IF(OR(N57="",O57="",O57=0),"",N57/O57)</x:f>
      </x:c>
      <x:c r="S57" s="44" t="str">
        <x:f>IF(OR(Q57="",R57=""),"",AVERAGE(Q57:R57))</x:f>
      </x:c>
      <x:c r="T57" s="36" t="str">
        <x:f>IF(COUNTA(M57:P57)=0,"待返回",IF(COUNTA(M57:P57)&lt;4,"待补充",IF(OR(O57=0,P57=0),"检查分母","已返回")))</x:f>
        <x:v>待返回</x:v>
      </x:c>
      <x:c r="U57" s="51" t="str">
        <x:v>固定n1=1、β=3.0、Pbi=0.2；对应论文图2.12</x:v>
      </x:c>
    </x:row>
    <x:row r="58" ht="27" customHeight="1">
      <x:c r="A58" s="27" t="str">
        <x:v>n×ρ</x:v>
      </x:c>
      <x:c r="B58" s="27" t="str">
        <x:v>构件总数n</x:v>
      </x:c>
      <x:c r="C58" s="27" t="n">
        <x:v>16</x:v>
      </x:c>
      <x:c r="D58" s="27" t="str">
        <x:v>相关系数ρ</x:v>
      </x:c>
      <x:c r="E58" s="27" t="n">
        <x:v>0.1</x:v>
      </x:c>
      <x:c r="F58" s="27" t="n">
        <x:v>16</x:v>
      </x:c>
      <x:c r="G58" s="27" t="n">
        <x:v>1</x:v>
      </x:c>
      <x:c r="H58" s="39" t="n">
        <x:v>3</x:v>
      </x:c>
      <x:c r="I58" s="39" t="n">
        <x:v>0.1</x:v>
      </x:c>
      <x:c r="J58" s="39" t="n">
        <x:v>0.2</x:v>
      </x:c>
      <x:c r="K58" s="27" t="n">
        <x:v>3</x:v>
      </x:c>
      <x:c r="L58" s="48" t="str">
        <x:v>唯一潜在脆性构件i</x:v>
      </x:c>
      <x:c r="M58" s="43"/>
      <x:c r="N58" s="43"/>
      <x:c r="O58" s="43"/>
      <x:c r="P58" s="43"/>
      <x:c r="Q58" s="44" t="str">
        <x:f>IF(OR(M58="",P58="",P58=0),"",M58/P58)</x:f>
      </x:c>
      <x:c r="R58" s="44" t="str">
        <x:f>IF(OR(N58="",O58="",O58=0),"",N58/O58)</x:f>
      </x:c>
      <x:c r="S58" s="44" t="str">
        <x:f>IF(OR(Q58="",R58=""),"",AVERAGE(Q58:R58))</x:f>
      </x:c>
      <x:c r="T58" s="36" t="str">
        <x:f>IF(COUNTA(M58:P58)=0,"待返回",IF(COUNTA(M58:P58)&lt;4,"待补充",IF(OR(O58=0,P58=0),"检查分母","已返回")))</x:f>
        <x:v>待返回</x:v>
      </x:c>
      <x:c r="U58" s="51" t="str">
        <x:v>固定n1=1、β=3.0、Pbi=0.2；对应论文图2.12</x:v>
      </x:c>
    </x:row>
    <x:row r="59" ht="27" customHeight="1">
      <x:c r="A59" s="27" t="str">
        <x:v>n×ρ</x:v>
      </x:c>
      <x:c r="B59" s="27" t="str">
        <x:v>构件总数n</x:v>
      </x:c>
      <x:c r="C59" s="27" t="n">
        <x:v>20</x:v>
      </x:c>
      <x:c r="D59" s="27" t="str">
        <x:v>相关系数ρ</x:v>
      </x:c>
      <x:c r="E59" s="27" t="n">
        <x:v>0.1</x:v>
      </x:c>
      <x:c r="F59" s="27" t="n">
        <x:v>20</x:v>
      </x:c>
      <x:c r="G59" s="27" t="n">
        <x:v>1</x:v>
      </x:c>
      <x:c r="H59" s="39" t="n">
        <x:v>3</x:v>
      </x:c>
      <x:c r="I59" s="39" t="n">
        <x:v>0.1</x:v>
      </x:c>
      <x:c r="J59" s="39" t="n">
        <x:v>0.2</x:v>
      </x:c>
      <x:c r="K59" s="27" t="n">
        <x:v>3</x:v>
      </x:c>
      <x:c r="L59" s="48" t="str">
        <x:v>唯一潜在脆性构件i</x:v>
      </x:c>
      <x:c r="M59" s="43"/>
      <x:c r="N59" s="43"/>
      <x:c r="O59" s="43"/>
      <x:c r="P59" s="43"/>
      <x:c r="Q59" s="44" t="str">
        <x:f>IF(OR(M59="",P59="",P59=0),"",M59/P59)</x:f>
      </x:c>
      <x:c r="R59" s="44" t="str">
        <x:f>IF(OR(N59="",O59="",O59=0),"",N59/O59)</x:f>
      </x:c>
      <x:c r="S59" s="44" t="str">
        <x:f>IF(OR(Q59="",R59=""),"",AVERAGE(Q59:R59))</x:f>
      </x:c>
      <x:c r="T59" s="36" t="str">
        <x:f>IF(COUNTA(M59:P59)=0,"待返回",IF(COUNTA(M59:P59)&lt;4,"待补充",IF(OR(O59=0,P59=0),"检查分母","已返回")))</x:f>
        <x:v>待返回</x:v>
      </x:c>
      <x:c r="U59" s="51" t="str">
        <x:v>固定n1=1、β=3.0、Pbi=0.2；对应论文图2.12</x:v>
      </x:c>
    </x:row>
    <x:row r="60" ht="27" customHeight="1">
      <x:c r="A60" s="27" t="str">
        <x:v>n×ρ</x:v>
      </x:c>
      <x:c r="B60" s="27" t="str">
        <x:v>构件总数n</x:v>
      </x:c>
      <x:c r="C60" s="27" t="n">
        <x:v>24</x:v>
      </x:c>
      <x:c r="D60" s="27" t="str">
        <x:v>相关系数ρ</x:v>
      </x:c>
      <x:c r="E60" s="27" t="n">
        <x:v>0.1</x:v>
      </x:c>
      <x:c r="F60" s="27" t="n">
        <x:v>24</x:v>
      </x:c>
      <x:c r="G60" s="27" t="n">
        <x:v>1</x:v>
      </x:c>
      <x:c r="H60" s="39" t="n">
        <x:v>3</x:v>
      </x:c>
      <x:c r="I60" s="39" t="n">
        <x:v>0.1</x:v>
      </x:c>
      <x:c r="J60" s="39" t="n">
        <x:v>0.2</x:v>
      </x:c>
      <x:c r="K60" s="27" t="n">
        <x:v>3</x:v>
      </x:c>
      <x:c r="L60" s="48" t="str">
        <x:v>唯一潜在脆性构件i</x:v>
      </x:c>
      <x:c r="M60" s="43"/>
      <x:c r="N60" s="43"/>
      <x:c r="O60" s="43"/>
      <x:c r="P60" s="43"/>
      <x:c r="Q60" s="44" t="str">
        <x:f>IF(OR(M60="",P60="",P60=0),"",M60/P60)</x:f>
      </x:c>
      <x:c r="R60" s="44" t="str">
        <x:f>IF(OR(N60="",O60="",O60=0),"",N60/O60)</x:f>
      </x:c>
      <x:c r="S60" s="44" t="str">
        <x:f>IF(OR(Q60="",R60=""),"",AVERAGE(Q60:R60))</x:f>
      </x:c>
      <x:c r="T60" s="36" t="str">
        <x:f>IF(COUNTA(M60:P60)=0,"待返回",IF(COUNTA(M60:P60)&lt;4,"待补充",IF(OR(O60=0,P60=0),"检查分母","已返回")))</x:f>
        <x:v>待返回</x:v>
      </x:c>
      <x:c r="U60" s="51" t="str">
        <x:v>固定n1=1、β=3.0、Pbi=0.2；对应论文图2.12</x:v>
      </x:c>
    </x:row>
    <x:row r="61" ht="27" customHeight="1">
      <x:c r="A61" s="27" t="str">
        <x:v>n×ρ</x:v>
      </x:c>
      <x:c r="B61" s="27" t="str">
        <x:v>构件总数n</x:v>
      </x:c>
      <x:c r="C61" s="27" t="n">
        <x:v>28</x:v>
      </x:c>
      <x:c r="D61" s="27" t="str">
        <x:v>相关系数ρ</x:v>
      </x:c>
      <x:c r="E61" s="27" t="n">
        <x:v>0.1</x:v>
      </x:c>
      <x:c r="F61" s="27" t="n">
        <x:v>28</x:v>
      </x:c>
      <x:c r="G61" s="27" t="n">
        <x:v>1</x:v>
      </x:c>
      <x:c r="H61" s="39" t="n">
        <x:v>3</x:v>
      </x:c>
      <x:c r="I61" s="39" t="n">
        <x:v>0.1</x:v>
      </x:c>
      <x:c r="J61" s="39" t="n">
        <x:v>0.2</x:v>
      </x:c>
      <x:c r="K61" s="27" t="n">
        <x:v>3</x:v>
      </x:c>
      <x:c r="L61" s="48" t="str">
        <x:v>唯一潜在脆性构件i</x:v>
      </x:c>
      <x:c r="M61" s="43"/>
      <x:c r="N61" s="43"/>
      <x:c r="O61" s="43"/>
      <x:c r="P61" s="43"/>
      <x:c r="Q61" s="44" t="str">
        <x:f>IF(OR(M61="",P61="",P61=0),"",M61/P61)</x:f>
      </x:c>
      <x:c r="R61" s="44" t="str">
        <x:f>IF(OR(N61="",O61="",O61=0),"",N61/O61)</x:f>
      </x:c>
      <x:c r="S61" s="44" t="str">
        <x:f>IF(OR(Q61="",R61=""),"",AVERAGE(Q61:R61))</x:f>
      </x:c>
      <x:c r="T61" s="36" t="str">
        <x:f>IF(COUNTA(M61:P61)=0,"待返回",IF(COUNTA(M61:P61)&lt;4,"待补充",IF(OR(O61=0,P61=0),"检查分母","已返回")))</x:f>
        <x:v>待返回</x:v>
      </x:c>
      <x:c r="U61" s="51" t="str">
        <x:v>固定n1=1、β=3.0、Pbi=0.2；对应论文图2.12</x:v>
      </x:c>
    </x:row>
    <x:row r="62" ht="27" customHeight="1">
      <x:c r="A62" s="27" t="str">
        <x:v>n×ρ</x:v>
      </x:c>
      <x:c r="B62" s="27" t="str">
        <x:v>构件总数n</x:v>
      </x:c>
      <x:c r="C62" s="27" t="n">
        <x:v>32</x:v>
      </x:c>
      <x:c r="D62" s="27" t="str">
        <x:v>相关系数ρ</x:v>
      </x:c>
      <x:c r="E62" s="27" t="n">
        <x:v>0.1</x:v>
      </x:c>
      <x:c r="F62" s="27" t="n">
        <x:v>32</x:v>
      </x:c>
      <x:c r="G62" s="27" t="n">
        <x:v>1</x:v>
      </x:c>
      <x:c r="H62" s="39" t="n">
        <x:v>3</x:v>
      </x:c>
      <x:c r="I62" s="39" t="n">
        <x:v>0.1</x:v>
      </x:c>
      <x:c r="J62" s="39" t="n">
        <x:v>0.2</x:v>
      </x:c>
      <x:c r="K62" s="27" t="n">
        <x:v>3</x:v>
      </x:c>
      <x:c r="L62" s="48" t="str">
        <x:v>唯一潜在脆性构件i</x:v>
      </x:c>
      <x:c r="M62" s="43"/>
      <x:c r="N62" s="43"/>
      <x:c r="O62" s="43"/>
      <x:c r="P62" s="43"/>
      <x:c r="Q62" s="44" t="str">
        <x:f>IF(OR(M62="",P62="",P62=0),"",M62/P62)</x:f>
      </x:c>
      <x:c r="R62" s="44" t="str">
        <x:f>IF(OR(N62="",O62="",O62=0),"",N62/O62)</x:f>
      </x:c>
      <x:c r="S62" s="44" t="str">
        <x:f>IF(OR(Q62="",R62=""),"",AVERAGE(Q62:R62))</x:f>
      </x:c>
      <x:c r="T62" s="36" t="str">
        <x:f>IF(COUNTA(M62:P62)=0,"待返回",IF(COUNTA(M62:P62)&lt;4,"待补充",IF(OR(O62=0,P62=0),"检查分母","已返回")))</x:f>
        <x:v>待返回</x:v>
      </x:c>
      <x:c r="U62" s="51" t="str">
        <x:v>固定n1=1、β=3.0、Pbi=0.2；对应论文图2.12</x:v>
      </x:c>
    </x:row>
    <x:row r="63" ht="27" customHeight="1">
      <x:c r="A63" s="27" t="str">
        <x:v>n×ρ</x:v>
      </x:c>
      <x:c r="B63" s="27" t="str">
        <x:v>构件总数n</x:v>
      </x:c>
      <x:c r="C63" s="27" t="n">
        <x:v>36</x:v>
      </x:c>
      <x:c r="D63" s="27" t="str">
        <x:v>相关系数ρ</x:v>
      </x:c>
      <x:c r="E63" s="27" t="n">
        <x:v>0.1</x:v>
      </x:c>
      <x:c r="F63" s="27" t="n">
        <x:v>36</x:v>
      </x:c>
      <x:c r="G63" s="27" t="n">
        <x:v>1</x:v>
      </x:c>
      <x:c r="H63" s="39" t="n">
        <x:v>3</x:v>
      </x:c>
      <x:c r="I63" s="39" t="n">
        <x:v>0.1</x:v>
      </x:c>
      <x:c r="J63" s="39" t="n">
        <x:v>0.2</x:v>
      </x:c>
      <x:c r="K63" s="27" t="n">
        <x:v>3</x:v>
      </x:c>
      <x:c r="L63" s="48" t="str">
        <x:v>唯一潜在脆性构件i</x:v>
      </x:c>
      <x:c r="M63" s="43"/>
      <x:c r="N63" s="43"/>
      <x:c r="O63" s="43"/>
      <x:c r="P63" s="43"/>
      <x:c r="Q63" s="44" t="str">
        <x:f>IF(OR(M63="",P63="",P63=0),"",M63/P63)</x:f>
      </x:c>
      <x:c r="R63" s="44" t="str">
        <x:f>IF(OR(N63="",O63="",O63=0),"",N63/O63)</x:f>
      </x:c>
      <x:c r="S63" s="44" t="str">
        <x:f>IF(OR(Q63="",R63=""),"",AVERAGE(Q63:R63))</x:f>
      </x:c>
      <x:c r="T63" s="36" t="str">
        <x:f>IF(COUNTA(M63:P63)=0,"待返回",IF(COUNTA(M63:P63)&lt;4,"待补充",IF(OR(O63=0,P63=0),"检查分母","已返回")))</x:f>
        <x:v>待返回</x:v>
      </x:c>
      <x:c r="U63" s="51" t="str">
        <x:v>固定n1=1、β=3.0、Pbi=0.2；对应论文图2.12</x:v>
      </x:c>
    </x:row>
    <x:row r="64" ht="27" customHeight="1">
      <x:c r="A64" s="27" t="str">
        <x:v>n×ρ</x:v>
      </x:c>
      <x:c r="B64" s="27" t="str">
        <x:v>构件总数n</x:v>
      </x:c>
      <x:c r="C64" s="27" t="n">
        <x:v>40</x:v>
      </x:c>
      <x:c r="D64" s="27" t="str">
        <x:v>相关系数ρ</x:v>
      </x:c>
      <x:c r="E64" s="27" t="n">
        <x:v>0.1</x:v>
      </x:c>
      <x:c r="F64" s="27" t="n">
        <x:v>40</x:v>
      </x:c>
      <x:c r="G64" s="27" t="n">
        <x:v>1</x:v>
      </x:c>
      <x:c r="H64" s="39" t="n">
        <x:v>3</x:v>
      </x:c>
      <x:c r="I64" s="39" t="n">
        <x:v>0.1</x:v>
      </x:c>
      <x:c r="J64" s="39" t="n">
        <x:v>0.2</x:v>
      </x:c>
      <x:c r="K64" s="27" t="n">
        <x:v>3</x:v>
      </x:c>
      <x:c r="L64" s="48" t="str">
        <x:v>唯一潜在脆性构件i</x:v>
      </x:c>
      <x:c r="M64" s="43"/>
      <x:c r="N64" s="43"/>
      <x:c r="O64" s="43"/>
      <x:c r="P64" s="43"/>
      <x:c r="Q64" s="44" t="str">
        <x:f>IF(OR(M64="",P64="",P64=0),"",M64/P64)</x:f>
      </x:c>
      <x:c r="R64" s="44" t="str">
        <x:f>IF(OR(N64="",O64="",O64=0),"",N64/O64)</x:f>
      </x:c>
      <x:c r="S64" s="44" t="str">
        <x:f>IF(OR(Q64="",R64=""),"",AVERAGE(Q64:R64))</x:f>
      </x:c>
      <x:c r="T64" s="36" t="str">
        <x:f>IF(COUNTA(M64:P64)=0,"待返回",IF(COUNTA(M64:P64)&lt;4,"待补充",IF(OR(O64=0,P64=0),"检查分母","已返回")))</x:f>
        <x:v>待返回</x:v>
      </x:c>
      <x:c r="U64" s="51" t="str">
        <x:v>固定n1=1、β=3.0、Pbi=0.2；对应论文图2.12</x:v>
      </x:c>
    </x:row>
    <x:row r="65" ht="27" customHeight="1">
      <x:c r="A65" s="27" t="str">
        <x:v>n×ρ</x:v>
      </x:c>
      <x:c r="B65" s="27" t="str">
        <x:v>构件总数n</x:v>
      </x:c>
      <x:c r="C65" s="27" t="n">
        <x:v>44</x:v>
      </x:c>
      <x:c r="D65" s="27" t="str">
        <x:v>相关系数ρ</x:v>
      </x:c>
      <x:c r="E65" s="27" t="n">
        <x:v>0.1</x:v>
      </x:c>
      <x:c r="F65" s="27" t="n">
        <x:v>44</x:v>
      </x:c>
      <x:c r="G65" s="27" t="n">
        <x:v>1</x:v>
      </x:c>
      <x:c r="H65" s="39" t="n">
        <x:v>3</x:v>
      </x:c>
      <x:c r="I65" s="39" t="n">
        <x:v>0.1</x:v>
      </x:c>
      <x:c r="J65" s="39" t="n">
        <x:v>0.2</x:v>
      </x:c>
      <x:c r="K65" s="27" t="n">
        <x:v>3</x:v>
      </x:c>
      <x:c r="L65" s="48" t="str">
        <x:v>唯一潜在脆性构件i</x:v>
      </x:c>
      <x:c r="M65" s="43"/>
      <x:c r="N65" s="43"/>
      <x:c r="O65" s="43"/>
      <x:c r="P65" s="43"/>
      <x:c r="Q65" s="44" t="str">
        <x:f>IF(OR(M65="",P65="",P65=0),"",M65/P65)</x:f>
      </x:c>
      <x:c r="R65" s="44" t="str">
        <x:f>IF(OR(N65="",O65="",O65=0),"",N65/O65)</x:f>
      </x:c>
      <x:c r="S65" s="44" t="str">
        <x:f>IF(OR(Q65="",R65=""),"",AVERAGE(Q65:R65))</x:f>
      </x:c>
      <x:c r="T65" s="36" t="str">
        <x:f>IF(COUNTA(M65:P65)=0,"待返回",IF(COUNTA(M65:P65)&lt;4,"待补充",IF(OR(O65=0,P65=0),"检查分母","已返回")))</x:f>
        <x:v>待返回</x:v>
      </x:c>
      <x:c r="U65" s="51" t="str">
        <x:v>固定n1=1、β=3.0、Pbi=0.2；对应论文图2.12</x:v>
      </x:c>
    </x:row>
    <x:row r="66" ht="27" customHeight="1">
      <x:c r="A66" s="27" t="str">
        <x:v>n×ρ</x:v>
      </x:c>
      <x:c r="B66" s="27" t="str">
        <x:v>构件总数n</x:v>
      </x:c>
      <x:c r="C66" s="27" t="n">
        <x:v>48</x:v>
      </x:c>
      <x:c r="D66" s="27" t="str">
        <x:v>相关系数ρ</x:v>
      </x:c>
      <x:c r="E66" s="27" t="n">
        <x:v>0.1</x:v>
      </x:c>
      <x:c r="F66" s="27" t="n">
        <x:v>48</x:v>
      </x:c>
      <x:c r="G66" s="27" t="n">
        <x:v>1</x:v>
      </x:c>
      <x:c r="H66" s="39" t="n">
        <x:v>3</x:v>
      </x:c>
      <x:c r="I66" s="39" t="n">
        <x:v>0.1</x:v>
      </x:c>
      <x:c r="J66" s="39" t="n">
        <x:v>0.2</x:v>
      </x:c>
      <x:c r="K66" s="27" t="n">
        <x:v>3</x:v>
      </x:c>
      <x:c r="L66" s="48" t="str">
        <x:v>唯一潜在脆性构件i</x:v>
      </x:c>
      <x:c r="M66" s="43"/>
      <x:c r="N66" s="43"/>
      <x:c r="O66" s="43"/>
      <x:c r="P66" s="43"/>
      <x:c r="Q66" s="44" t="str">
        <x:f>IF(OR(M66="",P66="",P66=0),"",M66/P66)</x:f>
      </x:c>
      <x:c r="R66" s="44" t="str">
        <x:f>IF(OR(N66="",O66="",O66=0),"",N66/O66)</x:f>
      </x:c>
      <x:c r="S66" s="44" t="str">
        <x:f>IF(OR(Q66="",R66=""),"",AVERAGE(Q66:R66))</x:f>
      </x:c>
      <x:c r="T66" s="36" t="str">
        <x:f>IF(COUNTA(M66:P66)=0,"待返回",IF(COUNTA(M66:P66)&lt;4,"待补充",IF(OR(O66=0,P66=0),"检查分母","已返回")))</x:f>
        <x:v>待返回</x:v>
      </x:c>
      <x:c r="U66" s="51" t="str">
        <x:v>固定n1=1、β=3.0、Pbi=0.2；对应论文图2.12</x:v>
      </x:c>
    </x:row>
    <x:row r="67" ht="27" customHeight="1">
      <x:c r="A67" s="27" t="str">
        <x:v>n×ρ</x:v>
      </x:c>
      <x:c r="B67" s="27" t="str">
        <x:v>构件总数n</x:v>
      </x:c>
      <x:c r="C67" s="27" t="n">
        <x:v>8</x:v>
      </x:c>
      <x:c r="D67" s="27" t="str">
        <x:v>相关系数ρ</x:v>
      </x:c>
      <x:c r="E67" s="27" t="n">
        <x:v>0.3</x:v>
      </x:c>
      <x:c r="F67" s="27" t="n">
        <x:v>8</x:v>
      </x:c>
      <x:c r="G67" s="27" t="n">
        <x:v>1</x:v>
      </x:c>
      <x:c r="H67" s="39" t="n">
        <x:v>3</x:v>
      </x:c>
      <x:c r="I67" s="39" t="n">
        <x:v>0.3</x:v>
      </x:c>
      <x:c r="J67" s="39" t="n">
        <x:v>0.2</x:v>
      </x:c>
      <x:c r="K67" s="27" t="n">
        <x:v>3</x:v>
      </x:c>
      <x:c r="L67" s="48" t="str">
        <x:v>唯一潜在脆性构件i</x:v>
      </x:c>
      <x:c r="M67" s="43"/>
      <x:c r="N67" s="43"/>
      <x:c r="O67" s="43"/>
      <x:c r="P67" s="43"/>
      <x:c r="Q67" s="44" t="str">
        <x:f>IF(OR(M67="",P67="",P67=0),"",M67/P67)</x:f>
      </x:c>
      <x:c r="R67" s="44" t="str">
        <x:f>IF(OR(N67="",O67="",O67=0),"",N67/O67)</x:f>
      </x:c>
      <x:c r="S67" s="44" t="str">
        <x:f>IF(OR(Q67="",R67=""),"",AVERAGE(Q67:R67))</x:f>
      </x:c>
      <x:c r="T67" s="36" t="str">
        <x:f>IF(COUNTA(M67:P67)=0,"待返回",IF(COUNTA(M67:P67)&lt;4,"待补充",IF(OR(O67=0,P67=0),"检查分母","已返回")))</x:f>
        <x:v>待返回</x:v>
      </x:c>
      <x:c r="U67" s="51" t="str">
        <x:v>固定n1=1、β=3.0、Pbi=0.2；对应论文图2.12</x:v>
      </x:c>
    </x:row>
    <x:row r="68" ht="27" customHeight="1">
      <x:c r="A68" s="27" t="str">
        <x:v>n×ρ</x:v>
      </x:c>
      <x:c r="B68" s="27" t="str">
        <x:v>构件总数n</x:v>
      </x:c>
      <x:c r="C68" s="27" t="n">
        <x:v>12</x:v>
      </x:c>
      <x:c r="D68" s="27" t="str">
        <x:v>相关系数ρ</x:v>
      </x:c>
      <x:c r="E68" s="27" t="n">
        <x:v>0.3</x:v>
      </x:c>
      <x:c r="F68" s="27" t="n">
        <x:v>12</x:v>
      </x:c>
      <x:c r="G68" s="27" t="n">
        <x:v>1</x:v>
      </x:c>
      <x:c r="H68" s="39" t="n">
        <x:v>3</x:v>
      </x:c>
      <x:c r="I68" s="39" t="n">
        <x:v>0.3</x:v>
      </x:c>
      <x:c r="J68" s="39" t="n">
        <x:v>0.2</x:v>
      </x:c>
      <x:c r="K68" s="27" t="n">
        <x:v>3</x:v>
      </x:c>
      <x:c r="L68" s="48" t="str">
        <x:v>唯一潜在脆性构件i</x:v>
      </x:c>
      <x:c r="M68" s="43"/>
      <x:c r="N68" s="43"/>
      <x:c r="O68" s="43"/>
      <x:c r="P68" s="43"/>
      <x:c r="Q68" s="44" t="str">
        <x:f>IF(OR(M68="",P68="",P68=0),"",M68/P68)</x:f>
      </x:c>
      <x:c r="R68" s="44" t="str">
        <x:f>IF(OR(N68="",O68="",O68=0),"",N68/O68)</x:f>
      </x:c>
      <x:c r="S68" s="44" t="str">
        <x:f>IF(OR(Q68="",R68=""),"",AVERAGE(Q68:R68))</x:f>
      </x:c>
      <x:c r="T68" s="36" t="str">
        <x:f>IF(COUNTA(M68:P68)=0,"待返回",IF(COUNTA(M68:P68)&lt;4,"待补充",IF(OR(O68=0,P68=0),"检查分母","已返回")))</x:f>
        <x:v>待返回</x:v>
      </x:c>
      <x:c r="U68" s="51" t="str">
        <x:v>固定n1=1、β=3.0、Pbi=0.2；对应论文图2.12</x:v>
      </x:c>
    </x:row>
    <x:row r="69" ht="27" customHeight="1">
      <x:c r="A69" s="27" t="str">
        <x:v>n×ρ</x:v>
      </x:c>
      <x:c r="B69" s="27" t="str">
        <x:v>构件总数n</x:v>
      </x:c>
      <x:c r="C69" s="27" t="n">
        <x:v>16</x:v>
      </x:c>
      <x:c r="D69" s="27" t="str">
        <x:v>相关系数ρ</x:v>
      </x:c>
      <x:c r="E69" s="27" t="n">
        <x:v>0.3</x:v>
      </x:c>
      <x:c r="F69" s="27" t="n">
        <x:v>16</x:v>
      </x:c>
      <x:c r="G69" s="27" t="n">
        <x:v>1</x:v>
      </x:c>
      <x:c r="H69" s="39" t="n">
        <x:v>3</x:v>
      </x:c>
      <x:c r="I69" s="39" t="n">
        <x:v>0.3</x:v>
      </x:c>
      <x:c r="J69" s="39" t="n">
        <x:v>0.2</x:v>
      </x:c>
      <x:c r="K69" s="27" t="n">
        <x:v>3</x:v>
      </x:c>
      <x:c r="L69" s="48" t="str">
        <x:v>唯一潜在脆性构件i</x:v>
      </x:c>
      <x:c r="M69" s="43"/>
      <x:c r="N69" s="43"/>
      <x:c r="O69" s="43"/>
      <x:c r="P69" s="43"/>
      <x:c r="Q69" s="44" t="str">
        <x:f>IF(OR(M69="",P69="",P69=0),"",M69/P69)</x:f>
      </x:c>
      <x:c r="R69" s="44" t="str">
        <x:f>IF(OR(N69="",O69="",O69=0),"",N69/O69)</x:f>
      </x:c>
      <x:c r="S69" s="44" t="str">
        <x:f>IF(OR(Q69="",R69=""),"",AVERAGE(Q69:R69))</x:f>
      </x:c>
      <x:c r="T69" s="36" t="str">
        <x:f>IF(COUNTA(M69:P69)=0,"待返回",IF(COUNTA(M69:P69)&lt;4,"待补充",IF(OR(O69=0,P69=0),"检查分母","已返回")))</x:f>
        <x:v>待返回</x:v>
      </x:c>
      <x:c r="U69" s="51" t="str">
        <x:v>固定n1=1、β=3.0、Pbi=0.2；对应论文图2.12</x:v>
      </x:c>
    </x:row>
    <x:row r="70" ht="27" customHeight="1">
      <x:c r="A70" s="27" t="str">
        <x:v>n×ρ</x:v>
      </x:c>
      <x:c r="B70" s="27" t="str">
        <x:v>构件总数n</x:v>
      </x:c>
      <x:c r="C70" s="27" t="n">
        <x:v>20</x:v>
      </x:c>
      <x:c r="D70" s="27" t="str">
        <x:v>相关系数ρ</x:v>
      </x:c>
      <x:c r="E70" s="27" t="n">
        <x:v>0.3</x:v>
      </x:c>
      <x:c r="F70" s="27" t="n">
        <x:v>20</x:v>
      </x:c>
      <x:c r="G70" s="27" t="n">
        <x:v>1</x:v>
      </x:c>
      <x:c r="H70" s="39" t="n">
        <x:v>3</x:v>
      </x:c>
      <x:c r="I70" s="39" t="n">
        <x:v>0.3</x:v>
      </x:c>
      <x:c r="J70" s="39" t="n">
        <x:v>0.2</x:v>
      </x:c>
      <x:c r="K70" s="27" t="n">
        <x:v>3</x:v>
      </x:c>
      <x:c r="L70" s="48" t="str">
        <x:v>唯一潜在脆性构件i</x:v>
      </x:c>
      <x:c r="M70" s="43"/>
      <x:c r="N70" s="43"/>
      <x:c r="O70" s="43"/>
      <x:c r="P70" s="43"/>
      <x:c r="Q70" s="44" t="str">
        <x:f>IF(OR(M70="",P70="",P70=0),"",M70/P70)</x:f>
      </x:c>
      <x:c r="R70" s="44" t="str">
        <x:f>IF(OR(N70="",O70="",O70=0),"",N70/O70)</x:f>
      </x:c>
      <x:c r="S70" s="44" t="str">
        <x:f>IF(OR(Q70="",R70=""),"",AVERAGE(Q70:R70))</x:f>
      </x:c>
      <x:c r="T70" s="36" t="str">
        <x:f>IF(COUNTA(M70:P70)=0,"待返回",IF(COUNTA(M70:P70)&lt;4,"待补充",IF(OR(O70=0,P70=0),"检查分母","已返回")))</x:f>
        <x:v>待返回</x:v>
      </x:c>
      <x:c r="U70" s="51" t="str">
        <x:v>固定n1=1、β=3.0、Pbi=0.2；对应论文图2.12</x:v>
      </x:c>
    </x:row>
    <x:row r="71" ht="27" customHeight="1">
      <x:c r="A71" s="27" t="str">
        <x:v>n×ρ</x:v>
      </x:c>
      <x:c r="B71" s="27" t="str">
        <x:v>构件总数n</x:v>
      </x:c>
      <x:c r="C71" s="27" t="n">
        <x:v>24</x:v>
      </x:c>
      <x:c r="D71" s="27" t="str">
        <x:v>相关系数ρ</x:v>
      </x:c>
      <x:c r="E71" s="27" t="n">
        <x:v>0.3</x:v>
      </x:c>
      <x:c r="F71" s="27" t="n">
        <x:v>24</x:v>
      </x:c>
      <x:c r="G71" s="27" t="n">
        <x:v>1</x:v>
      </x:c>
      <x:c r="H71" s="39" t="n">
        <x:v>3</x:v>
      </x:c>
      <x:c r="I71" s="39" t="n">
        <x:v>0.3</x:v>
      </x:c>
      <x:c r="J71" s="39" t="n">
        <x:v>0.2</x:v>
      </x:c>
      <x:c r="K71" s="27" t="n">
        <x:v>3</x:v>
      </x:c>
      <x:c r="L71" s="48" t="str">
        <x:v>唯一潜在脆性构件i</x:v>
      </x:c>
      <x:c r="M71" s="43"/>
      <x:c r="N71" s="43"/>
      <x:c r="O71" s="43"/>
      <x:c r="P71" s="43"/>
      <x:c r="Q71" s="44" t="str">
        <x:f>IF(OR(M71="",P71="",P71=0),"",M71/P71)</x:f>
      </x:c>
      <x:c r="R71" s="44" t="str">
        <x:f>IF(OR(N71="",O71="",O71=0),"",N71/O71)</x:f>
      </x:c>
      <x:c r="S71" s="44" t="str">
        <x:f>IF(OR(Q71="",R71=""),"",AVERAGE(Q71:R71))</x:f>
      </x:c>
      <x:c r="T71" s="36" t="str">
        <x:f>IF(COUNTA(M71:P71)=0,"待返回",IF(COUNTA(M71:P71)&lt;4,"待补充",IF(OR(O71=0,P71=0),"检查分母","已返回")))</x:f>
        <x:v>待返回</x:v>
      </x:c>
      <x:c r="U71" s="51" t="str">
        <x:v>固定n1=1、β=3.0、Pbi=0.2；对应论文图2.12</x:v>
      </x:c>
    </x:row>
    <x:row r="72" ht="27" customHeight="1">
      <x:c r="A72" s="27" t="str">
        <x:v>n×ρ</x:v>
      </x:c>
      <x:c r="B72" s="27" t="str">
        <x:v>构件总数n</x:v>
      </x:c>
      <x:c r="C72" s="27" t="n">
        <x:v>28</x:v>
      </x:c>
      <x:c r="D72" s="27" t="str">
        <x:v>相关系数ρ</x:v>
      </x:c>
      <x:c r="E72" s="27" t="n">
        <x:v>0.3</x:v>
      </x:c>
      <x:c r="F72" s="27" t="n">
        <x:v>28</x:v>
      </x:c>
      <x:c r="G72" s="27" t="n">
        <x:v>1</x:v>
      </x:c>
      <x:c r="H72" s="39" t="n">
        <x:v>3</x:v>
      </x:c>
      <x:c r="I72" s="39" t="n">
        <x:v>0.3</x:v>
      </x:c>
      <x:c r="J72" s="39" t="n">
        <x:v>0.2</x:v>
      </x:c>
      <x:c r="K72" s="27" t="n">
        <x:v>3</x:v>
      </x:c>
      <x:c r="L72" s="48" t="str">
        <x:v>唯一潜在脆性构件i</x:v>
      </x:c>
      <x:c r="M72" s="43"/>
      <x:c r="N72" s="43"/>
      <x:c r="O72" s="43"/>
      <x:c r="P72" s="43"/>
      <x:c r="Q72" s="44" t="str">
        <x:f>IF(OR(M72="",P72="",P72=0),"",M72/P72)</x:f>
      </x:c>
      <x:c r="R72" s="44" t="str">
        <x:f>IF(OR(N72="",O72="",O72=0),"",N72/O72)</x:f>
      </x:c>
      <x:c r="S72" s="44" t="str">
        <x:f>IF(OR(Q72="",R72=""),"",AVERAGE(Q72:R72))</x:f>
      </x:c>
      <x:c r="T72" s="36" t="str">
        <x:f>IF(COUNTA(M72:P72)=0,"待返回",IF(COUNTA(M72:P72)&lt;4,"待补充",IF(OR(O72=0,P72=0),"检查分母","已返回")))</x:f>
        <x:v>待返回</x:v>
      </x:c>
      <x:c r="U72" s="51" t="str">
        <x:v>固定n1=1、β=3.0、Pbi=0.2；对应论文图2.12</x:v>
      </x:c>
    </x:row>
    <x:row r="73" ht="27" customHeight="1">
      <x:c r="A73" s="27" t="str">
        <x:v>n×ρ</x:v>
      </x:c>
      <x:c r="B73" s="27" t="str">
        <x:v>构件总数n</x:v>
      </x:c>
      <x:c r="C73" s="27" t="n">
        <x:v>32</x:v>
      </x:c>
      <x:c r="D73" s="27" t="str">
        <x:v>相关系数ρ</x:v>
      </x:c>
      <x:c r="E73" s="27" t="n">
        <x:v>0.3</x:v>
      </x:c>
      <x:c r="F73" s="27" t="n">
        <x:v>32</x:v>
      </x:c>
      <x:c r="G73" s="27" t="n">
        <x:v>1</x:v>
      </x:c>
      <x:c r="H73" s="39" t="n">
        <x:v>3</x:v>
      </x:c>
      <x:c r="I73" s="39" t="n">
        <x:v>0.3</x:v>
      </x:c>
      <x:c r="J73" s="39" t="n">
        <x:v>0.2</x:v>
      </x:c>
      <x:c r="K73" s="27" t="n">
        <x:v>3</x:v>
      </x:c>
      <x:c r="L73" s="48" t="str">
        <x:v>唯一潜在脆性构件i</x:v>
      </x:c>
      <x:c r="M73" s="43"/>
      <x:c r="N73" s="43"/>
      <x:c r="O73" s="43"/>
      <x:c r="P73" s="43"/>
      <x:c r="Q73" s="44" t="str">
        <x:f>IF(OR(M73="",P73="",P73=0),"",M73/P73)</x:f>
      </x:c>
      <x:c r="R73" s="44" t="str">
        <x:f>IF(OR(N73="",O73="",O73=0),"",N73/O73)</x:f>
      </x:c>
      <x:c r="S73" s="44" t="str">
        <x:f>IF(OR(Q73="",R73=""),"",AVERAGE(Q73:R73))</x:f>
      </x:c>
      <x:c r="T73" s="36" t="str">
        <x:f>IF(COUNTA(M73:P73)=0,"待返回",IF(COUNTA(M73:P73)&lt;4,"待补充",IF(OR(O73=0,P73=0),"检查分母","已返回")))</x:f>
        <x:v>待返回</x:v>
      </x:c>
      <x:c r="U73" s="51" t="str">
        <x:v>固定n1=1、β=3.0、Pbi=0.2；对应论文图2.12</x:v>
      </x:c>
    </x:row>
    <x:row r="74" ht="27" customHeight="1">
      <x:c r="A74" s="27" t="str">
        <x:v>n×ρ</x:v>
      </x:c>
      <x:c r="B74" s="27" t="str">
        <x:v>构件总数n</x:v>
      </x:c>
      <x:c r="C74" s="27" t="n">
        <x:v>36</x:v>
      </x:c>
      <x:c r="D74" s="27" t="str">
        <x:v>相关系数ρ</x:v>
      </x:c>
      <x:c r="E74" s="27" t="n">
        <x:v>0.3</x:v>
      </x:c>
      <x:c r="F74" s="27" t="n">
        <x:v>36</x:v>
      </x:c>
      <x:c r="G74" s="27" t="n">
        <x:v>1</x:v>
      </x:c>
      <x:c r="H74" s="39" t="n">
        <x:v>3</x:v>
      </x:c>
      <x:c r="I74" s="39" t="n">
        <x:v>0.3</x:v>
      </x:c>
      <x:c r="J74" s="39" t="n">
        <x:v>0.2</x:v>
      </x:c>
      <x:c r="K74" s="27" t="n">
        <x:v>3</x:v>
      </x:c>
      <x:c r="L74" s="48" t="str">
        <x:v>唯一潜在脆性构件i</x:v>
      </x:c>
      <x:c r="M74" s="43"/>
      <x:c r="N74" s="43"/>
      <x:c r="O74" s="43"/>
      <x:c r="P74" s="43"/>
      <x:c r="Q74" s="44" t="str">
        <x:f>IF(OR(M74="",P74="",P74=0),"",M74/P74)</x:f>
      </x:c>
      <x:c r="R74" s="44" t="str">
        <x:f>IF(OR(N74="",O74="",O74=0),"",N74/O74)</x:f>
      </x:c>
      <x:c r="S74" s="44" t="str">
        <x:f>IF(OR(Q74="",R74=""),"",AVERAGE(Q74:R74))</x:f>
      </x:c>
      <x:c r="T74" s="36" t="str">
        <x:f>IF(COUNTA(M74:P74)=0,"待返回",IF(COUNTA(M74:P74)&lt;4,"待补充",IF(OR(O74=0,P74=0),"检查分母","已返回")))</x:f>
        <x:v>待返回</x:v>
      </x:c>
      <x:c r="U74" s="51" t="str">
        <x:v>固定n1=1、β=3.0、Pbi=0.2；对应论文图2.12</x:v>
      </x:c>
    </x:row>
    <x:row r="75" ht="27" customHeight="1">
      <x:c r="A75" s="27" t="str">
        <x:v>n×ρ</x:v>
      </x:c>
      <x:c r="B75" s="27" t="str">
        <x:v>构件总数n</x:v>
      </x:c>
      <x:c r="C75" s="27" t="n">
        <x:v>40</x:v>
      </x:c>
      <x:c r="D75" s="27" t="str">
        <x:v>相关系数ρ</x:v>
      </x:c>
      <x:c r="E75" s="27" t="n">
        <x:v>0.3</x:v>
      </x:c>
      <x:c r="F75" s="27" t="n">
        <x:v>40</x:v>
      </x:c>
      <x:c r="G75" s="27" t="n">
        <x:v>1</x:v>
      </x:c>
      <x:c r="H75" s="39" t="n">
        <x:v>3</x:v>
      </x:c>
      <x:c r="I75" s="39" t="n">
        <x:v>0.3</x:v>
      </x:c>
      <x:c r="J75" s="39" t="n">
        <x:v>0.2</x:v>
      </x:c>
      <x:c r="K75" s="27" t="n">
        <x:v>3</x:v>
      </x:c>
      <x:c r="L75" s="48" t="str">
        <x:v>唯一潜在脆性构件i</x:v>
      </x:c>
      <x:c r="M75" s="43"/>
      <x:c r="N75" s="43"/>
      <x:c r="O75" s="43"/>
      <x:c r="P75" s="43"/>
      <x:c r="Q75" s="44" t="str">
        <x:f>IF(OR(M75="",P75="",P75=0),"",M75/P75)</x:f>
      </x:c>
      <x:c r="R75" s="44" t="str">
        <x:f>IF(OR(N75="",O75="",O75=0),"",N75/O75)</x:f>
      </x:c>
      <x:c r="S75" s="44" t="str">
        <x:f>IF(OR(Q75="",R75=""),"",AVERAGE(Q75:R75))</x:f>
      </x:c>
      <x:c r="T75" s="36" t="str">
        <x:f>IF(COUNTA(M75:P75)=0,"待返回",IF(COUNTA(M75:P75)&lt;4,"待补充",IF(OR(O75=0,P75=0),"检查分母","已返回")))</x:f>
        <x:v>待返回</x:v>
      </x:c>
      <x:c r="U75" s="51" t="str">
        <x:v>固定n1=1、β=3.0、Pbi=0.2；对应论文图2.12</x:v>
      </x:c>
    </x:row>
    <x:row r="76" ht="27" customHeight="1">
      <x:c r="A76" s="27" t="str">
        <x:v>n×ρ</x:v>
      </x:c>
      <x:c r="B76" s="27" t="str">
        <x:v>构件总数n</x:v>
      </x:c>
      <x:c r="C76" s="27" t="n">
        <x:v>44</x:v>
      </x:c>
      <x:c r="D76" s="27" t="str">
        <x:v>相关系数ρ</x:v>
      </x:c>
      <x:c r="E76" s="27" t="n">
        <x:v>0.3</x:v>
      </x:c>
      <x:c r="F76" s="27" t="n">
        <x:v>44</x:v>
      </x:c>
      <x:c r="G76" s="27" t="n">
        <x:v>1</x:v>
      </x:c>
      <x:c r="H76" s="39" t="n">
        <x:v>3</x:v>
      </x:c>
      <x:c r="I76" s="39" t="n">
        <x:v>0.3</x:v>
      </x:c>
      <x:c r="J76" s="39" t="n">
        <x:v>0.2</x:v>
      </x:c>
      <x:c r="K76" s="27" t="n">
        <x:v>3</x:v>
      </x:c>
      <x:c r="L76" s="48" t="str">
        <x:v>唯一潜在脆性构件i</x:v>
      </x:c>
      <x:c r="M76" s="43"/>
      <x:c r="N76" s="43"/>
      <x:c r="O76" s="43"/>
      <x:c r="P76" s="43"/>
      <x:c r="Q76" s="44" t="str">
        <x:f>IF(OR(M76="",P76="",P76=0),"",M76/P76)</x:f>
      </x:c>
      <x:c r="R76" s="44" t="str">
        <x:f>IF(OR(N76="",O76="",O76=0),"",N76/O76)</x:f>
      </x:c>
      <x:c r="S76" s="44" t="str">
        <x:f>IF(OR(Q76="",R76=""),"",AVERAGE(Q76:R76))</x:f>
      </x:c>
      <x:c r="T76" s="36" t="str">
        <x:f>IF(COUNTA(M76:P76)=0,"待返回",IF(COUNTA(M76:P76)&lt;4,"待补充",IF(OR(O76=0,P76=0),"检查分母","已返回")))</x:f>
        <x:v>待返回</x:v>
      </x:c>
      <x:c r="U76" s="51" t="str">
        <x:v>固定n1=1、β=3.0、Pbi=0.2；对应论文图2.12</x:v>
      </x:c>
    </x:row>
    <x:row r="77" ht="27" customHeight="1">
      <x:c r="A77" s="27" t="str">
        <x:v>n×ρ</x:v>
      </x:c>
      <x:c r="B77" s="27" t="str">
        <x:v>构件总数n</x:v>
      </x:c>
      <x:c r="C77" s="27" t="n">
        <x:v>48</x:v>
      </x:c>
      <x:c r="D77" s="27" t="str">
        <x:v>相关系数ρ</x:v>
      </x:c>
      <x:c r="E77" s="27" t="n">
        <x:v>0.3</x:v>
      </x:c>
      <x:c r="F77" s="27" t="n">
        <x:v>48</x:v>
      </x:c>
      <x:c r="G77" s="27" t="n">
        <x:v>1</x:v>
      </x:c>
      <x:c r="H77" s="39" t="n">
        <x:v>3</x:v>
      </x:c>
      <x:c r="I77" s="39" t="n">
        <x:v>0.3</x:v>
      </x:c>
      <x:c r="J77" s="39" t="n">
        <x:v>0.2</x:v>
      </x:c>
      <x:c r="K77" s="27" t="n">
        <x:v>3</x:v>
      </x:c>
      <x:c r="L77" s="48" t="str">
        <x:v>唯一潜在脆性构件i</x:v>
      </x:c>
      <x:c r="M77" s="43"/>
      <x:c r="N77" s="43"/>
      <x:c r="O77" s="43"/>
      <x:c r="P77" s="43"/>
      <x:c r="Q77" s="44" t="str">
        <x:f>IF(OR(M77="",P77="",P77=0),"",M77/P77)</x:f>
      </x:c>
      <x:c r="R77" s="44" t="str">
        <x:f>IF(OR(N77="",O77="",O77=0),"",N77/O77)</x:f>
      </x:c>
      <x:c r="S77" s="44" t="str">
        <x:f>IF(OR(Q77="",R77=""),"",AVERAGE(Q77:R77))</x:f>
      </x:c>
      <x:c r="T77" s="36" t="str">
        <x:f>IF(COUNTA(M77:P77)=0,"待返回",IF(COUNTA(M77:P77)&lt;4,"待补充",IF(OR(O77=0,P77=0),"检查分母","已返回")))</x:f>
        <x:v>待返回</x:v>
      </x:c>
      <x:c r="U77" s="51" t="str">
        <x:v>固定n1=1、β=3.0、Pbi=0.2；对应论文图2.12</x:v>
      </x:c>
    </x:row>
    <x:row r="78" ht="27" customHeight="1">
      <x:c r="A78" s="27" t="str">
        <x:v>n×ρ</x:v>
      </x:c>
      <x:c r="B78" s="27" t="str">
        <x:v>构件总数n</x:v>
      </x:c>
      <x:c r="C78" s="27" t="n">
        <x:v>8</x:v>
      </x:c>
      <x:c r="D78" s="27" t="str">
        <x:v>相关系数ρ</x:v>
      </x:c>
      <x:c r="E78" s="27" t="n">
        <x:v>0.5</x:v>
      </x:c>
      <x:c r="F78" s="27" t="n">
        <x:v>8</x:v>
      </x:c>
      <x:c r="G78" s="27" t="n">
        <x:v>1</x:v>
      </x:c>
      <x:c r="H78" s="39" t="n">
        <x:v>3</x:v>
      </x:c>
      <x:c r="I78" s="39" t="n">
        <x:v>0.5</x:v>
      </x:c>
      <x:c r="J78" s="39" t="n">
        <x:v>0.2</x:v>
      </x:c>
      <x:c r="K78" s="27" t="n">
        <x:v>3</x:v>
      </x:c>
      <x:c r="L78" s="48" t="str">
        <x:v>唯一潜在脆性构件i</x:v>
      </x:c>
      <x:c r="M78" s="43"/>
      <x:c r="N78" s="43"/>
      <x:c r="O78" s="43"/>
      <x:c r="P78" s="43"/>
      <x:c r="Q78" s="44" t="str">
        <x:f>IF(OR(M78="",P78="",P78=0),"",M78/P78)</x:f>
      </x:c>
      <x:c r="R78" s="44" t="str">
        <x:f>IF(OR(N78="",O78="",O78=0),"",N78/O78)</x:f>
      </x:c>
      <x:c r="S78" s="44" t="str">
        <x:f>IF(OR(Q78="",R78=""),"",AVERAGE(Q78:R78))</x:f>
      </x:c>
      <x:c r="T78" s="36" t="str">
        <x:f>IF(COUNTA(M78:P78)=0,"待返回",IF(COUNTA(M78:P78)&lt;4,"待补充",IF(OR(O78=0,P78=0),"检查分母","已返回")))</x:f>
        <x:v>待返回</x:v>
      </x:c>
      <x:c r="U78" s="51" t="str">
        <x:v>固定n1=1、β=3.0、Pbi=0.2；对应论文图2.12</x:v>
      </x:c>
    </x:row>
    <x:row r="79" ht="27" customHeight="1">
      <x:c r="A79" s="27" t="str">
        <x:v>n×ρ</x:v>
      </x:c>
      <x:c r="B79" s="27" t="str">
        <x:v>构件总数n</x:v>
      </x:c>
      <x:c r="C79" s="27" t="n">
        <x:v>12</x:v>
      </x:c>
      <x:c r="D79" s="27" t="str">
        <x:v>相关系数ρ</x:v>
      </x:c>
      <x:c r="E79" s="27" t="n">
        <x:v>0.5</x:v>
      </x:c>
      <x:c r="F79" s="27" t="n">
        <x:v>12</x:v>
      </x:c>
      <x:c r="G79" s="27" t="n">
        <x:v>1</x:v>
      </x:c>
      <x:c r="H79" s="39" t="n">
        <x:v>3</x:v>
      </x:c>
      <x:c r="I79" s="39" t="n">
        <x:v>0.5</x:v>
      </x:c>
      <x:c r="J79" s="39" t="n">
        <x:v>0.2</x:v>
      </x:c>
      <x:c r="K79" s="27" t="n">
        <x:v>3</x:v>
      </x:c>
      <x:c r="L79" s="48" t="str">
        <x:v>唯一潜在脆性构件i</x:v>
      </x:c>
      <x:c r="M79" s="43"/>
      <x:c r="N79" s="43"/>
      <x:c r="O79" s="43"/>
      <x:c r="P79" s="43"/>
      <x:c r="Q79" s="44" t="str">
        <x:f>IF(OR(M79="",P79="",P79=0),"",M79/P79)</x:f>
      </x:c>
      <x:c r="R79" s="44" t="str">
        <x:f>IF(OR(N79="",O79="",O79=0),"",N79/O79)</x:f>
      </x:c>
      <x:c r="S79" s="44" t="str">
        <x:f>IF(OR(Q79="",R79=""),"",AVERAGE(Q79:R79))</x:f>
      </x:c>
      <x:c r="T79" s="36" t="str">
        <x:f>IF(COUNTA(M79:P79)=0,"待返回",IF(COUNTA(M79:P79)&lt;4,"待补充",IF(OR(O79=0,P79=0),"检查分母","已返回")))</x:f>
        <x:v>待返回</x:v>
      </x:c>
      <x:c r="U79" s="51" t="str">
        <x:v>固定n1=1、β=3.0、Pbi=0.2；对应论文图2.12</x:v>
      </x:c>
    </x:row>
    <x:row r="80" ht="27" customHeight="1">
      <x:c r="A80" s="27" t="str">
        <x:v>n×ρ</x:v>
      </x:c>
      <x:c r="B80" s="27" t="str">
        <x:v>构件总数n</x:v>
      </x:c>
      <x:c r="C80" s="27" t="n">
        <x:v>16</x:v>
      </x:c>
      <x:c r="D80" s="27" t="str">
        <x:v>相关系数ρ</x:v>
      </x:c>
      <x:c r="E80" s="27" t="n">
        <x:v>0.5</x:v>
      </x:c>
      <x:c r="F80" s="27" t="n">
        <x:v>16</x:v>
      </x:c>
      <x:c r="G80" s="27" t="n">
        <x:v>1</x:v>
      </x:c>
      <x:c r="H80" s="39" t="n">
        <x:v>3</x:v>
      </x:c>
      <x:c r="I80" s="39" t="n">
        <x:v>0.5</x:v>
      </x:c>
      <x:c r="J80" s="39" t="n">
        <x:v>0.2</x:v>
      </x:c>
      <x:c r="K80" s="27" t="n">
        <x:v>3</x:v>
      </x:c>
      <x:c r="L80" s="48" t="str">
        <x:v>唯一潜在脆性构件i</x:v>
      </x:c>
      <x:c r="M80" s="43"/>
      <x:c r="N80" s="43"/>
      <x:c r="O80" s="43"/>
      <x:c r="P80" s="43"/>
      <x:c r="Q80" s="44" t="str">
        <x:f>IF(OR(M80="",P80="",P80=0),"",M80/P80)</x:f>
      </x:c>
      <x:c r="R80" s="44" t="str">
        <x:f>IF(OR(N80="",O80="",O80=0),"",N80/O80)</x:f>
      </x:c>
      <x:c r="S80" s="44" t="str">
        <x:f>IF(OR(Q80="",R80=""),"",AVERAGE(Q80:R80))</x:f>
      </x:c>
      <x:c r="T80" s="36" t="str">
        <x:f>IF(COUNTA(M80:P80)=0,"待返回",IF(COUNTA(M80:P80)&lt;4,"待补充",IF(OR(O80=0,P80=0),"检查分母","已返回")))</x:f>
        <x:v>待返回</x:v>
      </x:c>
      <x:c r="U80" s="51" t="str">
        <x:v>固定n1=1、β=3.0、Pbi=0.2；对应论文图2.12</x:v>
      </x:c>
    </x:row>
    <x:row r="81" ht="27" customHeight="1">
      <x:c r="A81" s="27" t="str">
        <x:v>n×ρ</x:v>
      </x:c>
      <x:c r="B81" s="27" t="str">
        <x:v>构件总数n</x:v>
      </x:c>
      <x:c r="C81" s="27" t="n">
        <x:v>20</x:v>
      </x:c>
      <x:c r="D81" s="27" t="str">
        <x:v>相关系数ρ</x:v>
      </x:c>
      <x:c r="E81" s="27" t="n">
        <x:v>0.5</x:v>
      </x:c>
      <x:c r="F81" s="27" t="n">
        <x:v>20</x:v>
      </x:c>
      <x:c r="G81" s="27" t="n">
        <x:v>1</x:v>
      </x:c>
      <x:c r="H81" s="39" t="n">
        <x:v>3</x:v>
      </x:c>
      <x:c r="I81" s="39" t="n">
        <x:v>0.5</x:v>
      </x:c>
      <x:c r="J81" s="39" t="n">
        <x:v>0.2</x:v>
      </x:c>
      <x:c r="K81" s="27" t="n">
        <x:v>3</x:v>
      </x:c>
      <x:c r="L81" s="48" t="str">
        <x:v>唯一潜在脆性构件i</x:v>
      </x:c>
      <x:c r="M81" s="43"/>
      <x:c r="N81" s="43"/>
      <x:c r="O81" s="43"/>
      <x:c r="P81" s="43"/>
      <x:c r="Q81" s="44" t="str">
        <x:f>IF(OR(M81="",P81="",P81=0),"",M81/P81)</x:f>
      </x:c>
      <x:c r="R81" s="44" t="str">
        <x:f>IF(OR(N81="",O81="",O81=0),"",N81/O81)</x:f>
      </x:c>
      <x:c r="S81" s="44" t="str">
        <x:f>IF(OR(Q81="",R81=""),"",AVERAGE(Q81:R81))</x:f>
      </x:c>
      <x:c r="T81" s="36" t="str">
        <x:f>IF(COUNTA(M81:P81)=0,"待返回",IF(COUNTA(M81:P81)&lt;4,"待补充",IF(OR(O81=0,P81=0),"检查分母","已返回")))</x:f>
        <x:v>待返回</x:v>
      </x:c>
      <x:c r="U81" s="51" t="str">
        <x:v>固定n1=1、β=3.0、Pbi=0.2；对应论文图2.12</x:v>
      </x:c>
    </x:row>
    <x:row r="82" ht="27" customHeight="1">
      <x:c r="A82" s="27" t="str">
        <x:v>n×ρ</x:v>
      </x:c>
      <x:c r="B82" s="27" t="str">
        <x:v>构件总数n</x:v>
      </x:c>
      <x:c r="C82" s="27" t="n">
        <x:v>24</x:v>
      </x:c>
      <x:c r="D82" s="27" t="str">
        <x:v>相关系数ρ</x:v>
      </x:c>
      <x:c r="E82" s="27" t="n">
        <x:v>0.5</x:v>
      </x:c>
      <x:c r="F82" s="27" t="n">
        <x:v>24</x:v>
      </x:c>
      <x:c r="G82" s="27" t="n">
        <x:v>1</x:v>
      </x:c>
      <x:c r="H82" s="39" t="n">
        <x:v>3</x:v>
      </x:c>
      <x:c r="I82" s="39" t="n">
        <x:v>0.5</x:v>
      </x:c>
      <x:c r="J82" s="39" t="n">
        <x:v>0.2</x:v>
      </x:c>
      <x:c r="K82" s="27" t="n">
        <x:v>3</x:v>
      </x:c>
      <x:c r="L82" s="48" t="str">
        <x:v>唯一潜在脆性构件i</x:v>
      </x:c>
      <x:c r="M82" s="43"/>
      <x:c r="N82" s="43"/>
      <x:c r="O82" s="43"/>
      <x:c r="P82" s="43"/>
      <x:c r="Q82" s="44" t="str">
        <x:f>IF(OR(M82="",P82="",P82=0),"",M82/P82)</x:f>
      </x:c>
      <x:c r="R82" s="44" t="str">
        <x:f>IF(OR(N82="",O82="",O82=0),"",N82/O82)</x:f>
      </x:c>
      <x:c r="S82" s="44" t="str">
        <x:f>IF(OR(Q82="",R82=""),"",AVERAGE(Q82:R82))</x:f>
      </x:c>
      <x:c r="T82" s="36" t="str">
        <x:f>IF(COUNTA(M82:P82)=0,"待返回",IF(COUNTA(M82:P82)&lt;4,"待补充",IF(OR(O82=0,P82=0),"检查分母","已返回")))</x:f>
        <x:v>待返回</x:v>
      </x:c>
      <x:c r="U82" s="51" t="str">
        <x:v>固定n1=1、β=3.0、Pbi=0.2；对应论文图2.12</x:v>
      </x:c>
    </x:row>
    <x:row r="83" ht="27" customHeight="1">
      <x:c r="A83" s="27" t="str">
        <x:v>n×ρ</x:v>
      </x:c>
      <x:c r="B83" s="27" t="str">
        <x:v>构件总数n</x:v>
      </x:c>
      <x:c r="C83" s="27" t="n">
        <x:v>28</x:v>
      </x:c>
      <x:c r="D83" s="27" t="str">
        <x:v>相关系数ρ</x:v>
      </x:c>
      <x:c r="E83" s="27" t="n">
        <x:v>0.5</x:v>
      </x:c>
      <x:c r="F83" s="27" t="n">
        <x:v>28</x:v>
      </x:c>
      <x:c r="G83" s="27" t="n">
        <x:v>1</x:v>
      </x:c>
      <x:c r="H83" s="39" t="n">
        <x:v>3</x:v>
      </x:c>
      <x:c r="I83" s="39" t="n">
        <x:v>0.5</x:v>
      </x:c>
      <x:c r="J83" s="39" t="n">
        <x:v>0.2</x:v>
      </x:c>
      <x:c r="K83" s="27" t="n">
        <x:v>3</x:v>
      </x:c>
      <x:c r="L83" s="48" t="str">
        <x:v>唯一潜在脆性构件i</x:v>
      </x:c>
      <x:c r="M83" s="43"/>
      <x:c r="N83" s="43"/>
      <x:c r="O83" s="43"/>
      <x:c r="P83" s="43"/>
      <x:c r="Q83" s="44" t="str">
        <x:f>IF(OR(M83="",P83="",P83=0),"",M83/P83)</x:f>
      </x:c>
      <x:c r="R83" s="44" t="str">
        <x:f>IF(OR(N83="",O83="",O83=0),"",N83/O83)</x:f>
      </x:c>
      <x:c r="S83" s="44" t="str">
        <x:f>IF(OR(Q83="",R83=""),"",AVERAGE(Q83:R83))</x:f>
      </x:c>
      <x:c r="T83" s="36" t="str">
        <x:f>IF(COUNTA(M83:P83)=0,"待返回",IF(COUNTA(M83:P83)&lt;4,"待补充",IF(OR(O83=0,P83=0),"检查分母","已返回")))</x:f>
        <x:v>待返回</x:v>
      </x:c>
      <x:c r="U83" s="51" t="str">
        <x:v>固定n1=1、β=3.0、Pbi=0.2；对应论文图2.12</x:v>
      </x:c>
    </x:row>
    <x:row r="84" ht="27" customHeight="1">
      <x:c r="A84" s="27" t="str">
        <x:v>n×ρ</x:v>
      </x:c>
      <x:c r="B84" s="27" t="str">
        <x:v>构件总数n</x:v>
      </x:c>
      <x:c r="C84" s="27" t="n">
        <x:v>32</x:v>
      </x:c>
      <x:c r="D84" s="27" t="str">
        <x:v>相关系数ρ</x:v>
      </x:c>
      <x:c r="E84" s="27" t="n">
        <x:v>0.5</x:v>
      </x:c>
      <x:c r="F84" s="27" t="n">
        <x:v>32</x:v>
      </x:c>
      <x:c r="G84" s="27" t="n">
        <x:v>1</x:v>
      </x:c>
      <x:c r="H84" s="39" t="n">
        <x:v>3</x:v>
      </x:c>
      <x:c r="I84" s="39" t="n">
        <x:v>0.5</x:v>
      </x:c>
      <x:c r="J84" s="39" t="n">
        <x:v>0.2</x:v>
      </x:c>
      <x:c r="K84" s="27" t="n">
        <x:v>3</x:v>
      </x:c>
      <x:c r="L84" s="48" t="str">
        <x:v>唯一潜在脆性构件i</x:v>
      </x:c>
      <x:c r="M84" s="43"/>
      <x:c r="N84" s="43"/>
      <x:c r="O84" s="43"/>
      <x:c r="P84" s="43"/>
      <x:c r="Q84" s="44" t="str">
        <x:f>IF(OR(M84="",P84="",P84=0),"",M84/P84)</x:f>
      </x:c>
      <x:c r="R84" s="44" t="str">
        <x:f>IF(OR(N84="",O84="",O84=0),"",N84/O84)</x:f>
      </x:c>
      <x:c r="S84" s="44" t="str">
        <x:f>IF(OR(Q84="",R84=""),"",AVERAGE(Q84:R84))</x:f>
      </x:c>
      <x:c r="T84" s="36" t="str">
        <x:f>IF(COUNTA(M84:P84)=0,"待返回",IF(COUNTA(M84:P84)&lt;4,"待补充",IF(OR(O84=0,P84=0),"检查分母","已返回")))</x:f>
        <x:v>待返回</x:v>
      </x:c>
      <x:c r="U84" s="51" t="str">
        <x:v>固定n1=1、β=3.0、Pbi=0.2；对应论文图2.12</x:v>
      </x:c>
    </x:row>
    <x:row r="85" ht="27" customHeight="1">
      <x:c r="A85" s="27" t="str">
        <x:v>n×ρ</x:v>
      </x:c>
      <x:c r="B85" s="27" t="str">
        <x:v>构件总数n</x:v>
      </x:c>
      <x:c r="C85" s="27" t="n">
        <x:v>36</x:v>
      </x:c>
      <x:c r="D85" s="27" t="str">
        <x:v>相关系数ρ</x:v>
      </x:c>
      <x:c r="E85" s="27" t="n">
        <x:v>0.5</x:v>
      </x:c>
      <x:c r="F85" s="27" t="n">
        <x:v>36</x:v>
      </x:c>
      <x:c r="G85" s="27" t="n">
        <x:v>1</x:v>
      </x:c>
      <x:c r="H85" s="39" t="n">
        <x:v>3</x:v>
      </x:c>
      <x:c r="I85" s="39" t="n">
        <x:v>0.5</x:v>
      </x:c>
      <x:c r="J85" s="39" t="n">
        <x:v>0.2</x:v>
      </x:c>
      <x:c r="K85" s="27" t="n">
        <x:v>3</x:v>
      </x:c>
      <x:c r="L85" s="48" t="str">
        <x:v>唯一潜在脆性构件i</x:v>
      </x:c>
      <x:c r="M85" s="43"/>
      <x:c r="N85" s="43"/>
      <x:c r="O85" s="43"/>
      <x:c r="P85" s="43"/>
      <x:c r="Q85" s="44" t="str">
        <x:f>IF(OR(M85="",P85="",P85=0),"",M85/P85)</x:f>
      </x:c>
      <x:c r="R85" s="44" t="str">
        <x:f>IF(OR(N85="",O85="",O85=0),"",N85/O85)</x:f>
      </x:c>
      <x:c r="S85" s="44" t="str">
        <x:f>IF(OR(Q85="",R85=""),"",AVERAGE(Q85:R85))</x:f>
      </x:c>
      <x:c r="T85" s="36" t="str">
        <x:f>IF(COUNTA(M85:P85)=0,"待返回",IF(COUNTA(M85:P85)&lt;4,"待补充",IF(OR(O85=0,P85=0),"检查分母","已返回")))</x:f>
        <x:v>待返回</x:v>
      </x:c>
      <x:c r="U85" s="51" t="str">
        <x:v>固定n1=1、β=3.0、Pbi=0.2；对应论文图2.12</x:v>
      </x:c>
    </x:row>
    <x:row r="86" ht="27" customHeight="1">
      <x:c r="A86" s="27" t="str">
        <x:v>n×ρ</x:v>
      </x:c>
      <x:c r="B86" s="27" t="str">
        <x:v>构件总数n</x:v>
      </x:c>
      <x:c r="C86" s="27" t="n">
        <x:v>40</x:v>
      </x:c>
      <x:c r="D86" s="27" t="str">
        <x:v>相关系数ρ</x:v>
      </x:c>
      <x:c r="E86" s="27" t="n">
        <x:v>0.5</x:v>
      </x:c>
      <x:c r="F86" s="27" t="n">
        <x:v>40</x:v>
      </x:c>
      <x:c r="G86" s="27" t="n">
        <x:v>1</x:v>
      </x:c>
      <x:c r="H86" s="39" t="n">
        <x:v>3</x:v>
      </x:c>
      <x:c r="I86" s="39" t="n">
        <x:v>0.5</x:v>
      </x:c>
      <x:c r="J86" s="39" t="n">
        <x:v>0.2</x:v>
      </x:c>
      <x:c r="K86" s="27" t="n">
        <x:v>3</x:v>
      </x:c>
      <x:c r="L86" s="48" t="str">
        <x:v>唯一潜在脆性构件i</x:v>
      </x:c>
      <x:c r="M86" s="43"/>
      <x:c r="N86" s="43"/>
      <x:c r="O86" s="43"/>
      <x:c r="P86" s="43"/>
      <x:c r="Q86" s="44" t="str">
        <x:f>IF(OR(M86="",P86="",P86=0),"",M86/P86)</x:f>
      </x:c>
      <x:c r="R86" s="44" t="str">
        <x:f>IF(OR(N86="",O86="",O86=0),"",N86/O86)</x:f>
      </x:c>
      <x:c r="S86" s="44" t="str">
        <x:f>IF(OR(Q86="",R86=""),"",AVERAGE(Q86:R86))</x:f>
      </x:c>
      <x:c r="T86" s="36" t="str">
        <x:f>IF(COUNTA(M86:P86)=0,"待返回",IF(COUNTA(M86:P86)&lt;4,"待补充",IF(OR(O86=0,P86=0),"检查分母","已返回")))</x:f>
        <x:v>待返回</x:v>
      </x:c>
      <x:c r="U86" s="51" t="str">
        <x:v>固定n1=1、β=3.0、Pbi=0.2；对应论文图2.12</x:v>
      </x:c>
    </x:row>
    <x:row r="87" ht="27" customHeight="1">
      <x:c r="A87" s="27" t="str">
        <x:v>n×ρ</x:v>
      </x:c>
      <x:c r="B87" s="27" t="str">
        <x:v>构件总数n</x:v>
      </x:c>
      <x:c r="C87" s="27" t="n">
        <x:v>44</x:v>
      </x:c>
      <x:c r="D87" s="27" t="str">
        <x:v>相关系数ρ</x:v>
      </x:c>
      <x:c r="E87" s="27" t="n">
        <x:v>0.5</x:v>
      </x:c>
      <x:c r="F87" s="27" t="n">
        <x:v>44</x:v>
      </x:c>
      <x:c r="G87" s="27" t="n">
        <x:v>1</x:v>
      </x:c>
      <x:c r="H87" s="39" t="n">
        <x:v>3</x:v>
      </x:c>
      <x:c r="I87" s="39" t="n">
        <x:v>0.5</x:v>
      </x:c>
      <x:c r="J87" s="39" t="n">
        <x:v>0.2</x:v>
      </x:c>
      <x:c r="K87" s="27" t="n">
        <x:v>3</x:v>
      </x:c>
      <x:c r="L87" s="48" t="str">
        <x:v>唯一潜在脆性构件i</x:v>
      </x:c>
      <x:c r="M87" s="43"/>
      <x:c r="N87" s="43"/>
      <x:c r="O87" s="43"/>
      <x:c r="P87" s="43"/>
      <x:c r="Q87" s="44" t="str">
        <x:f>IF(OR(M87="",P87="",P87=0),"",M87/P87)</x:f>
      </x:c>
      <x:c r="R87" s="44" t="str">
        <x:f>IF(OR(N87="",O87="",O87=0),"",N87/O87)</x:f>
      </x:c>
      <x:c r="S87" s="44" t="str">
        <x:f>IF(OR(Q87="",R87=""),"",AVERAGE(Q87:R87))</x:f>
      </x:c>
      <x:c r="T87" s="36" t="str">
        <x:f>IF(COUNTA(M87:P87)=0,"待返回",IF(COUNTA(M87:P87)&lt;4,"待补充",IF(OR(O87=0,P87=0),"检查分母","已返回")))</x:f>
        <x:v>待返回</x:v>
      </x:c>
      <x:c r="U87" s="51" t="str">
        <x:v>固定n1=1、β=3.0、Pbi=0.2；对应论文图2.12</x:v>
      </x:c>
    </x:row>
    <x:row r="88" ht="27" customHeight="1">
      <x:c r="A88" s="27" t="str">
        <x:v>n×ρ</x:v>
      </x:c>
      <x:c r="B88" s="27" t="str">
        <x:v>构件总数n</x:v>
      </x:c>
      <x:c r="C88" s="27" t="n">
        <x:v>48</x:v>
      </x:c>
      <x:c r="D88" s="27" t="str">
        <x:v>相关系数ρ</x:v>
      </x:c>
      <x:c r="E88" s="27" t="n">
        <x:v>0.5</x:v>
      </x:c>
      <x:c r="F88" s="27" t="n">
        <x:v>48</x:v>
      </x:c>
      <x:c r="G88" s="27" t="n">
        <x:v>1</x:v>
      </x:c>
      <x:c r="H88" s="39" t="n">
        <x:v>3</x:v>
      </x:c>
      <x:c r="I88" s="39" t="n">
        <x:v>0.5</x:v>
      </x:c>
      <x:c r="J88" s="39" t="n">
        <x:v>0.2</x:v>
      </x:c>
      <x:c r="K88" s="27" t="n">
        <x:v>3</x:v>
      </x:c>
      <x:c r="L88" s="48" t="str">
        <x:v>唯一潜在脆性构件i</x:v>
      </x:c>
      <x:c r="M88" s="43"/>
      <x:c r="N88" s="43"/>
      <x:c r="O88" s="43"/>
      <x:c r="P88" s="43"/>
      <x:c r="Q88" s="44" t="str">
        <x:f>IF(OR(M88="",P88="",P88=0),"",M88/P88)</x:f>
      </x:c>
      <x:c r="R88" s="44" t="str">
        <x:f>IF(OR(N88="",O88="",O88=0),"",N88/O88)</x:f>
      </x:c>
      <x:c r="S88" s="44" t="str">
        <x:f>IF(OR(Q88="",R88=""),"",AVERAGE(Q88:R88))</x:f>
      </x:c>
      <x:c r="T88" s="36" t="str">
        <x:f>IF(COUNTA(M88:P88)=0,"待返回",IF(COUNTA(M88:P88)&lt;4,"待补充",IF(OR(O88=0,P88=0),"检查分母","已返回")))</x:f>
        <x:v>待返回</x:v>
      </x:c>
      <x:c r="U88" s="51" t="str">
        <x:v>固定n1=1、β=3.0、Pbi=0.2；对应论文图2.12</x:v>
      </x:c>
    </x:row>
    <x:row r="89" ht="27" customHeight="1">
      <x:c r="A89" s="27" t="str">
        <x:v>n×ρ</x:v>
      </x:c>
      <x:c r="B89" s="27" t="str">
        <x:v>构件总数n</x:v>
      </x:c>
      <x:c r="C89" s="27" t="n">
        <x:v>8</x:v>
      </x:c>
      <x:c r="D89" s="27" t="str">
        <x:v>相关系数ρ</x:v>
      </x:c>
      <x:c r="E89" s="27" t="n">
        <x:v>0.7</x:v>
      </x:c>
      <x:c r="F89" s="27" t="n">
        <x:v>8</x:v>
      </x:c>
      <x:c r="G89" s="27" t="n">
        <x:v>1</x:v>
      </x:c>
      <x:c r="H89" s="39" t="n">
        <x:v>3</x:v>
      </x:c>
      <x:c r="I89" s="39" t="n">
        <x:v>0.7</x:v>
      </x:c>
      <x:c r="J89" s="39" t="n">
        <x:v>0.2</x:v>
      </x:c>
      <x:c r="K89" s="27" t="n">
        <x:v>3</x:v>
      </x:c>
      <x:c r="L89" s="48" t="str">
        <x:v>唯一潜在脆性构件i</x:v>
      </x:c>
      <x:c r="M89" s="43"/>
      <x:c r="N89" s="43"/>
      <x:c r="O89" s="43"/>
      <x:c r="P89" s="43"/>
      <x:c r="Q89" s="44" t="str">
        <x:f>IF(OR(M89="",P89="",P89=0),"",M89/P89)</x:f>
      </x:c>
      <x:c r="R89" s="44" t="str">
        <x:f>IF(OR(N89="",O89="",O89=0),"",N89/O89)</x:f>
      </x:c>
      <x:c r="S89" s="44" t="str">
        <x:f>IF(OR(Q89="",R89=""),"",AVERAGE(Q89:R89))</x:f>
      </x:c>
      <x:c r="T89" s="36" t="str">
        <x:f>IF(COUNTA(M89:P89)=0,"待返回",IF(COUNTA(M89:P89)&lt;4,"待补充",IF(OR(O89=0,P89=0),"检查分母","已返回")))</x:f>
        <x:v>待返回</x:v>
      </x:c>
      <x:c r="U89" s="51" t="str">
        <x:v>固定n1=1、β=3.0、Pbi=0.2；对应论文图2.12</x:v>
      </x:c>
    </x:row>
    <x:row r="90" ht="27" customHeight="1">
      <x:c r="A90" s="27" t="str">
        <x:v>n×ρ</x:v>
      </x:c>
      <x:c r="B90" s="27" t="str">
        <x:v>构件总数n</x:v>
      </x:c>
      <x:c r="C90" s="27" t="n">
        <x:v>12</x:v>
      </x:c>
      <x:c r="D90" s="27" t="str">
        <x:v>相关系数ρ</x:v>
      </x:c>
      <x:c r="E90" s="27" t="n">
        <x:v>0.7</x:v>
      </x:c>
      <x:c r="F90" s="27" t="n">
        <x:v>12</x:v>
      </x:c>
      <x:c r="G90" s="27" t="n">
        <x:v>1</x:v>
      </x:c>
      <x:c r="H90" s="39" t="n">
        <x:v>3</x:v>
      </x:c>
      <x:c r="I90" s="39" t="n">
        <x:v>0.7</x:v>
      </x:c>
      <x:c r="J90" s="39" t="n">
        <x:v>0.2</x:v>
      </x:c>
      <x:c r="K90" s="27" t="n">
        <x:v>3</x:v>
      </x:c>
      <x:c r="L90" s="48" t="str">
        <x:v>唯一潜在脆性构件i</x:v>
      </x:c>
      <x:c r="M90" s="43"/>
      <x:c r="N90" s="43"/>
      <x:c r="O90" s="43"/>
      <x:c r="P90" s="43"/>
      <x:c r="Q90" s="44" t="str">
        <x:f>IF(OR(M90="",P90="",P90=0),"",M90/P90)</x:f>
      </x:c>
      <x:c r="R90" s="44" t="str">
        <x:f>IF(OR(N90="",O90="",O90=0),"",N90/O90)</x:f>
      </x:c>
      <x:c r="S90" s="44" t="str">
        <x:f>IF(OR(Q90="",R90=""),"",AVERAGE(Q90:R90))</x:f>
      </x:c>
      <x:c r="T90" s="36" t="str">
        <x:f>IF(COUNTA(M90:P90)=0,"待返回",IF(COUNTA(M90:P90)&lt;4,"待补充",IF(OR(O90=0,P90=0),"检查分母","已返回")))</x:f>
        <x:v>待返回</x:v>
      </x:c>
      <x:c r="U90" s="51" t="str">
        <x:v>固定n1=1、β=3.0、Pbi=0.2；对应论文图2.12</x:v>
      </x:c>
    </x:row>
    <x:row r="91" ht="27" customHeight="1">
      <x:c r="A91" s="27" t="str">
        <x:v>n×ρ</x:v>
      </x:c>
      <x:c r="B91" s="27" t="str">
        <x:v>构件总数n</x:v>
      </x:c>
      <x:c r="C91" s="27" t="n">
        <x:v>16</x:v>
      </x:c>
      <x:c r="D91" s="27" t="str">
        <x:v>相关系数ρ</x:v>
      </x:c>
      <x:c r="E91" s="27" t="n">
        <x:v>0.7</x:v>
      </x:c>
      <x:c r="F91" s="27" t="n">
        <x:v>16</x:v>
      </x:c>
      <x:c r="G91" s="27" t="n">
        <x:v>1</x:v>
      </x:c>
      <x:c r="H91" s="39" t="n">
        <x:v>3</x:v>
      </x:c>
      <x:c r="I91" s="39" t="n">
        <x:v>0.7</x:v>
      </x:c>
      <x:c r="J91" s="39" t="n">
        <x:v>0.2</x:v>
      </x:c>
      <x:c r="K91" s="27" t="n">
        <x:v>3</x:v>
      </x:c>
      <x:c r="L91" s="48" t="str">
        <x:v>唯一潜在脆性构件i</x:v>
      </x:c>
      <x:c r="M91" s="43"/>
      <x:c r="N91" s="43"/>
      <x:c r="O91" s="43"/>
      <x:c r="P91" s="43"/>
      <x:c r="Q91" s="44" t="str">
        <x:f>IF(OR(M91="",P91="",P91=0),"",M91/P91)</x:f>
      </x:c>
      <x:c r="R91" s="44" t="str">
        <x:f>IF(OR(N91="",O91="",O91=0),"",N91/O91)</x:f>
      </x:c>
      <x:c r="S91" s="44" t="str">
        <x:f>IF(OR(Q91="",R91=""),"",AVERAGE(Q91:R91))</x:f>
      </x:c>
      <x:c r="T91" s="36" t="str">
        <x:f>IF(COUNTA(M91:P91)=0,"待返回",IF(COUNTA(M91:P91)&lt;4,"待补充",IF(OR(O91=0,P91=0),"检查分母","已返回")))</x:f>
        <x:v>待返回</x:v>
      </x:c>
      <x:c r="U91" s="51" t="str">
        <x:v>固定n1=1、β=3.0、Pbi=0.2；对应论文图2.12</x:v>
      </x:c>
    </x:row>
    <x:row r="92" ht="27" customHeight="1">
      <x:c r="A92" s="27" t="str">
        <x:v>n×ρ</x:v>
      </x:c>
      <x:c r="B92" s="27" t="str">
        <x:v>构件总数n</x:v>
      </x:c>
      <x:c r="C92" s="27" t="n">
        <x:v>20</x:v>
      </x:c>
      <x:c r="D92" s="27" t="str">
        <x:v>相关系数ρ</x:v>
      </x:c>
      <x:c r="E92" s="27" t="n">
        <x:v>0.7</x:v>
      </x:c>
      <x:c r="F92" s="27" t="n">
        <x:v>20</x:v>
      </x:c>
      <x:c r="G92" s="27" t="n">
        <x:v>1</x:v>
      </x:c>
      <x:c r="H92" s="39" t="n">
        <x:v>3</x:v>
      </x:c>
      <x:c r="I92" s="39" t="n">
        <x:v>0.7</x:v>
      </x:c>
      <x:c r="J92" s="39" t="n">
        <x:v>0.2</x:v>
      </x:c>
      <x:c r="K92" s="27" t="n">
        <x:v>3</x:v>
      </x:c>
      <x:c r="L92" s="48" t="str">
        <x:v>唯一潜在脆性构件i</x:v>
      </x:c>
      <x:c r="M92" s="43"/>
      <x:c r="N92" s="43"/>
      <x:c r="O92" s="43"/>
      <x:c r="P92" s="43"/>
      <x:c r="Q92" s="44" t="str">
        <x:f>IF(OR(M92="",P92="",P92=0),"",M92/P92)</x:f>
      </x:c>
      <x:c r="R92" s="44" t="str">
        <x:f>IF(OR(N92="",O92="",O92=0),"",N92/O92)</x:f>
      </x:c>
      <x:c r="S92" s="44" t="str">
        <x:f>IF(OR(Q92="",R92=""),"",AVERAGE(Q92:R92))</x:f>
      </x:c>
      <x:c r="T92" s="36" t="str">
        <x:f>IF(COUNTA(M92:P92)=0,"待返回",IF(COUNTA(M92:P92)&lt;4,"待补充",IF(OR(O92=0,P92=0),"检查分母","已返回")))</x:f>
        <x:v>待返回</x:v>
      </x:c>
      <x:c r="U92" s="51" t="str">
        <x:v>固定n1=1、β=3.0、Pbi=0.2；对应论文图2.12</x:v>
      </x:c>
    </x:row>
    <x:row r="93" ht="27" customHeight="1">
      <x:c r="A93" s="27" t="str">
        <x:v>n×ρ</x:v>
      </x:c>
      <x:c r="B93" s="27" t="str">
        <x:v>构件总数n</x:v>
      </x:c>
      <x:c r="C93" s="27" t="n">
        <x:v>24</x:v>
      </x:c>
      <x:c r="D93" s="27" t="str">
        <x:v>相关系数ρ</x:v>
      </x:c>
      <x:c r="E93" s="27" t="n">
        <x:v>0.7</x:v>
      </x:c>
      <x:c r="F93" s="27" t="n">
        <x:v>24</x:v>
      </x:c>
      <x:c r="G93" s="27" t="n">
        <x:v>1</x:v>
      </x:c>
      <x:c r="H93" s="39" t="n">
        <x:v>3</x:v>
      </x:c>
      <x:c r="I93" s="39" t="n">
        <x:v>0.7</x:v>
      </x:c>
      <x:c r="J93" s="39" t="n">
        <x:v>0.2</x:v>
      </x:c>
      <x:c r="K93" s="27" t="n">
        <x:v>3</x:v>
      </x:c>
      <x:c r="L93" s="48" t="str">
        <x:v>唯一潜在脆性构件i</x:v>
      </x:c>
      <x:c r="M93" s="43"/>
      <x:c r="N93" s="43"/>
      <x:c r="O93" s="43"/>
      <x:c r="P93" s="43"/>
      <x:c r="Q93" s="44" t="str">
        <x:f>IF(OR(M93="",P93="",P93=0),"",M93/P93)</x:f>
      </x:c>
      <x:c r="R93" s="44" t="str">
        <x:f>IF(OR(N93="",O93="",O93=0),"",N93/O93)</x:f>
      </x:c>
      <x:c r="S93" s="44" t="str">
        <x:f>IF(OR(Q93="",R93=""),"",AVERAGE(Q93:R93))</x:f>
      </x:c>
      <x:c r="T93" s="36" t="str">
        <x:f>IF(COUNTA(M93:P93)=0,"待返回",IF(COUNTA(M93:P93)&lt;4,"待补充",IF(OR(O93=0,P93=0),"检查分母","已返回")))</x:f>
        <x:v>待返回</x:v>
      </x:c>
      <x:c r="U93" s="51" t="str">
        <x:v>固定n1=1、β=3.0、Pbi=0.2；对应论文图2.12</x:v>
      </x:c>
    </x:row>
    <x:row r="94" ht="27" customHeight="1">
      <x:c r="A94" s="27" t="str">
        <x:v>n×ρ</x:v>
      </x:c>
      <x:c r="B94" s="27" t="str">
        <x:v>构件总数n</x:v>
      </x:c>
      <x:c r="C94" s="27" t="n">
        <x:v>28</x:v>
      </x:c>
      <x:c r="D94" s="27" t="str">
        <x:v>相关系数ρ</x:v>
      </x:c>
      <x:c r="E94" s="27" t="n">
        <x:v>0.7</x:v>
      </x:c>
      <x:c r="F94" s="27" t="n">
        <x:v>28</x:v>
      </x:c>
      <x:c r="G94" s="27" t="n">
        <x:v>1</x:v>
      </x:c>
      <x:c r="H94" s="39" t="n">
        <x:v>3</x:v>
      </x:c>
      <x:c r="I94" s="39" t="n">
        <x:v>0.7</x:v>
      </x:c>
      <x:c r="J94" s="39" t="n">
        <x:v>0.2</x:v>
      </x:c>
      <x:c r="K94" s="27" t="n">
        <x:v>3</x:v>
      </x:c>
      <x:c r="L94" s="48" t="str">
        <x:v>唯一潜在脆性构件i</x:v>
      </x:c>
      <x:c r="M94" s="43"/>
      <x:c r="N94" s="43"/>
      <x:c r="O94" s="43"/>
      <x:c r="P94" s="43"/>
      <x:c r="Q94" s="44" t="str">
        <x:f>IF(OR(M94="",P94="",P94=0),"",M94/P94)</x:f>
      </x:c>
      <x:c r="R94" s="44" t="str">
        <x:f>IF(OR(N94="",O94="",O94=0),"",N94/O94)</x:f>
      </x:c>
      <x:c r="S94" s="44" t="str">
        <x:f>IF(OR(Q94="",R94=""),"",AVERAGE(Q94:R94))</x:f>
      </x:c>
      <x:c r="T94" s="36" t="str">
        <x:f>IF(COUNTA(M94:P94)=0,"待返回",IF(COUNTA(M94:P94)&lt;4,"待补充",IF(OR(O94=0,P94=0),"检查分母","已返回")))</x:f>
        <x:v>待返回</x:v>
      </x:c>
      <x:c r="U94" s="51" t="str">
        <x:v>固定n1=1、β=3.0、Pbi=0.2；对应论文图2.12</x:v>
      </x:c>
    </x:row>
    <x:row r="95" ht="27" customHeight="1">
      <x:c r="A95" s="27" t="str">
        <x:v>n×ρ</x:v>
      </x:c>
      <x:c r="B95" s="27" t="str">
        <x:v>构件总数n</x:v>
      </x:c>
      <x:c r="C95" s="27" t="n">
        <x:v>32</x:v>
      </x:c>
      <x:c r="D95" s="27" t="str">
        <x:v>相关系数ρ</x:v>
      </x:c>
      <x:c r="E95" s="27" t="n">
        <x:v>0.7</x:v>
      </x:c>
      <x:c r="F95" s="27" t="n">
        <x:v>32</x:v>
      </x:c>
      <x:c r="G95" s="27" t="n">
        <x:v>1</x:v>
      </x:c>
      <x:c r="H95" s="39" t="n">
        <x:v>3</x:v>
      </x:c>
      <x:c r="I95" s="39" t="n">
        <x:v>0.7</x:v>
      </x:c>
      <x:c r="J95" s="39" t="n">
        <x:v>0.2</x:v>
      </x:c>
      <x:c r="K95" s="27" t="n">
        <x:v>3</x:v>
      </x:c>
      <x:c r="L95" s="48" t="str">
        <x:v>唯一潜在脆性构件i</x:v>
      </x:c>
      <x:c r="M95" s="43"/>
      <x:c r="N95" s="43"/>
      <x:c r="O95" s="43"/>
      <x:c r="P95" s="43"/>
      <x:c r="Q95" s="44" t="str">
        <x:f>IF(OR(M95="",P95="",P95=0),"",M95/P95)</x:f>
      </x:c>
      <x:c r="R95" s="44" t="str">
        <x:f>IF(OR(N95="",O95="",O95=0),"",N95/O95)</x:f>
      </x:c>
      <x:c r="S95" s="44" t="str">
        <x:f>IF(OR(Q95="",R95=""),"",AVERAGE(Q95:R95))</x:f>
      </x:c>
      <x:c r="T95" s="36" t="str">
        <x:f>IF(COUNTA(M95:P95)=0,"待返回",IF(COUNTA(M95:P95)&lt;4,"待补充",IF(OR(O95=0,P95=0),"检查分母","已返回")))</x:f>
        <x:v>待返回</x:v>
      </x:c>
      <x:c r="U95" s="51" t="str">
        <x:v>固定n1=1、β=3.0、Pbi=0.2；对应论文图2.12</x:v>
      </x:c>
    </x:row>
    <x:row r="96" ht="27" customHeight="1">
      <x:c r="A96" s="27" t="str">
        <x:v>n×ρ</x:v>
      </x:c>
      <x:c r="B96" s="27" t="str">
        <x:v>构件总数n</x:v>
      </x:c>
      <x:c r="C96" s="27" t="n">
        <x:v>36</x:v>
      </x:c>
      <x:c r="D96" s="27" t="str">
        <x:v>相关系数ρ</x:v>
      </x:c>
      <x:c r="E96" s="27" t="n">
        <x:v>0.7</x:v>
      </x:c>
      <x:c r="F96" s="27" t="n">
        <x:v>36</x:v>
      </x:c>
      <x:c r="G96" s="27" t="n">
        <x:v>1</x:v>
      </x:c>
      <x:c r="H96" s="39" t="n">
        <x:v>3</x:v>
      </x:c>
      <x:c r="I96" s="39" t="n">
        <x:v>0.7</x:v>
      </x:c>
      <x:c r="J96" s="39" t="n">
        <x:v>0.2</x:v>
      </x:c>
      <x:c r="K96" s="27" t="n">
        <x:v>3</x:v>
      </x:c>
      <x:c r="L96" s="48" t="str">
        <x:v>唯一潜在脆性构件i</x:v>
      </x:c>
      <x:c r="M96" s="43"/>
      <x:c r="N96" s="43"/>
      <x:c r="O96" s="43"/>
      <x:c r="P96" s="43"/>
      <x:c r="Q96" s="44" t="str">
        <x:f>IF(OR(M96="",P96="",P96=0),"",M96/P96)</x:f>
      </x:c>
      <x:c r="R96" s="44" t="str">
        <x:f>IF(OR(N96="",O96="",O96=0),"",N96/O96)</x:f>
      </x:c>
      <x:c r="S96" s="44" t="str">
        <x:f>IF(OR(Q96="",R96=""),"",AVERAGE(Q96:R96))</x:f>
      </x:c>
      <x:c r="T96" s="36" t="str">
        <x:f>IF(COUNTA(M96:P96)=0,"待返回",IF(COUNTA(M96:P96)&lt;4,"待补充",IF(OR(O96=0,P96=0),"检查分母","已返回")))</x:f>
        <x:v>待返回</x:v>
      </x:c>
      <x:c r="U96" s="51" t="str">
        <x:v>固定n1=1、β=3.0、Pbi=0.2；对应论文图2.12</x:v>
      </x:c>
    </x:row>
    <x:row r="97" ht="27" customHeight="1">
      <x:c r="A97" s="27" t="str">
        <x:v>n×ρ</x:v>
      </x:c>
      <x:c r="B97" s="27" t="str">
        <x:v>构件总数n</x:v>
      </x:c>
      <x:c r="C97" s="27" t="n">
        <x:v>40</x:v>
      </x:c>
      <x:c r="D97" s="27" t="str">
        <x:v>相关系数ρ</x:v>
      </x:c>
      <x:c r="E97" s="27" t="n">
        <x:v>0.7</x:v>
      </x:c>
      <x:c r="F97" s="27" t="n">
        <x:v>40</x:v>
      </x:c>
      <x:c r="G97" s="27" t="n">
        <x:v>1</x:v>
      </x:c>
      <x:c r="H97" s="39" t="n">
        <x:v>3</x:v>
      </x:c>
      <x:c r="I97" s="39" t="n">
        <x:v>0.7</x:v>
      </x:c>
      <x:c r="J97" s="39" t="n">
        <x:v>0.2</x:v>
      </x:c>
      <x:c r="K97" s="27" t="n">
        <x:v>3</x:v>
      </x:c>
      <x:c r="L97" s="48" t="str">
        <x:v>唯一潜在脆性构件i</x:v>
      </x:c>
      <x:c r="M97" s="43"/>
      <x:c r="N97" s="43"/>
      <x:c r="O97" s="43"/>
      <x:c r="P97" s="43"/>
      <x:c r="Q97" s="44" t="str">
        <x:f>IF(OR(M97="",P97="",P97=0),"",M97/P97)</x:f>
      </x:c>
      <x:c r="R97" s="44" t="str">
        <x:f>IF(OR(N97="",O97="",O97=0),"",N97/O97)</x:f>
      </x:c>
      <x:c r="S97" s="44" t="str">
        <x:f>IF(OR(Q97="",R97=""),"",AVERAGE(Q97:R97))</x:f>
      </x:c>
      <x:c r="T97" s="36" t="str">
        <x:f>IF(COUNTA(M97:P97)=0,"待返回",IF(COUNTA(M97:P97)&lt;4,"待补充",IF(OR(O97=0,P97=0),"检查分母","已返回")))</x:f>
        <x:v>待返回</x:v>
      </x:c>
      <x:c r="U97" s="51" t="str">
        <x:v>固定n1=1、β=3.0、Pbi=0.2；对应论文图2.12</x:v>
      </x:c>
    </x:row>
    <x:row r="98" ht="27" customHeight="1">
      <x:c r="A98" s="27" t="str">
        <x:v>n×ρ</x:v>
      </x:c>
      <x:c r="B98" s="27" t="str">
        <x:v>构件总数n</x:v>
      </x:c>
      <x:c r="C98" s="27" t="n">
        <x:v>44</x:v>
      </x:c>
      <x:c r="D98" s="27" t="str">
        <x:v>相关系数ρ</x:v>
      </x:c>
      <x:c r="E98" s="27" t="n">
        <x:v>0.7</x:v>
      </x:c>
      <x:c r="F98" s="27" t="n">
        <x:v>44</x:v>
      </x:c>
      <x:c r="G98" s="27" t="n">
        <x:v>1</x:v>
      </x:c>
      <x:c r="H98" s="39" t="n">
        <x:v>3</x:v>
      </x:c>
      <x:c r="I98" s="39" t="n">
        <x:v>0.7</x:v>
      </x:c>
      <x:c r="J98" s="39" t="n">
        <x:v>0.2</x:v>
      </x:c>
      <x:c r="K98" s="27" t="n">
        <x:v>3</x:v>
      </x:c>
      <x:c r="L98" s="48" t="str">
        <x:v>唯一潜在脆性构件i</x:v>
      </x:c>
      <x:c r="M98" s="43"/>
      <x:c r="N98" s="43"/>
      <x:c r="O98" s="43"/>
      <x:c r="P98" s="43"/>
      <x:c r="Q98" s="44" t="str">
        <x:f>IF(OR(M98="",P98="",P98=0),"",M98/P98)</x:f>
      </x:c>
      <x:c r="R98" s="44" t="str">
        <x:f>IF(OR(N98="",O98="",O98=0),"",N98/O98)</x:f>
      </x:c>
      <x:c r="S98" s="44" t="str">
        <x:f>IF(OR(Q98="",R98=""),"",AVERAGE(Q98:R98))</x:f>
      </x:c>
      <x:c r="T98" s="36" t="str">
        <x:f>IF(COUNTA(M98:P98)=0,"待返回",IF(COUNTA(M98:P98)&lt;4,"待补充",IF(OR(O98=0,P98=0),"检查分母","已返回")))</x:f>
        <x:v>待返回</x:v>
      </x:c>
      <x:c r="U98" s="51" t="str">
        <x:v>固定n1=1、β=3.0、Pbi=0.2；对应论文图2.12</x:v>
      </x:c>
    </x:row>
    <x:row r="99" ht="27" customHeight="1">
      <x:c r="A99" s="27" t="str">
        <x:v>n×ρ</x:v>
      </x:c>
      <x:c r="B99" s="27" t="str">
        <x:v>构件总数n</x:v>
      </x:c>
      <x:c r="C99" s="27" t="n">
        <x:v>48</x:v>
      </x:c>
      <x:c r="D99" s="27" t="str">
        <x:v>相关系数ρ</x:v>
      </x:c>
      <x:c r="E99" s="27" t="n">
        <x:v>0.7</x:v>
      </x:c>
      <x:c r="F99" s="27" t="n">
        <x:v>48</x:v>
      </x:c>
      <x:c r="G99" s="27" t="n">
        <x:v>1</x:v>
      </x:c>
      <x:c r="H99" s="39" t="n">
        <x:v>3</x:v>
      </x:c>
      <x:c r="I99" s="39" t="n">
        <x:v>0.7</x:v>
      </x:c>
      <x:c r="J99" s="39" t="n">
        <x:v>0.2</x:v>
      </x:c>
      <x:c r="K99" s="27" t="n">
        <x:v>3</x:v>
      </x:c>
      <x:c r="L99" s="48" t="str">
        <x:v>唯一潜在脆性构件i</x:v>
      </x:c>
      <x:c r="M99" s="43"/>
      <x:c r="N99" s="43"/>
      <x:c r="O99" s="43"/>
      <x:c r="P99" s="43"/>
      <x:c r="Q99" s="44" t="str">
        <x:f>IF(OR(M99="",P99="",P99=0),"",M99/P99)</x:f>
      </x:c>
      <x:c r="R99" s="44" t="str">
        <x:f>IF(OR(N99="",O99="",O99=0),"",N99/O99)</x:f>
      </x:c>
      <x:c r="S99" s="44" t="str">
        <x:f>IF(OR(Q99="",R99=""),"",AVERAGE(Q99:R99))</x:f>
      </x:c>
      <x:c r="T99" s="36" t="str">
        <x:f>IF(COUNTA(M99:P99)=0,"待返回",IF(COUNTA(M99:P99)&lt;4,"待补充",IF(OR(O99=0,P99=0),"检查分母","已返回")))</x:f>
        <x:v>待返回</x:v>
      </x:c>
      <x:c r="U99" s="51" t="str">
        <x:v>固定n1=1、β=3.0、Pbi=0.2；对应论文图2.12</x:v>
      </x:c>
    </x:row>
    <x:row r="100" ht="27" customHeight="1">
      <x:c r="A100" s="27" t="str">
        <x:v>n×ρ</x:v>
      </x:c>
      <x:c r="B100" s="27" t="str">
        <x:v>构件总数n</x:v>
      </x:c>
      <x:c r="C100" s="27" t="n">
        <x:v>8</x:v>
      </x:c>
      <x:c r="D100" s="27" t="str">
        <x:v>相关系数ρ</x:v>
      </x:c>
      <x:c r="E100" s="27" t="n">
        <x:v>0.9</x:v>
      </x:c>
      <x:c r="F100" s="27" t="n">
        <x:v>8</x:v>
      </x:c>
      <x:c r="G100" s="27" t="n">
        <x:v>1</x:v>
      </x:c>
      <x:c r="H100" s="39" t="n">
        <x:v>3</x:v>
      </x:c>
      <x:c r="I100" s="39" t="n">
        <x:v>0.9</x:v>
      </x:c>
      <x:c r="J100" s="39" t="n">
        <x:v>0.2</x:v>
      </x:c>
      <x:c r="K100" s="27" t="n">
        <x:v>3</x:v>
      </x:c>
      <x:c r="L100" s="48" t="str">
        <x:v>唯一潜在脆性构件i</x:v>
      </x:c>
      <x:c r="M100" s="43"/>
      <x:c r="N100" s="43"/>
      <x:c r="O100" s="43"/>
      <x:c r="P100" s="43"/>
      <x:c r="Q100" s="44" t="str">
        <x:f>IF(OR(M100="",P100="",P100=0),"",M100/P100)</x:f>
      </x:c>
      <x:c r="R100" s="44" t="str">
        <x:f>IF(OR(N100="",O100="",O100=0),"",N100/O100)</x:f>
      </x:c>
      <x:c r="S100" s="44" t="str">
        <x:f>IF(OR(Q100="",R100=""),"",AVERAGE(Q100:R100))</x:f>
      </x:c>
      <x:c r="T100" s="36" t="str">
        <x:f>IF(COUNTA(M100:P100)=0,"待返回",IF(COUNTA(M100:P100)&lt;4,"待补充",IF(OR(O100=0,P100=0),"检查分母","已返回")))</x:f>
        <x:v>待返回</x:v>
      </x:c>
      <x:c r="U100" s="51" t="str">
        <x:v>固定n1=1、β=3.0、Pbi=0.2；对应论文图2.12</x:v>
      </x:c>
    </x:row>
    <x:row r="101" ht="27" customHeight="1">
      <x:c r="A101" s="27" t="str">
        <x:v>n×ρ</x:v>
      </x:c>
      <x:c r="B101" s="27" t="str">
        <x:v>构件总数n</x:v>
      </x:c>
      <x:c r="C101" s="27" t="n">
        <x:v>12</x:v>
      </x:c>
      <x:c r="D101" s="27" t="str">
        <x:v>相关系数ρ</x:v>
      </x:c>
      <x:c r="E101" s="27" t="n">
        <x:v>0.9</x:v>
      </x:c>
      <x:c r="F101" s="27" t="n">
        <x:v>12</x:v>
      </x:c>
      <x:c r="G101" s="27" t="n">
        <x:v>1</x:v>
      </x:c>
      <x:c r="H101" s="39" t="n">
        <x:v>3</x:v>
      </x:c>
      <x:c r="I101" s="39" t="n">
        <x:v>0.9</x:v>
      </x:c>
      <x:c r="J101" s="39" t="n">
        <x:v>0.2</x:v>
      </x:c>
      <x:c r="K101" s="27" t="n">
        <x:v>3</x:v>
      </x:c>
      <x:c r="L101" s="48" t="str">
        <x:v>唯一潜在脆性构件i</x:v>
      </x:c>
      <x:c r="M101" s="43"/>
      <x:c r="N101" s="43"/>
      <x:c r="O101" s="43"/>
      <x:c r="P101" s="43"/>
      <x:c r="Q101" s="44" t="str">
        <x:f>IF(OR(M101="",P101="",P101=0),"",M101/P101)</x:f>
      </x:c>
      <x:c r="R101" s="44" t="str">
        <x:f>IF(OR(N101="",O101="",O101=0),"",N101/O101)</x:f>
      </x:c>
      <x:c r="S101" s="44" t="str">
        <x:f>IF(OR(Q101="",R101=""),"",AVERAGE(Q101:R101))</x:f>
      </x:c>
      <x:c r="T101" s="36" t="str">
        <x:f>IF(COUNTA(M101:P101)=0,"待返回",IF(COUNTA(M101:P101)&lt;4,"待补充",IF(OR(O101=0,P101=0),"检查分母","已返回")))</x:f>
        <x:v>待返回</x:v>
      </x:c>
      <x:c r="U101" s="51" t="str">
        <x:v>固定n1=1、β=3.0、Pbi=0.2；对应论文图2.12</x:v>
      </x:c>
    </x:row>
    <x:row r="102" ht="27" customHeight="1">
      <x:c r="A102" s="27" t="str">
        <x:v>n×ρ</x:v>
      </x:c>
      <x:c r="B102" s="27" t="str">
        <x:v>构件总数n</x:v>
      </x:c>
      <x:c r="C102" s="27" t="n">
        <x:v>16</x:v>
      </x:c>
      <x:c r="D102" s="27" t="str">
        <x:v>相关系数ρ</x:v>
      </x:c>
      <x:c r="E102" s="27" t="n">
        <x:v>0.9</x:v>
      </x:c>
      <x:c r="F102" s="27" t="n">
        <x:v>16</x:v>
      </x:c>
      <x:c r="G102" s="27" t="n">
        <x:v>1</x:v>
      </x:c>
      <x:c r="H102" s="39" t="n">
        <x:v>3</x:v>
      </x:c>
      <x:c r="I102" s="39" t="n">
        <x:v>0.9</x:v>
      </x:c>
      <x:c r="J102" s="39" t="n">
        <x:v>0.2</x:v>
      </x:c>
      <x:c r="K102" s="27" t="n">
        <x:v>3</x:v>
      </x:c>
      <x:c r="L102" s="48" t="str">
        <x:v>唯一潜在脆性构件i</x:v>
      </x:c>
      <x:c r="M102" s="43"/>
      <x:c r="N102" s="43"/>
      <x:c r="O102" s="43"/>
      <x:c r="P102" s="43"/>
      <x:c r="Q102" s="44" t="str">
        <x:f>IF(OR(M102="",P102="",P102=0),"",M102/P102)</x:f>
      </x:c>
      <x:c r="R102" s="44" t="str">
        <x:f>IF(OR(N102="",O102="",O102=0),"",N102/O102)</x:f>
      </x:c>
      <x:c r="S102" s="44" t="str">
        <x:f>IF(OR(Q102="",R102=""),"",AVERAGE(Q102:R102))</x:f>
      </x:c>
      <x:c r="T102" s="36" t="str">
        <x:f>IF(COUNTA(M102:P102)=0,"待返回",IF(COUNTA(M102:P102)&lt;4,"待补充",IF(OR(O102=0,P102=0),"检查分母","已返回")))</x:f>
        <x:v>待返回</x:v>
      </x:c>
      <x:c r="U102" s="51" t="str">
        <x:v>固定n1=1、β=3.0、Pbi=0.2；对应论文图2.12</x:v>
      </x:c>
    </x:row>
    <x:row r="103" ht="27" customHeight="1">
      <x:c r="A103" s="27" t="str">
        <x:v>n×ρ</x:v>
      </x:c>
      <x:c r="B103" s="27" t="str">
        <x:v>构件总数n</x:v>
      </x:c>
      <x:c r="C103" s="27" t="n">
        <x:v>20</x:v>
      </x:c>
      <x:c r="D103" s="27" t="str">
        <x:v>相关系数ρ</x:v>
      </x:c>
      <x:c r="E103" s="27" t="n">
        <x:v>0.9</x:v>
      </x:c>
      <x:c r="F103" s="27" t="n">
        <x:v>20</x:v>
      </x:c>
      <x:c r="G103" s="27" t="n">
        <x:v>1</x:v>
      </x:c>
      <x:c r="H103" s="39" t="n">
        <x:v>3</x:v>
      </x:c>
      <x:c r="I103" s="39" t="n">
        <x:v>0.9</x:v>
      </x:c>
      <x:c r="J103" s="39" t="n">
        <x:v>0.2</x:v>
      </x:c>
      <x:c r="K103" s="27" t="n">
        <x:v>3</x:v>
      </x:c>
      <x:c r="L103" s="48" t="str">
        <x:v>唯一潜在脆性构件i</x:v>
      </x:c>
      <x:c r="M103" s="43"/>
      <x:c r="N103" s="43"/>
      <x:c r="O103" s="43"/>
      <x:c r="P103" s="43"/>
      <x:c r="Q103" s="44" t="str">
        <x:f>IF(OR(M103="",P103="",P103=0),"",M103/P103)</x:f>
      </x:c>
      <x:c r="R103" s="44" t="str">
        <x:f>IF(OR(N103="",O103="",O103=0),"",N103/O103)</x:f>
      </x:c>
      <x:c r="S103" s="44" t="str">
        <x:f>IF(OR(Q103="",R103=""),"",AVERAGE(Q103:R103))</x:f>
      </x:c>
      <x:c r="T103" s="36" t="str">
        <x:f>IF(COUNTA(M103:P103)=0,"待返回",IF(COUNTA(M103:P103)&lt;4,"待补充",IF(OR(O103=0,P103=0),"检查分母","已返回")))</x:f>
        <x:v>待返回</x:v>
      </x:c>
      <x:c r="U103" s="51" t="str">
        <x:v>固定n1=1、β=3.0、Pbi=0.2；对应论文图2.12</x:v>
      </x:c>
    </x:row>
    <x:row r="104" ht="27" customHeight="1">
      <x:c r="A104" s="27" t="str">
        <x:v>n×ρ</x:v>
      </x:c>
      <x:c r="B104" s="27" t="str">
        <x:v>构件总数n</x:v>
      </x:c>
      <x:c r="C104" s="27" t="n">
        <x:v>24</x:v>
      </x:c>
      <x:c r="D104" s="27" t="str">
        <x:v>相关系数ρ</x:v>
      </x:c>
      <x:c r="E104" s="27" t="n">
        <x:v>0.9</x:v>
      </x:c>
      <x:c r="F104" s="27" t="n">
        <x:v>24</x:v>
      </x:c>
      <x:c r="G104" s="27" t="n">
        <x:v>1</x:v>
      </x:c>
      <x:c r="H104" s="39" t="n">
        <x:v>3</x:v>
      </x:c>
      <x:c r="I104" s="39" t="n">
        <x:v>0.9</x:v>
      </x:c>
      <x:c r="J104" s="39" t="n">
        <x:v>0.2</x:v>
      </x:c>
      <x:c r="K104" s="27" t="n">
        <x:v>3</x:v>
      </x:c>
      <x:c r="L104" s="48" t="str">
        <x:v>唯一潜在脆性构件i</x:v>
      </x:c>
      <x:c r="M104" s="43"/>
      <x:c r="N104" s="43"/>
      <x:c r="O104" s="43"/>
      <x:c r="P104" s="43"/>
      <x:c r="Q104" s="44" t="str">
        <x:f>IF(OR(M104="",P104="",P104=0),"",M104/P104)</x:f>
      </x:c>
      <x:c r="R104" s="44" t="str">
        <x:f>IF(OR(N104="",O104="",O104=0),"",N104/O104)</x:f>
      </x:c>
      <x:c r="S104" s="44" t="str">
        <x:f>IF(OR(Q104="",R104=""),"",AVERAGE(Q104:R104))</x:f>
      </x:c>
      <x:c r="T104" s="36" t="str">
        <x:f>IF(COUNTA(M104:P104)=0,"待返回",IF(COUNTA(M104:P104)&lt;4,"待补充",IF(OR(O104=0,P104=0),"检查分母","已返回")))</x:f>
        <x:v>待返回</x:v>
      </x:c>
      <x:c r="U104" s="51" t="str">
        <x:v>固定n1=1、β=3.0、Pbi=0.2；对应论文图2.12</x:v>
      </x:c>
    </x:row>
    <x:row r="105" ht="27" customHeight="1">
      <x:c r="A105" s="27" t="str">
        <x:v>n×ρ</x:v>
      </x:c>
      <x:c r="B105" s="27" t="str">
        <x:v>构件总数n</x:v>
      </x:c>
      <x:c r="C105" s="27" t="n">
        <x:v>28</x:v>
      </x:c>
      <x:c r="D105" s="27" t="str">
        <x:v>相关系数ρ</x:v>
      </x:c>
      <x:c r="E105" s="27" t="n">
        <x:v>0.9</x:v>
      </x:c>
      <x:c r="F105" s="27" t="n">
        <x:v>28</x:v>
      </x:c>
      <x:c r="G105" s="27" t="n">
        <x:v>1</x:v>
      </x:c>
      <x:c r="H105" s="39" t="n">
        <x:v>3</x:v>
      </x:c>
      <x:c r="I105" s="39" t="n">
        <x:v>0.9</x:v>
      </x:c>
      <x:c r="J105" s="39" t="n">
        <x:v>0.2</x:v>
      </x:c>
      <x:c r="K105" s="27" t="n">
        <x:v>3</x:v>
      </x:c>
      <x:c r="L105" s="48" t="str">
        <x:v>唯一潜在脆性构件i</x:v>
      </x:c>
      <x:c r="M105" s="43"/>
      <x:c r="N105" s="43"/>
      <x:c r="O105" s="43"/>
      <x:c r="P105" s="43"/>
      <x:c r="Q105" s="44" t="str">
        <x:f>IF(OR(M105="",P105="",P105=0),"",M105/P105)</x:f>
      </x:c>
      <x:c r="R105" s="44" t="str">
        <x:f>IF(OR(N105="",O105="",O105=0),"",N105/O105)</x:f>
      </x:c>
      <x:c r="S105" s="44" t="str">
        <x:f>IF(OR(Q105="",R105=""),"",AVERAGE(Q105:R105))</x:f>
      </x:c>
      <x:c r="T105" s="36" t="str">
        <x:f>IF(COUNTA(M105:P105)=0,"待返回",IF(COUNTA(M105:P105)&lt;4,"待补充",IF(OR(O105=0,P105=0),"检查分母","已返回")))</x:f>
        <x:v>待返回</x:v>
      </x:c>
      <x:c r="U105" s="51" t="str">
        <x:v>固定n1=1、β=3.0、Pbi=0.2；对应论文图2.12</x:v>
      </x:c>
    </x:row>
    <x:row r="106" ht="27" customHeight="1">
      <x:c r="A106" s="27" t="str">
        <x:v>n×ρ</x:v>
      </x:c>
      <x:c r="B106" s="27" t="str">
        <x:v>构件总数n</x:v>
      </x:c>
      <x:c r="C106" s="27" t="n">
        <x:v>32</x:v>
      </x:c>
      <x:c r="D106" s="27" t="str">
        <x:v>相关系数ρ</x:v>
      </x:c>
      <x:c r="E106" s="27" t="n">
        <x:v>0.9</x:v>
      </x:c>
      <x:c r="F106" s="27" t="n">
        <x:v>32</x:v>
      </x:c>
      <x:c r="G106" s="27" t="n">
        <x:v>1</x:v>
      </x:c>
      <x:c r="H106" s="39" t="n">
        <x:v>3</x:v>
      </x:c>
      <x:c r="I106" s="39" t="n">
        <x:v>0.9</x:v>
      </x:c>
      <x:c r="J106" s="39" t="n">
        <x:v>0.2</x:v>
      </x:c>
      <x:c r="K106" s="27" t="n">
        <x:v>3</x:v>
      </x:c>
      <x:c r="L106" s="48" t="str">
        <x:v>唯一潜在脆性构件i</x:v>
      </x:c>
      <x:c r="M106" s="43"/>
      <x:c r="N106" s="43"/>
      <x:c r="O106" s="43"/>
      <x:c r="P106" s="43"/>
      <x:c r="Q106" s="44" t="str">
        <x:f>IF(OR(M106="",P106="",P106=0),"",M106/P106)</x:f>
      </x:c>
      <x:c r="R106" s="44" t="str">
        <x:f>IF(OR(N106="",O106="",O106=0),"",N106/O106)</x:f>
      </x:c>
      <x:c r="S106" s="44" t="str">
        <x:f>IF(OR(Q106="",R106=""),"",AVERAGE(Q106:R106))</x:f>
      </x:c>
      <x:c r="T106" s="36" t="str">
        <x:f>IF(COUNTA(M106:P106)=0,"待返回",IF(COUNTA(M106:P106)&lt;4,"待补充",IF(OR(O106=0,P106=0),"检查分母","已返回")))</x:f>
        <x:v>待返回</x:v>
      </x:c>
      <x:c r="U106" s="51" t="str">
        <x:v>固定n1=1、β=3.0、Pbi=0.2；对应论文图2.12</x:v>
      </x:c>
    </x:row>
    <x:row r="107" ht="27" customHeight="1">
      <x:c r="A107" s="27" t="str">
        <x:v>n×ρ</x:v>
      </x:c>
      <x:c r="B107" s="27" t="str">
        <x:v>构件总数n</x:v>
      </x:c>
      <x:c r="C107" s="27" t="n">
        <x:v>36</x:v>
      </x:c>
      <x:c r="D107" s="27" t="str">
        <x:v>相关系数ρ</x:v>
      </x:c>
      <x:c r="E107" s="27" t="n">
        <x:v>0.9</x:v>
      </x:c>
      <x:c r="F107" s="27" t="n">
        <x:v>36</x:v>
      </x:c>
      <x:c r="G107" s="27" t="n">
        <x:v>1</x:v>
      </x:c>
      <x:c r="H107" s="39" t="n">
        <x:v>3</x:v>
      </x:c>
      <x:c r="I107" s="39" t="n">
        <x:v>0.9</x:v>
      </x:c>
      <x:c r="J107" s="39" t="n">
        <x:v>0.2</x:v>
      </x:c>
      <x:c r="K107" s="27" t="n">
        <x:v>3</x:v>
      </x:c>
      <x:c r="L107" s="48" t="str">
        <x:v>唯一潜在脆性构件i</x:v>
      </x:c>
      <x:c r="M107" s="43"/>
      <x:c r="N107" s="43"/>
      <x:c r="O107" s="43"/>
      <x:c r="P107" s="43"/>
      <x:c r="Q107" s="44" t="str">
        <x:f>IF(OR(M107="",P107="",P107=0),"",M107/P107)</x:f>
      </x:c>
      <x:c r="R107" s="44" t="str">
        <x:f>IF(OR(N107="",O107="",O107=0),"",N107/O107)</x:f>
      </x:c>
      <x:c r="S107" s="44" t="str">
        <x:f>IF(OR(Q107="",R107=""),"",AVERAGE(Q107:R107))</x:f>
      </x:c>
      <x:c r="T107" s="36" t="str">
        <x:f>IF(COUNTA(M107:P107)=0,"待返回",IF(COUNTA(M107:P107)&lt;4,"待补充",IF(OR(O107=0,P107=0),"检查分母","已返回")))</x:f>
        <x:v>待返回</x:v>
      </x:c>
      <x:c r="U107" s="51" t="str">
        <x:v>固定n1=1、β=3.0、Pbi=0.2；对应论文图2.12</x:v>
      </x:c>
    </x:row>
    <x:row r="108" ht="27" customHeight="1">
      <x:c r="A108" s="27" t="str">
        <x:v>n×ρ</x:v>
      </x:c>
      <x:c r="B108" s="27" t="str">
        <x:v>构件总数n</x:v>
      </x:c>
      <x:c r="C108" s="27" t="n">
        <x:v>40</x:v>
      </x:c>
      <x:c r="D108" s="27" t="str">
        <x:v>相关系数ρ</x:v>
      </x:c>
      <x:c r="E108" s="27" t="n">
        <x:v>0.9</x:v>
      </x:c>
      <x:c r="F108" s="27" t="n">
        <x:v>40</x:v>
      </x:c>
      <x:c r="G108" s="27" t="n">
        <x:v>1</x:v>
      </x:c>
      <x:c r="H108" s="39" t="n">
        <x:v>3</x:v>
      </x:c>
      <x:c r="I108" s="39" t="n">
        <x:v>0.9</x:v>
      </x:c>
      <x:c r="J108" s="39" t="n">
        <x:v>0.2</x:v>
      </x:c>
      <x:c r="K108" s="27" t="n">
        <x:v>3</x:v>
      </x:c>
      <x:c r="L108" s="48" t="str">
        <x:v>唯一潜在脆性构件i</x:v>
      </x:c>
      <x:c r="M108" s="43"/>
      <x:c r="N108" s="43"/>
      <x:c r="O108" s="43"/>
      <x:c r="P108" s="43"/>
      <x:c r="Q108" s="44" t="str">
        <x:f>IF(OR(M108="",P108="",P108=0),"",M108/P108)</x:f>
      </x:c>
      <x:c r="R108" s="44" t="str">
        <x:f>IF(OR(N108="",O108="",O108=0),"",N108/O108)</x:f>
      </x:c>
      <x:c r="S108" s="44" t="str">
        <x:f>IF(OR(Q108="",R108=""),"",AVERAGE(Q108:R108))</x:f>
      </x:c>
      <x:c r="T108" s="36" t="str">
        <x:f>IF(COUNTA(M108:P108)=0,"待返回",IF(COUNTA(M108:P108)&lt;4,"待补充",IF(OR(O108=0,P108=0),"检查分母","已返回")))</x:f>
        <x:v>待返回</x:v>
      </x:c>
      <x:c r="U108" s="51" t="str">
        <x:v>固定n1=1、β=3.0、Pbi=0.2；对应论文图2.12</x:v>
      </x:c>
    </x:row>
    <x:row r="109" ht="27" customHeight="1">
      <x:c r="A109" s="27" t="str">
        <x:v>n×ρ</x:v>
      </x:c>
      <x:c r="B109" s="27" t="str">
        <x:v>构件总数n</x:v>
      </x:c>
      <x:c r="C109" s="27" t="n">
        <x:v>44</x:v>
      </x:c>
      <x:c r="D109" s="27" t="str">
        <x:v>相关系数ρ</x:v>
      </x:c>
      <x:c r="E109" s="27" t="n">
        <x:v>0.9</x:v>
      </x:c>
      <x:c r="F109" s="27" t="n">
        <x:v>44</x:v>
      </x:c>
      <x:c r="G109" s="27" t="n">
        <x:v>1</x:v>
      </x:c>
      <x:c r="H109" s="39" t="n">
        <x:v>3</x:v>
      </x:c>
      <x:c r="I109" s="39" t="n">
        <x:v>0.9</x:v>
      </x:c>
      <x:c r="J109" s="39" t="n">
        <x:v>0.2</x:v>
      </x:c>
      <x:c r="K109" s="27" t="n">
        <x:v>3</x:v>
      </x:c>
      <x:c r="L109" s="48" t="str">
        <x:v>唯一潜在脆性构件i</x:v>
      </x:c>
      <x:c r="M109" s="43"/>
      <x:c r="N109" s="43"/>
      <x:c r="O109" s="43"/>
      <x:c r="P109" s="43"/>
      <x:c r="Q109" s="44" t="str">
        <x:f>IF(OR(M109="",P109="",P109=0),"",M109/P109)</x:f>
      </x:c>
      <x:c r="R109" s="44" t="str">
        <x:f>IF(OR(N109="",O109="",O109=0),"",N109/O109)</x:f>
      </x:c>
      <x:c r="S109" s="44" t="str">
        <x:f>IF(OR(Q109="",R109=""),"",AVERAGE(Q109:R109))</x:f>
      </x:c>
      <x:c r="T109" s="36" t="str">
        <x:f>IF(COUNTA(M109:P109)=0,"待返回",IF(COUNTA(M109:P109)&lt;4,"待补充",IF(OR(O109=0,P109=0),"检查分母","已返回")))</x:f>
        <x:v>待返回</x:v>
      </x:c>
      <x:c r="U109" s="51" t="str">
        <x:v>固定n1=1、β=3.0、Pbi=0.2；对应论文图2.12</x:v>
      </x:c>
    </x:row>
    <x:row r="110" ht="27" customHeight="1">
      <x:c r="A110" s="28" t="str">
        <x:v>n×ρ</x:v>
      </x:c>
      <x:c r="B110" s="28" t="str">
        <x:v>构件总数n</x:v>
      </x:c>
      <x:c r="C110" s="28" t="n">
        <x:v>48</x:v>
      </x:c>
      <x:c r="D110" s="28" t="str">
        <x:v>相关系数ρ</x:v>
      </x:c>
      <x:c r="E110" s="28" t="n">
        <x:v>0.9</x:v>
      </x:c>
      <x:c r="F110" s="28" t="n">
        <x:v>48</x:v>
      </x:c>
      <x:c r="G110" s="28" t="n">
        <x:v>1</x:v>
      </x:c>
      <x:c r="H110" s="40" t="n">
        <x:v>3</x:v>
      </x:c>
      <x:c r="I110" s="40" t="n">
        <x:v>0.9</x:v>
      </x:c>
      <x:c r="J110" s="40" t="n">
        <x:v>0.2</x:v>
      </x:c>
      <x:c r="K110" s="28" t="n">
        <x:v>3</x:v>
      </x:c>
      <x:c r="L110" s="49" t="str">
        <x:v>唯一潜在脆性构件i</x:v>
      </x:c>
      <x:c r="M110" s="45"/>
      <x:c r="N110" s="45"/>
      <x:c r="O110" s="45"/>
      <x:c r="P110" s="45"/>
      <x:c r="Q110" s="46" t="str">
        <x:f>IF(OR(M110="",P110="",P110=0),"",M110/P110)</x:f>
      </x:c>
      <x:c r="R110" s="46" t="str">
        <x:f>IF(OR(N110="",O110="",O110=0),"",N110/O110)</x:f>
      </x:c>
      <x:c r="S110" s="46" t="str">
        <x:f>IF(OR(Q110="",R110=""),"",AVERAGE(Q110:R110))</x:f>
      </x:c>
      <x:c r="T110" s="37" t="str">
        <x:f>IF(COUNTA(M110:P110)=0,"待返回",IF(COUNTA(M110:P110)&lt;4,"待补充",IF(OR(O110=0,P110=0),"检查分母","已返回")))</x:f>
        <x:v>待返回</x:v>
      </x:c>
      <x:c r="U110" s="52" t="str">
        <x:v>固定n1=1、β=3.0、Pbi=0.2；对应论文图2.12</x:v>
      </x:c>
    </x:row>
  </x:sheetData>
  <x:pageMargins left="0.7" right="0.7" top="0.75" bottom="0.75" header="0.3" footer="0.3"/>
  <x:tableParts count="1">
    <x:tablePart xmlns:r="http://schemas.openxmlformats.org/officeDocument/2006/relationships" r:id="R4c7e7ee3ab274da2"/>
  </x:tableParts>
</x:worksheet>
</file>