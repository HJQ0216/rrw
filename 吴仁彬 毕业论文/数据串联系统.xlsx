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8D6ADD7D-05D4-4AAE-AA1A-37C9CE5ABA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8" i="1" l="1"/>
  <c r="E149" i="1"/>
  <c r="E14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177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75" i="1"/>
  <c r="Z76" i="1"/>
  <c r="Z74" i="1"/>
  <c r="E8" i="1"/>
  <c r="E9" i="1"/>
  <c r="E10" i="1"/>
  <c r="E11" i="1"/>
  <c r="E12" i="1"/>
  <c r="E13" i="1"/>
  <c r="E14" i="1"/>
  <c r="E15" i="1"/>
  <c r="E16" i="1"/>
  <c r="E17" i="1"/>
  <c r="E7" i="1"/>
  <c r="E6" i="1"/>
  <c r="E5" i="1"/>
  <c r="E4" i="1"/>
  <c r="E3" i="1"/>
  <c r="E69" i="1"/>
  <c r="E68" i="1"/>
  <c r="E67" i="1"/>
  <c r="E66" i="1"/>
  <c r="E65" i="1"/>
  <c r="E64" i="1"/>
  <c r="E63" i="1"/>
  <c r="E62" i="1"/>
  <c r="E61" i="1"/>
  <c r="E60" i="1"/>
  <c r="E59" i="1"/>
  <c r="Y9" i="1"/>
  <c r="Y8" i="1"/>
  <c r="Y7" i="1"/>
  <c r="Y6" i="1"/>
  <c r="Y5" i="1"/>
  <c r="U52" i="1"/>
  <c r="T52" i="1"/>
  <c r="U51" i="1"/>
  <c r="T51" i="1"/>
  <c r="U50" i="1"/>
  <c r="T50" i="1"/>
  <c r="U49" i="1"/>
  <c r="T49" i="1"/>
  <c r="U48" i="1"/>
  <c r="T48" i="1"/>
  <c r="U47" i="1"/>
  <c r="T47" i="1"/>
</calcChain>
</file>

<file path=xl/sharedStrings.xml><?xml version="1.0" encoding="utf-8"?>
<sst xmlns="http://schemas.openxmlformats.org/spreadsheetml/2006/main" count="100" uniqueCount="40">
  <si>
    <t>n1</t>
    <phoneticPr fontId="2" type="noConversion"/>
  </si>
  <si>
    <t>ρ</t>
    <phoneticPr fontId="2" type="noConversion"/>
  </si>
  <si>
    <r>
      <t>n=8,</t>
    </r>
    <r>
      <rPr>
        <sz val="11"/>
        <color theme="1"/>
        <rFont val="等线"/>
        <family val="2"/>
        <charset val="134"/>
      </rPr>
      <t>β</t>
    </r>
    <r>
      <rPr>
        <sz val="11"/>
        <color theme="1"/>
        <rFont val="等线"/>
        <family val="3"/>
        <charset val="134"/>
      </rPr>
      <t>=3.2,Pbi=0.2</t>
    </r>
    <phoneticPr fontId="2" type="noConversion"/>
  </si>
  <si>
    <t>RAW下界</t>
    <phoneticPr fontId="2" type="noConversion"/>
  </si>
  <si>
    <r>
      <t>n=8,</t>
    </r>
    <r>
      <rPr>
        <sz val="11"/>
        <color theme="1"/>
        <rFont val="等线"/>
        <family val="2"/>
        <charset val="134"/>
      </rPr>
      <t>β</t>
    </r>
    <r>
      <rPr>
        <sz val="11"/>
        <color theme="1"/>
        <rFont val="等线"/>
        <family val="3"/>
        <charset val="134"/>
      </rPr>
      <t>=3.7,Pbi=0.2</t>
    </r>
    <phoneticPr fontId="2" type="noConversion"/>
  </si>
  <si>
    <r>
      <t>n=8,n1</t>
    </r>
    <r>
      <rPr>
        <sz val="11"/>
        <color theme="1"/>
        <rFont val="等线"/>
        <family val="3"/>
        <charset val="134"/>
      </rPr>
      <t>=1,Pbi=0.2</t>
    </r>
    <phoneticPr fontId="2" type="noConversion"/>
  </si>
  <si>
    <r>
      <t>n=8,</t>
    </r>
    <r>
      <rPr>
        <sz val="11"/>
        <color theme="1"/>
        <rFont val="等线"/>
        <family val="2"/>
        <charset val="134"/>
      </rPr>
      <t>β</t>
    </r>
    <r>
      <rPr>
        <sz val="11"/>
        <color theme="1"/>
        <rFont val="等线"/>
        <family val="3"/>
        <charset val="134"/>
      </rPr>
      <t>=3.0,Pbi=0.2</t>
    </r>
    <phoneticPr fontId="2" type="noConversion"/>
  </si>
  <si>
    <t>β</t>
    <phoneticPr fontId="2" type="noConversion"/>
  </si>
  <si>
    <r>
      <t>n=8,</t>
    </r>
    <r>
      <rPr>
        <sz val="11"/>
        <color theme="1"/>
        <rFont val="等线"/>
        <family val="2"/>
        <charset val="134"/>
      </rPr>
      <t>β</t>
    </r>
    <r>
      <rPr>
        <sz val="11"/>
        <color theme="1"/>
        <rFont val="等线"/>
        <family val="3"/>
        <charset val="134"/>
      </rPr>
      <t>=3.2,Pbi=0.2 均为塑性</t>
    </r>
    <phoneticPr fontId="2" type="noConversion"/>
  </si>
  <si>
    <r>
      <t>n=8</t>
    </r>
    <r>
      <rPr>
        <sz val="11"/>
        <color theme="1"/>
        <rFont val="等线"/>
        <family val="3"/>
        <charset val="134"/>
      </rPr>
      <t xml:space="preserve">,β=3.2,Pbi=0.05 </t>
    </r>
    <phoneticPr fontId="2" type="noConversion"/>
  </si>
  <si>
    <r>
      <t>n=8</t>
    </r>
    <r>
      <rPr>
        <sz val="11"/>
        <color theme="1"/>
        <rFont val="等线"/>
        <family val="3"/>
        <charset val="134"/>
      </rPr>
      <t>,β=3.2,Pbi=0.1</t>
    </r>
    <phoneticPr fontId="2" type="noConversion"/>
  </si>
  <si>
    <r>
      <t>n=8</t>
    </r>
    <r>
      <rPr>
        <sz val="11"/>
        <color theme="1"/>
        <rFont val="等线"/>
        <family val="3"/>
        <charset val="134"/>
      </rPr>
      <t>,β=3.2,Pbi=0.9</t>
    </r>
    <phoneticPr fontId="2" type="noConversion"/>
  </si>
  <si>
    <r>
      <t>n=8,</t>
    </r>
    <r>
      <rPr>
        <sz val="11"/>
        <color theme="1"/>
        <rFont val="等线"/>
        <family val="2"/>
        <charset val="134"/>
      </rPr>
      <t>β</t>
    </r>
    <r>
      <rPr>
        <sz val="11"/>
        <color theme="1"/>
        <rFont val="等线"/>
        <family val="3"/>
        <charset val="134"/>
      </rPr>
      <t>=3.1,Pbi=0.2</t>
    </r>
    <phoneticPr fontId="2" type="noConversion"/>
  </si>
  <si>
    <t>Psd%</t>
    <phoneticPr fontId="2" type="noConversion"/>
  </si>
  <si>
    <r>
      <rPr>
        <sz val="11"/>
        <color theme="1"/>
        <rFont val="等线"/>
        <family val="3"/>
        <charset val="134"/>
      </rPr>
      <t>ρ=</t>
    </r>
    <r>
      <rPr>
        <sz val="11"/>
        <color theme="1"/>
        <rFont val="等线"/>
        <family val="2"/>
        <scheme val="minor"/>
      </rPr>
      <t>0.1</t>
    </r>
    <phoneticPr fontId="2" type="noConversion"/>
  </si>
  <si>
    <r>
      <rPr>
        <sz val="11"/>
        <color theme="1"/>
        <rFont val="等线"/>
        <family val="3"/>
        <charset val="134"/>
      </rPr>
      <t>ρ=</t>
    </r>
    <r>
      <rPr>
        <sz val="11"/>
        <color theme="1"/>
        <rFont val="等线"/>
        <family val="2"/>
        <scheme val="minor"/>
      </rPr>
      <t>0.3</t>
    </r>
    <phoneticPr fontId="2" type="noConversion"/>
  </si>
  <si>
    <t>Psbi (n=7)</t>
    <phoneticPr fontId="2" type="noConversion"/>
  </si>
  <si>
    <t>Psd(n=8)</t>
    <phoneticPr fontId="2" type="noConversion"/>
  </si>
  <si>
    <t>Psbi%</t>
    <phoneticPr fontId="2" type="noConversion"/>
  </si>
  <si>
    <t>构件个数n</t>
    <phoneticPr fontId="2" type="noConversion"/>
  </si>
  <si>
    <t>RAWi下界</t>
    <phoneticPr fontId="2" type="noConversion"/>
  </si>
  <si>
    <t>RAWi上界</t>
    <phoneticPr fontId="2" type="noConversion"/>
  </si>
  <si>
    <t>ρ=0.3,n1=1,β=3.0,Pbi=0.2</t>
    <phoneticPr fontId="2" type="noConversion"/>
  </si>
  <si>
    <t>ρ=0.3,n1=2,β=3.0,Pbi=0.2</t>
    <phoneticPr fontId="2" type="noConversion"/>
  </si>
  <si>
    <t>ρ=0.3,n1=3,β=3.0,Pbi=0.2</t>
    <phoneticPr fontId="2" type="noConversion"/>
  </si>
  <si>
    <t>ρ=0.1,n1=1,β=3.0,Pbi=0.2</t>
    <phoneticPr fontId="2" type="noConversion"/>
  </si>
  <si>
    <t>ρ=0.3,β=3.0,Pbi=0.2</t>
    <phoneticPr fontId="2" type="noConversion"/>
  </si>
  <si>
    <t>潜在脆性构件个数</t>
    <phoneticPr fontId="2" type="noConversion"/>
  </si>
  <si>
    <t>RAW上界</t>
    <phoneticPr fontId="2" type="noConversion"/>
  </si>
  <si>
    <t>n1=1,β=3.0,Pbi=0.2</t>
    <phoneticPr fontId="2" type="noConversion"/>
  </si>
  <si>
    <t>ρ=0.7,n1=1,β=3.0,Pbi=0.2</t>
    <phoneticPr fontId="2" type="noConversion"/>
  </si>
  <si>
    <t>n=8,ρ=0.1,Pbi=0.2</t>
    <phoneticPr fontId="2" type="noConversion"/>
  </si>
  <si>
    <t>n=8,β=3.0,ρ=0.1,Pbi=0.2</t>
    <phoneticPr fontId="2" type="noConversion"/>
  </si>
  <si>
    <t>更精确</t>
    <phoneticPr fontId="2" type="noConversion"/>
  </si>
  <si>
    <t>n1=1,β=3.0,Pbi=0.3</t>
    <phoneticPr fontId="2" type="noConversion"/>
  </si>
  <si>
    <t>n=10,n1=1,ρ=0.1,Pbi=0.2</t>
    <phoneticPr fontId="2" type="noConversion"/>
  </si>
  <si>
    <t>n=10,n1=2,ρ=0.1,Pbi=0.2</t>
    <phoneticPr fontId="2" type="noConversion"/>
  </si>
  <si>
    <t>n=8,n1=1,β = 3.0,Pbi=0.2</t>
    <phoneticPr fontId="2" type="noConversion"/>
  </si>
  <si>
    <t>RAW平均值</t>
    <phoneticPr fontId="2" type="noConversion"/>
  </si>
  <si>
    <t>RAWi平均值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</si>
</sst>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1"/>
  <sheetViews>
    <sheetView tabSelected="1" topLeftCell="A127" zoomScale="115" zoomScaleNormal="115" workbookViewId="0">
      <selection activeCell="E147" sqref="E147:E149"/>
    </sheetView>
  </sheetViews>
  <sheetFormatPr defaultRowHeight="14" x14ac:dyDescent="0.3"/>
  <sheetData>
    <row r="1" spans="1:25" x14ac:dyDescent="0.3">
      <c r="A1" s="6" t="s">
        <v>6</v>
      </c>
      <c r="B1" s="6"/>
      <c r="C1" s="6"/>
      <c r="D1" s="1"/>
      <c r="E1" s="1"/>
      <c r="F1" s="1"/>
      <c r="G1" s="6" t="s">
        <v>2</v>
      </c>
      <c r="H1" s="6"/>
      <c r="I1" s="6"/>
      <c r="J1" s="1"/>
      <c r="K1" s="1"/>
      <c r="L1" s="6" t="s">
        <v>4</v>
      </c>
      <c r="M1" s="6"/>
      <c r="N1" s="6"/>
    </row>
    <row r="2" spans="1:25" x14ac:dyDescent="0.3">
      <c r="A2" s="1" t="s">
        <v>1</v>
      </c>
      <c r="B2" s="1" t="s">
        <v>0</v>
      </c>
      <c r="C2" s="1" t="s">
        <v>3</v>
      </c>
      <c r="D2" s="1" t="s">
        <v>28</v>
      </c>
      <c r="E2" s="1" t="s">
        <v>38</v>
      </c>
      <c r="F2" s="1"/>
      <c r="G2" s="1" t="s">
        <v>1</v>
      </c>
      <c r="H2" s="1" t="s">
        <v>0</v>
      </c>
      <c r="I2" s="1" t="s">
        <v>3</v>
      </c>
      <c r="J2" s="1" t="s">
        <v>28</v>
      </c>
      <c r="K2" s="1"/>
      <c r="L2" s="1" t="s">
        <v>1</v>
      </c>
      <c r="M2" s="1" t="s">
        <v>0</v>
      </c>
      <c r="N2" s="1" t="s">
        <v>3</v>
      </c>
      <c r="O2" s="1" t="s">
        <v>28</v>
      </c>
    </row>
    <row r="3" spans="1:25" x14ac:dyDescent="0.3">
      <c r="A3" s="1">
        <v>0.1</v>
      </c>
      <c r="B3" s="1">
        <v>1</v>
      </c>
      <c r="C3" s="1">
        <v>0.85164835164835162</v>
      </c>
      <c r="D3" s="1">
        <v>0.85164835164835162</v>
      </c>
      <c r="E3" s="1">
        <f>(C3+D3)/2</f>
        <v>0.85164835164835162</v>
      </c>
      <c r="F3" s="1"/>
      <c r="G3" s="1">
        <v>0.1</v>
      </c>
      <c r="H3" s="1">
        <v>1</v>
      </c>
      <c r="I3" s="1">
        <v>0.85409252669039137</v>
      </c>
      <c r="J3" s="1"/>
      <c r="K3" s="1"/>
      <c r="L3" s="1">
        <v>0.1</v>
      </c>
      <c r="M3" s="1">
        <v>1</v>
      </c>
      <c r="N3" s="1">
        <v>0.85066034541144597</v>
      </c>
      <c r="W3" t="s">
        <v>37</v>
      </c>
    </row>
    <row r="4" spans="1:25" x14ac:dyDescent="0.3">
      <c r="A4" s="1">
        <v>0.1</v>
      </c>
      <c r="B4" s="1">
        <v>2</v>
      </c>
      <c r="C4" s="4">
        <v>0.85606604450825552</v>
      </c>
      <c r="D4" s="1">
        <v>0.85164835164835162</v>
      </c>
      <c r="E4" s="1">
        <f>(C4+D4)/2</f>
        <v>0.85385719807830363</v>
      </c>
      <c r="F4" s="1"/>
      <c r="G4" s="1">
        <v>0.1</v>
      </c>
      <c r="H4" s="1">
        <v>2</v>
      </c>
      <c r="I4" s="1">
        <v>0.85654596100278535</v>
      </c>
      <c r="J4" s="1"/>
      <c r="K4" s="1"/>
      <c r="L4" s="1">
        <v>0.1</v>
      </c>
      <c r="M4" s="1">
        <v>2</v>
      </c>
      <c r="N4" s="1">
        <v>0.8551186291739894</v>
      </c>
      <c r="V4" s="5" t="s">
        <v>1</v>
      </c>
      <c r="W4" s="1" t="s">
        <v>3</v>
      </c>
      <c r="X4" s="1" t="s">
        <v>28</v>
      </c>
      <c r="Y4" s="1" t="s">
        <v>38</v>
      </c>
    </row>
    <row r="5" spans="1:25" x14ac:dyDescent="0.3">
      <c r="A5" s="1">
        <v>0.1</v>
      </c>
      <c r="B5" s="1">
        <v>3</v>
      </c>
      <c r="C5" s="1">
        <v>0.86006753904601108</v>
      </c>
      <c r="D5" s="1">
        <v>0.86006753904601108</v>
      </c>
      <c r="E5" s="1">
        <f>(C5+D5)/2</f>
        <v>0.86006753904601108</v>
      </c>
      <c r="F5" s="1"/>
      <c r="G5" s="1">
        <v>0.1</v>
      </c>
      <c r="H5" s="1">
        <v>3</v>
      </c>
      <c r="I5" s="1">
        <v>0.85922594712455713</v>
      </c>
      <c r="J5" s="1"/>
      <c r="K5" s="1"/>
      <c r="L5" s="1">
        <v>0.1</v>
      </c>
      <c r="M5" s="1">
        <v>3</v>
      </c>
      <c r="N5" s="1">
        <v>0.85963290185603725</v>
      </c>
      <c r="V5">
        <v>0.1</v>
      </c>
      <c r="W5">
        <v>0.85165000000000002</v>
      </c>
      <c r="X5">
        <v>0.85165000000000002</v>
      </c>
      <c r="Y5">
        <f>(W5+X5)/2</f>
        <v>0.85165000000000002</v>
      </c>
    </row>
    <row r="6" spans="1:25" x14ac:dyDescent="0.3">
      <c r="A6" s="1">
        <v>0.3</v>
      </c>
      <c r="B6" s="1">
        <v>1</v>
      </c>
      <c r="C6" s="1">
        <v>0.86372360844529739</v>
      </c>
      <c r="D6" s="1">
        <v>0.86372360844529739</v>
      </c>
      <c r="E6" s="1">
        <f>(C6+D6)/2</f>
        <v>0.86372360844529739</v>
      </c>
      <c r="F6" s="1"/>
      <c r="G6" s="1">
        <v>0.3</v>
      </c>
      <c r="H6" s="1">
        <v>1</v>
      </c>
      <c r="I6" s="1">
        <v>0.8487084870848709</v>
      </c>
      <c r="J6" s="1"/>
      <c r="K6" s="1"/>
      <c r="L6" s="1">
        <v>0.3</v>
      </c>
      <c r="M6" s="1">
        <v>1</v>
      </c>
      <c r="N6" s="1">
        <v>0.85237801111797395</v>
      </c>
      <c r="V6">
        <v>0.3</v>
      </c>
      <c r="W6">
        <v>0.86372000000000004</v>
      </c>
      <c r="X6">
        <v>0.86372000000000004</v>
      </c>
      <c r="Y6">
        <f>(W6+X6)/2</f>
        <v>0.86372000000000004</v>
      </c>
    </row>
    <row r="7" spans="1:25" x14ac:dyDescent="0.3">
      <c r="A7" s="1">
        <v>0.3</v>
      </c>
      <c r="B7" s="1">
        <v>2</v>
      </c>
      <c r="C7" s="1">
        <v>0.86654135338345839</v>
      </c>
      <c r="D7" s="1">
        <v>0.86654135338345839</v>
      </c>
      <c r="E7" s="1">
        <f>(C7+D7)/2</f>
        <v>0.86654135338345839</v>
      </c>
      <c r="F7" s="1"/>
      <c r="G7" s="1">
        <v>0.3</v>
      </c>
      <c r="H7" s="1">
        <v>2</v>
      </c>
      <c r="I7" s="1">
        <v>0.85559566787003594</v>
      </c>
      <c r="J7" s="1"/>
      <c r="K7" s="1"/>
      <c r="L7" s="1">
        <v>0.3</v>
      </c>
      <c r="M7" s="1">
        <v>2</v>
      </c>
      <c r="N7" s="1">
        <v>0.85624911006692295</v>
      </c>
      <c r="V7">
        <v>0.5</v>
      </c>
      <c r="W7">
        <v>0.88888999999999996</v>
      </c>
      <c r="X7">
        <v>0.87368000000000001</v>
      </c>
      <c r="Y7">
        <f>(W7+X7)/2</f>
        <v>0.88128499999999999</v>
      </c>
    </row>
    <row r="8" spans="1:25" x14ac:dyDescent="0.3">
      <c r="A8" s="1">
        <v>0.3</v>
      </c>
      <c r="B8" s="1">
        <v>3</v>
      </c>
      <c r="C8" s="1">
        <v>0.86930897303668764</v>
      </c>
      <c r="D8" s="1">
        <v>0.86924493554327786</v>
      </c>
      <c r="E8" s="1">
        <f t="shared" ref="E8:E17" si="0">(C8+D8)/2</f>
        <v>0.86927695428998275</v>
      </c>
      <c r="F8" s="1"/>
      <c r="G8" s="1">
        <v>0.3</v>
      </c>
      <c r="H8" s="1">
        <v>3</v>
      </c>
      <c r="I8" s="1">
        <v>0.8614840989399295</v>
      </c>
      <c r="J8" s="1"/>
      <c r="K8" s="1"/>
      <c r="L8" s="1">
        <v>0.3</v>
      </c>
      <c r="M8" s="1">
        <v>3</v>
      </c>
      <c r="N8" s="1">
        <v>0.85994127226110462</v>
      </c>
      <c r="V8">
        <v>0.7</v>
      </c>
      <c r="W8">
        <v>0.93059999999999998</v>
      </c>
      <c r="X8">
        <v>0.87563000000000002</v>
      </c>
      <c r="Y8">
        <f>(W8+X8)/2</f>
        <v>0.903115</v>
      </c>
    </row>
    <row r="9" spans="1:25" x14ac:dyDescent="0.3">
      <c r="A9" s="1">
        <v>0.5</v>
      </c>
      <c r="B9" s="1">
        <v>1</v>
      </c>
      <c r="C9" s="1">
        <v>0.88888888888888884</v>
      </c>
      <c r="D9" s="1">
        <v>0.87368421052631584</v>
      </c>
      <c r="E9" s="1">
        <f t="shared" si="0"/>
        <v>0.88128654970760234</v>
      </c>
      <c r="F9" s="1"/>
      <c r="G9" s="1">
        <v>0.5</v>
      </c>
      <c r="H9" s="1">
        <v>1</v>
      </c>
      <c r="I9" s="1">
        <v>0.87499999999999989</v>
      </c>
      <c r="J9" s="1"/>
      <c r="K9" s="1"/>
      <c r="L9" s="1">
        <v>0.5</v>
      </c>
      <c r="M9" s="1">
        <v>1</v>
      </c>
      <c r="N9" s="1">
        <v>0.86049862036969205</v>
      </c>
      <c r="V9">
        <v>0.9</v>
      </c>
      <c r="W9">
        <v>0.97058999999999995</v>
      </c>
      <c r="X9">
        <v>0.89493999999999996</v>
      </c>
      <c r="Y9">
        <f>(W9+X9)/2</f>
        <v>0.93276499999999996</v>
      </c>
    </row>
    <row r="10" spans="1:25" x14ac:dyDescent="0.3">
      <c r="A10" s="1">
        <v>0.5</v>
      </c>
      <c r="B10" s="1">
        <v>2</v>
      </c>
      <c r="C10" s="1">
        <v>0.89169204001739866</v>
      </c>
      <c r="D10" s="1">
        <v>0.87628865979381432</v>
      </c>
      <c r="E10" s="1">
        <f t="shared" si="0"/>
        <v>0.88399034990560654</v>
      </c>
      <c r="F10" s="1"/>
      <c r="G10" s="1">
        <v>0.5</v>
      </c>
      <c r="H10" s="1">
        <v>2</v>
      </c>
      <c r="I10" s="1">
        <v>0.88091353996737332</v>
      </c>
      <c r="J10" s="1"/>
      <c r="K10" s="1"/>
      <c r="L10" s="1">
        <v>0.5</v>
      </c>
      <c r="M10" s="1">
        <v>2</v>
      </c>
      <c r="N10" s="1">
        <v>0.86560965863683059</v>
      </c>
    </row>
    <row r="11" spans="1:25" x14ac:dyDescent="0.3">
      <c r="A11" s="1">
        <v>0.5</v>
      </c>
      <c r="B11" s="1">
        <v>3</v>
      </c>
      <c r="C11" s="1">
        <v>0.89425698704839807</v>
      </c>
      <c r="D11" s="1">
        <v>0.87878787878787867</v>
      </c>
      <c r="E11" s="1">
        <f t="shared" si="0"/>
        <v>0.88652243291813837</v>
      </c>
      <c r="F11" s="1"/>
      <c r="G11" s="1">
        <v>0.5</v>
      </c>
      <c r="H11" s="1">
        <v>3</v>
      </c>
      <c r="I11" s="1">
        <v>0.88535845441481698</v>
      </c>
      <c r="J11" s="1"/>
      <c r="K11" s="1"/>
      <c r="L11" s="1">
        <v>0.5</v>
      </c>
      <c r="M11" s="1">
        <v>3</v>
      </c>
      <c r="N11" s="1">
        <v>0.8711020158146785</v>
      </c>
    </row>
    <row r="12" spans="1:25" x14ac:dyDescent="0.3">
      <c r="A12" s="1">
        <v>0.7</v>
      </c>
      <c r="B12" s="1">
        <v>1</v>
      </c>
      <c r="C12" s="1">
        <v>0.93059936908517349</v>
      </c>
      <c r="D12" s="1">
        <v>0.87563451776649726</v>
      </c>
      <c r="E12" s="1">
        <f t="shared" si="0"/>
        <v>0.90311694342583537</v>
      </c>
      <c r="F12" s="1"/>
      <c r="G12" s="1">
        <v>0.7</v>
      </c>
      <c r="H12" s="1">
        <v>1</v>
      </c>
      <c r="I12" s="1">
        <v>0.91954022988505735</v>
      </c>
      <c r="J12" s="1"/>
      <c r="K12" s="1"/>
      <c r="L12" s="1">
        <v>0.7</v>
      </c>
      <c r="M12" s="1">
        <v>1</v>
      </c>
      <c r="N12" s="1">
        <v>0.89201151381967858</v>
      </c>
    </row>
    <row r="13" spans="1:25" x14ac:dyDescent="0.3">
      <c r="A13" s="1">
        <v>0.7</v>
      </c>
      <c r="B13" s="1">
        <v>2</v>
      </c>
      <c r="C13" s="1">
        <v>0.93518518518518501</v>
      </c>
      <c r="D13" s="1">
        <v>0.87884806355511413</v>
      </c>
      <c r="E13" s="1">
        <f t="shared" si="0"/>
        <v>0.90701662437014963</v>
      </c>
      <c r="F13" s="1"/>
      <c r="G13" s="1">
        <v>0.7</v>
      </c>
      <c r="H13" s="1">
        <v>2</v>
      </c>
      <c r="I13" s="1">
        <v>0.92592592592592582</v>
      </c>
      <c r="J13" s="1"/>
      <c r="K13" s="1"/>
      <c r="L13" s="1">
        <v>0.7</v>
      </c>
      <c r="M13" s="1">
        <v>2</v>
      </c>
      <c r="N13" s="1">
        <v>0.8964217775530352</v>
      </c>
    </row>
    <row r="14" spans="1:25" x14ac:dyDescent="0.3">
      <c r="A14" s="1">
        <v>0.7</v>
      </c>
      <c r="B14" s="1">
        <v>3</v>
      </c>
      <c r="C14" s="1">
        <v>0.93957703927492453</v>
      </c>
      <c r="D14" s="1">
        <v>0.88226715924557642</v>
      </c>
      <c r="E14" s="1">
        <f t="shared" si="0"/>
        <v>0.91092209926025047</v>
      </c>
      <c r="F14" s="1"/>
      <c r="G14" s="1">
        <v>0.7</v>
      </c>
      <c r="H14" s="1">
        <v>3</v>
      </c>
      <c r="I14" s="1">
        <v>0.9303090072320841</v>
      </c>
      <c r="J14" s="1"/>
      <c r="K14" s="1"/>
      <c r="L14" s="1">
        <v>0.7</v>
      </c>
      <c r="M14" s="1">
        <v>3</v>
      </c>
      <c r="N14" s="1">
        <v>0.90049789720748674</v>
      </c>
    </row>
    <row r="15" spans="1:25" x14ac:dyDescent="0.3">
      <c r="A15" s="1">
        <v>0.9</v>
      </c>
      <c r="B15" s="1">
        <v>1</v>
      </c>
      <c r="C15" s="1">
        <v>0.97058823529411753</v>
      </c>
      <c r="D15" s="1">
        <v>0.89494163424124507</v>
      </c>
      <c r="E15" s="1">
        <f t="shared" si="0"/>
        <v>0.9327649347676813</v>
      </c>
      <c r="F15" s="1"/>
      <c r="G15" s="1">
        <v>0.9</v>
      </c>
      <c r="H15" s="1">
        <v>1</v>
      </c>
      <c r="I15" s="1">
        <v>0.92391304347826075</v>
      </c>
      <c r="J15" s="1"/>
      <c r="K15" s="1"/>
      <c r="L15" s="1">
        <v>0.9</v>
      </c>
      <c r="M15" s="1">
        <v>1</v>
      </c>
      <c r="N15" s="1">
        <v>0.92563975769563589</v>
      </c>
    </row>
    <row r="16" spans="1:25" x14ac:dyDescent="0.3">
      <c r="A16" s="1">
        <v>0.9</v>
      </c>
      <c r="B16" s="1">
        <v>2</v>
      </c>
      <c r="C16" s="1">
        <v>0.96681922196796322</v>
      </c>
      <c r="D16" s="1">
        <v>0.89461713419256994</v>
      </c>
      <c r="E16" s="1">
        <f t="shared" si="0"/>
        <v>0.93071817808026658</v>
      </c>
      <c r="F16" s="1"/>
      <c r="G16" s="1">
        <v>0.9</v>
      </c>
      <c r="H16" s="1">
        <v>2</v>
      </c>
      <c r="I16" s="1">
        <v>0.93418259023354544</v>
      </c>
      <c r="J16" s="1"/>
      <c r="K16" s="1"/>
      <c r="L16" s="1">
        <v>0.9</v>
      </c>
      <c r="M16" s="1">
        <v>2</v>
      </c>
      <c r="N16" s="1">
        <v>0.9314389083895388</v>
      </c>
    </row>
    <row r="17" spans="1:22" x14ac:dyDescent="0.3">
      <c r="A17" s="1">
        <v>0.9</v>
      </c>
      <c r="B17" s="1">
        <v>3</v>
      </c>
      <c r="C17" s="1">
        <v>0.9652251448952297</v>
      </c>
      <c r="D17" s="1">
        <v>0.89497041420118328</v>
      </c>
      <c r="E17" s="1">
        <f t="shared" si="0"/>
        <v>0.93009777954820649</v>
      </c>
      <c r="F17" s="1"/>
      <c r="G17" s="1">
        <v>0.9</v>
      </c>
      <c r="H17" s="1">
        <v>3</v>
      </c>
      <c r="I17" s="1">
        <v>0.94280978035640284</v>
      </c>
      <c r="J17" s="1"/>
      <c r="K17" s="1"/>
      <c r="L17" s="1">
        <v>0.9</v>
      </c>
      <c r="M17" s="1">
        <v>3</v>
      </c>
      <c r="N17" s="1">
        <v>0.93722622309288584</v>
      </c>
    </row>
    <row r="20" spans="1:22" x14ac:dyDescent="0.3">
      <c r="P20" s="6" t="s">
        <v>8</v>
      </c>
      <c r="Q20" s="6"/>
      <c r="R20" s="6"/>
    </row>
    <row r="21" spans="1:22" x14ac:dyDescent="0.3">
      <c r="A21" s="6" t="s">
        <v>5</v>
      </c>
      <c r="B21" s="6"/>
      <c r="C21" s="6"/>
      <c r="O21">
        <v>0.1</v>
      </c>
      <c r="P21">
        <v>0.87272727272727268</v>
      </c>
    </row>
    <row r="22" spans="1:22" x14ac:dyDescent="0.3">
      <c r="A22" t="s">
        <v>1</v>
      </c>
      <c r="B22" t="s">
        <v>7</v>
      </c>
      <c r="C22" t="s">
        <v>3</v>
      </c>
      <c r="O22">
        <v>0.3</v>
      </c>
      <c r="P22">
        <v>0.86792452830188682</v>
      </c>
    </row>
    <row r="23" spans="1:22" x14ac:dyDescent="0.3">
      <c r="A23">
        <v>0.1</v>
      </c>
      <c r="B23">
        <v>3</v>
      </c>
      <c r="C23">
        <v>0.85164835164835162</v>
      </c>
      <c r="E23">
        <v>3</v>
      </c>
      <c r="F23">
        <v>0.1</v>
      </c>
      <c r="G23">
        <v>0.85164835164835162</v>
      </c>
      <c r="O23">
        <v>0.5</v>
      </c>
      <c r="P23">
        <v>0.8936170212765957</v>
      </c>
    </row>
    <row r="24" spans="1:22" x14ac:dyDescent="0.3">
      <c r="A24">
        <v>0.1</v>
      </c>
      <c r="B24">
        <v>3.2</v>
      </c>
      <c r="C24">
        <v>0.85409252669039137</v>
      </c>
      <c r="E24">
        <v>3</v>
      </c>
      <c r="F24">
        <v>0.3</v>
      </c>
      <c r="G24">
        <v>0.86372360844529739</v>
      </c>
      <c r="O24">
        <v>0.7</v>
      </c>
      <c r="P24">
        <v>0.94117647058823539</v>
      </c>
    </row>
    <row r="25" spans="1:22" x14ac:dyDescent="0.3">
      <c r="A25">
        <v>0.1</v>
      </c>
      <c r="B25">
        <v>3.7</v>
      </c>
      <c r="C25">
        <v>0.86550060313630872</v>
      </c>
      <c r="E25">
        <v>3</v>
      </c>
      <c r="F25">
        <v>0.5</v>
      </c>
      <c r="G25">
        <v>0.88888888888888884</v>
      </c>
      <c r="O25">
        <v>0.9</v>
      </c>
      <c r="P25">
        <v>0.94444444444444442</v>
      </c>
    </row>
    <row r="26" spans="1:22" x14ac:dyDescent="0.3">
      <c r="A26">
        <v>0.3</v>
      </c>
      <c r="B26">
        <v>3</v>
      </c>
      <c r="C26">
        <v>0.86372360844529739</v>
      </c>
      <c r="E26">
        <v>3</v>
      </c>
      <c r="F26">
        <v>0.7</v>
      </c>
      <c r="G26">
        <v>0.93059936908517349</v>
      </c>
    </row>
    <row r="27" spans="1:22" x14ac:dyDescent="0.3">
      <c r="A27">
        <v>0.3</v>
      </c>
      <c r="B27">
        <v>3.2</v>
      </c>
      <c r="C27">
        <v>0.8487084870848709</v>
      </c>
      <c r="E27">
        <v>3</v>
      </c>
      <c r="F27">
        <v>0.9</v>
      </c>
      <c r="G27">
        <v>0.97058823529411753</v>
      </c>
    </row>
    <row r="28" spans="1:22" x14ac:dyDescent="0.3">
      <c r="A28">
        <v>0.3</v>
      </c>
      <c r="B28">
        <v>3.7</v>
      </c>
      <c r="C28">
        <v>0.86425026442112107</v>
      </c>
      <c r="E28">
        <v>3.2</v>
      </c>
      <c r="F28">
        <v>0.1</v>
      </c>
      <c r="G28">
        <v>0.85409252669039137</v>
      </c>
      <c r="P28" s="6" t="s">
        <v>9</v>
      </c>
      <c r="Q28" s="6"/>
      <c r="R28" s="6"/>
      <c r="T28" s="6" t="s">
        <v>10</v>
      </c>
      <c r="U28" s="6"/>
      <c r="V28" s="6"/>
    </row>
    <row r="29" spans="1:22" x14ac:dyDescent="0.3">
      <c r="A29">
        <v>0.5</v>
      </c>
      <c r="B29">
        <v>3</v>
      </c>
      <c r="C29">
        <v>0.88888888888888884</v>
      </c>
      <c r="E29">
        <v>3.2</v>
      </c>
      <c r="F29">
        <v>0.3</v>
      </c>
      <c r="G29">
        <v>0.8487084870848709</v>
      </c>
      <c r="P29">
        <v>0.1</v>
      </c>
      <c r="Q29">
        <v>0.86799276672694392</v>
      </c>
      <c r="T29">
        <v>0.1</v>
      </c>
      <c r="U29">
        <v>0.86330935251798557</v>
      </c>
    </row>
    <row r="30" spans="1:22" x14ac:dyDescent="0.3">
      <c r="A30">
        <v>0.5</v>
      </c>
      <c r="B30">
        <v>3.2</v>
      </c>
      <c r="C30">
        <v>0.87499999999999989</v>
      </c>
      <c r="E30">
        <v>3.2</v>
      </c>
      <c r="F30">
        <v>0.5</v>
      </c>
      <c r="G30">
        <v>0.87499999999999989</v>
      </c>
      <c r="P30">
        <v>0.3</v>
      </c>
      <c r="Q30">
        <v>0.8630393996247655</v>
      </c>
      <c r="T30">
        <v>0.3</v>
      </c>
      <c r="U30">
        <v>0.85820895522388052</v>
      </c>
    </row>
    <row r="31" spans="1:22" x14ac:dyDescent="0.3">
      <c r="A31">
        <v>0.5</v>
      </c>
      <c r="B31">
        <v>3.7</v>
      </c>
      <c r="C31">
        <v>0.87659621312197267</v>
      </c>
      <c r="E31">
        <v>3.2</v>
      </c>
      <c r="F31">
        <v>0.7</v>
      </c>
      <c r="G31">
        <v>0.91954022988505735</v>
      </c>
      <c r="P31">
        <v>0.5</v>
      </c>
      <c r="Q31">
        <v>0.88888888888888884</v>
      </c>
      <c r="T31">
        <v>0.5</v>
      </c>
      <c r="U31">
        <v>0.88421052631578945</v>
      </c>
    </row>
    <row r="32" spans="1:22" x14ac:dyDescent="0.3">
      <c r="A32">
        <v>0.7</v>
      </c>
      <c r="B32">
        <v>3</v>
      </c>
      <c r="C32">
        <v>0.93059936908517349</v>
      </c>
      <c r="E32">
        <v>3.2</v>
      </c>
      <c r="F32">
        <v>0.9</v>
      </c>
      <c r="G32">
        <v>0.92391304347826075</v>
      </c>
      <c r="P32">
        <v>0.7</v>
      </c>
      <c r="Q32">
        <v>0.9356725146198831</v>
      </c>
      <c r="T32">
        <v>0.7</v>
      </c>
      <c r="U32">
        <v>0.93023255813953498</v>
      </c>
    </row>
    <row r="33" spans="1:21" x14ac:dyDescent="0.3">
      <c r="A33">
        <v>0.7</v>
      </c>
      <c r="B33">
        <v>3.2</v>
      </c>
      <c r="C33">
        <v>0.91954022988505735</v>
      </c>
      <c r="E33">
        <v>3.7</v>
      </c>
      <c r="F33">
        <v>0.1</v>
      </c>
      <c r="G33">
        <v>0.86550060313630872</v>
      </c>
      <c r="P33">
        <v>0.9</v>
      </c>
      <c r="Q33">
        <v>0.93922651933701651</v>
      </c>
      <c r="T33">
        <v>0.9</v>
      </c>
      <c r="U33">
        <v>0.93406593406593397</v>
      </c>
    </row>
    <row r="34" spans="1:21" x14ac:dyDescent="0.3">
      <c r="A34">
        <v>0.7</v>
      </c>
      <c r="B34">
        <v>3.7</v>
      </c>
      <c r="C34">
        <v>0.91091120139291926</v>
      </c>
      <c r="E34">
        <v>3.7</v>
      </c>
      <c r="F34">
        <v>0.3</v>
      </c>
      <c r="G34">
        <v>0.86425026442112107</v>
      </c>
    </row>
    <row r="35" spans="1:21" x14ac:dyDescent="0.3">
      <c r="A35">
        <v>0.9</v>
      </c>
      <c r="B35">
        <v>3</v>
      </c>
      <c r="C35">
        <v>0.97058823529411753</v>
      </c>
      <c r="E35">
        <v>3.7</v>
      </c>
      <c r="F35">
        <v>0.5</v>
      </c>
      <c r="G35">
        <v>0.87659621312197267</v>
      </c>
    </row>
    <row r="36" spans="1:21" x14ac:dyDescent="0.3">
      <c r="A36">
        <v>0.9</v>
      </c>
      <c r="B36">
        <v>3.2</v>
      </c>
      <c r="C36">
        <v>0.92391304347826075</v>
      </c>
      <c r="E36">
        <v>3.7</v>
      </c>
      <c r="F36">
        <v>0.7</v>
      </c>
      <c r="G36">
        <v>0.91091120139291926</v>
      </c>
      <c r="P36" s="6" t="s">
        <v>11</v>
      </c>
      <c r="Q36" s="6"/>
      <c r="R36" s="6"/>
    </row>
    <row r="37" spans="1:21" x14ac:dyDescent="0.3">
      <c r="A37">
        <v>0.9</v>
      </c>
      <c r="B37">
        <v>3.7</v>
      </c>
      <c r="C37">
        <v>0.94521209195679723</v>
      </c>
      <c r="E37">
        <v>3.7</v>
      </c>
      <c r="F37">
        <v>0.9</v>
      </c>
      <c r="G37">
        <v>0.94521209195679723</v>
      </c>
      <c r="P37">
        <v>0.1</v>
      </c>
      <c r="Q37">
        <v>0.79470198675496684</v>
      </c>
    </row>
    <row r="38" spans="1:21" x14ac:dyDescent="0.3">
      <c r="P38">
        <v>0.3</v>
      </c>
      <c r="Q38">
        <v>0.78767123287671237</v>
      </c>
    </row>
    <row r="39" spans="1:21" x14ac:dyDescent="0.3">
      <c r="P39">
        <v>0.5</v>
      </c>
      <c r="Q39">
        <v>0.81553398058252424</v>
      </c>
    </row>
    <row r="40" spans="1:21" x14ac:dyDescent="0.3">
      <c r="P40">
        <v>0.7</v>
      </c>
      <c r="Q40">
        <v>0.85106382978723416</v>
      </c>
    </row>
    <row r="41" spans="1:21" x14ac:dyDescent="0.3">
      <c r="P41">
        <v>0.9</v>
      </c>
      <c r="Q41">
        <v>0.85858585858585856</v>
      </c>
    </row>
    <row r="45" spans="1:21" x14ac:dyDescent="0.3">
      <c r="K45" s="6" t="s">
        <v>17</v>
      </c>
      <c r="L45" s="6"/>
      <c r="M45" s="6" t="s">
        <v>16</v>
      </c>
      <c r="N45" s="6"/>
    </row>
    <row r="46" spans="1:21" x14ac:dyDescent="0.3">
      <c r="C46" s="6" t="s">
        <v>12</v>
      </c>
      <c r="D46" s="6"/>
      <c r="E46" s="6"/>
      <c r="J46" s="1" t="s">
        <v>7</v>
      </c>
      <c r="K46" s="2" t="s">
        <v>14</v>
      </c>
      <c r="L46" s="2" t="s">
        <v>15</v>
      </c>
      <c r="M46" s="2" t="s">
        <v>14</v>
      </c>
      <c r="N46" s="2" t="s">
        <v>15</v>
      </c>
      <c r="S46" s="1" t="s">
        <v>7</v>
      </c>
      <c r="T46" s="1" t="s">
        <v>13</v>
      </c>
      <c r="U46" s="3" t="s">
        <v>18</v>
      </c>
    </row>
    <row r="47" spans="1:21" x14ac:dyDescent="0.3">
      <c r="B47">
        <v>0.1</v>
      </c>
      <c r="C47">
        <v>0.86339999999999995</v>
      </c>
      <c r="J47" s="1">
        <v>3</v>
      </c>
      <c r="K47" s="1">
        <v>1.0699999999999999E-2</v>
      </c>
      <c r="L47" s="1">
        <v>1.0200000000000001E-2</v>
      </c>
      <c r="M47" s="1">
        <v>9.2999999999999992E-3</v>
      </c>
      <c r="N47" s="1">
        <v>8.9999999999999993E-3</v>
      </c>
      <c r="S47" s="1">
        <v>3</v>
      </c>
      <c r="T47" s="3">
        <f t="shared" ref="T47:T52" si="1">(L47-K47)/K47</f>
        <v>-4.6728971962616703E-2</v>
      </c>
      <c r="U47" s="3">
        <f t="shared" ref="U47:U52" si="2">(N47-M47)/M47</f>
        <v>-3.2258064516129024E-2</v>
      </c>
    </row>
    <row r="48" spans="1:21" x14ac:dyDescent="0.3">
      <c r="B48">
        <v>0.3</v>
      </c>
      <c r="C48">
        <v>0.87129999999999996</v>
      </c>
      <c r="J48" s="1">
        <v>3.1</v>
      </c>
      <c r="K48" s="1">
        <v>7.7000000000000002E-3</v>
      </c>
      <c r="L48" s="1">
        <v>7.4000000000000003E-3</v>
      </c>
      <c r="M48" s="1">
        <v>6.7000000000000002E-3</v>
      </c>
      <c r="N48" s="1">
        <v>6.4999999999999997E-3</v>
      </c>
      <c r="S48" s="1">
        <v>3.1</v>
      </c>
      <c r="T48" s="3">
        <f t="shared" si="1"/>
        <v>-3.8961038961038946E-2</v>
      </c>
      <c r="U48" s="3">
        <f t="shared" si="2"/>
        <v>-2.9850746268656792E-2</v>
      </c>
    </row>
    <row r="49" spans="2:21" x14ac:dyDescent="0.3">
      <c r="J49" s="1">
        <v>3.2</v>
      </c>
      <c r="K49" s="1">
        <v>5.4999999999999997E-3</v>
      </c>
      <c r="L49" s="1">
        <v>5.3E-3</v>
      </c>
      <c r="M49" s="1">
        <v>4.7999999999999996E-3</v>
      </c>
      <c r="N49" s="1">
        <v>4.5999999999999999E-3</v>
      </c>
      <c r="S49" s="1">
        <v>3.2</v>
      </c>
      <c r="T49" s="3">
        <f t="shared" si="1"/>
        <v>-3.6363636363636306E-2</v>
      </c>
      <c r="U49" s="3">
        <f t="shared" si="2"/>
        <v>-4.1666666666666602E-2</v>
      </c>
    </row>
    <row r="50" spans="2:21" x14ac:dyDescent="0.3">
      <c r="J50" s="1">
        <v>3.25</v>
      </c>
      <c r="K50" s="1">
        <v>4.5999999999999999E-3</v>
      </c>
      <c r="L50" s="1">
        <v>4.4000000000000003E-3</v>
      </c>
      <c r="M50" s="1">
        <v>4.0000000000000001E-3</v>
      </c>
      <c r="N50" s="1">
        <v>3.8999999999999998E-3</v>
      </c>
      <c r="S50" s="1">
        <v>3.25</v>
      </c>
      <c r="T50" s="3">
        <f t="shared" si="1"/>
        <v>-4.3478260869565147E-2</v>
      </c>
      <c r="U50" s="3">
        <f t="shared" si="2"/>
        <v>-2.5000000000000064E-2</v>
      </c>
    </row>
    <row r="51" spans="2:21" x14ac:dyDescent="0.3">
      <c r="J51" s="1">
        <v>3.3</v>
      </c>
      <c r="K51" s="1">
        <v>3.8E-3</v>
      </c>
      <c r="L51" s="1">
        <v>3.7000000000000002E-3</v>
      </c>
      <c r="M51" s="1">
        <v>3.3999999999999998E-3</v>
      </c>
      <c r="N51" s="1">
        <v>3.3E-3</v>
      </c>
      <c r="S51" s="1">
        <v>3.3</v>
      </c>
      <c r="T51" s="3">
        <f t="shared" si="1"/>
        <v>-2.6315789473684164E-2</v>
      </c>
      <c r="U51" s="3">
        <f t="shared" si="2"/>
        <v>-2.9411764705882304E-2</v>
      </c>
    </row>
    <row r="52" spans="2:21" x14ac:dyDescent="0.3">
      <c r="J52" s="1">
        <v>3.7</v>
      </c>
      <c r="K52" s="1">
        <v>8.61E-4</v>
      </c>
      <c r="L52" s="1">
        <v>8.4979999999999995E-4</v>
      </c>
      <c r="M52" s="1">
        <v>7.5359999999999999E-4</v>
      </c>
      <c r="N52" s="1">
        <v>7.4520000000000001E-4</v>
      </c>
      <c r="S52" s="1">
        <v>3.7</v>
      </c>
      <c r="T52" s="3">
        <f t="shared" si="1"/>
        <v>-1.3008130081300877E-2</v>
      </c>
      <c r="U52" s="3">
        <f t="shared" si="2"/>
        <v>-1.1146496815286608E-2</v>
      </c>
    </row>
    <row r="57" spans="2:21" x14ac:dyDescent="0.3">
      <c r="B57" s="6" t="s">
        <v>25</v>
      </c>
      <c r="C57" s="6"/>
      <c r="D57" s="6"/>
    </row>
    <row r="58" spans="2:21" x14ac:dyDescent="0.3">
      <c r="B58" s="1" t="s">
        <v>19</v>
      </c>
      <c r="C58" s="1" t="s">
        <v>20</v>
      </c>
      <c r="D58" t="s">
        <v>21</v>
      </c>
      <c r="E58" t="s">
        <v>39</v>
      </c>
    </row>
    <row r="59" spans="2:21" x14ac:dyDescent="0.3">
      <c r="B59" s="1">
        <v>8</v>
      </c>
      <c r="C59">
        <v>0.85164835164835162</v>
      </c>
      <c r="D59">
        <v>0.85164835164835162</v>
      </c>
      <c r="E59">
        <f t="shared" ref="E59:E69" si="3">(C59+D59)/2</f>
        <v>0.85164835164835162</v>
      </c>
    </row>
    <row r="60" spans="2:21" x14ac:dyDescent="0.3">
      <c r="B60" s="1">
        <v>12</v>
      </c>
      <c r="C60">
        <v>0.90570719602977656</v>
      </c>
      <c r="D60">
        <v>0.90570719602977656</v>
      </c>
      <c r="E60">
        <f t="shared" si="3"/>
        <v>0.90570719602977656</v>
      </c>
    </row>
    <row r="61" spans="2:21" x14ac:dyDescent="0.3">
      <c r="B61" s="1">
        <v>16</v>
      </c>
      <c r="C61">
        <v>0.92749529190207147</v>
      </c>
      <c r="D61">
        <v>0.93220338983050843</v>
      </c>
      <c r="E61">
        <f t="shared" si="3"/>
        <v>0.92984934086629001</v>
      </c>
    </row>
    <row r="62" spans="2:21" x14ac:dyDescent="0.3">
      <c r="B62" s="1">
        <v>20</v>
      </c>
      <c r="C62">
        <v>0.9422492401215804</v>
      </c>
      <c r="D62">
        <v>0.9422492401215804</v>
      </c>
      <c r="E62">
        <f t="shared" si="3"/>
        <v>0.9422492401215804</v>
      </c>
    </row>
    <row r="63" spans="2:21" x14ac:dyDescent="0.3">
      <c r="B63" s="1">
        <v>24</v>
      </c>
      <c r="C63">
        <v>0.95146871008939971</v>
      </c>
      <c r="D63">
        <v>0.95466155810983389</v>
      </c>
      <c r="E63">
        <f t="shared" si="3"/>
        <v>0.9530651340996168</v>
      </c>
    </row>
    <row r="64" spans="2:21" x14ac:dyDescent="0.3">
      <c r="B64" s="1">
        <v>28</v>
      </c>
      <c r="C64">
        <v>0.95803423522915521</v>
      </c>
      <c r="D64">
        <v>0.95814977973568261</v>
      </c>
      <c r="E64">
        <f t="shared" si="3"/>
        <v>0.95809200748241885</v>
      </c>
    </row>
    <row r="65" spans="2:26" x14ac:dyDescent="0.3">
      <c r="B65" s="1">
        <v>32</v>
      </c>
      <c r="C65">
        <v>0.9653827401267675</v>
      </c>
      <c r="D65">
        <v>0.96359223300970875</v>
      </c>
      <c r="E65">
        <f t="shared" si="3"/>
        <v>0.96448748656823813</v>
      </c>
    </row>
    <row r="66" spans="2:26" x14ac:dyDescent="0.3">
      <c r="B66" s="1">
        <v>36</v>
      </c>
      <c r="C66">
        <v>0.96894138232720906</v>
      </c>
      <c r="D66">
        <v>0.9691438504997828</v>
      </c>
      <c r="E66">
        <f t="shared" si="3"/>
        <v>0.96904261641349598</v>
      </c>
    </row>
    <row r="67" spans="2:26" x14ac:dyDescent="0.3">
      <c r="B67" s="1">
        <v>40</v>
      </c>
      <c r="C67">
        <v>0.97183657278857605</v>
      </c>
      <c r="D67">
        <v>0.97397476340693989</v>
      </c>
      <c r="E67">
        <f t="shared" si="3"/>
        <v>0.97290566809775791</v>
      </c>
    </row>
    <row r="68" spans="2:26" x14ac:dyDescent="0.3">
      <c r="B68" s="1">
        <v>44</v>
      </c>
      <c r="C68">
        <v>0.97454545454545449</v>
      </c>
      <c r="D68">
        <v>0.97477477477477481</v>
      </c>
      <c r="E68">
        <f t="shared" si="3"/>
        <v>0.9746601146601146</v>
      </c>
    </row>
    <row r="69" spans="2:26" x14ac:dyDescent="0.3">
      <c r="B69" s="1">
        <v>48</v>
      </c>
      <c r="C69">
        <v>0.97815126050420165</v>
      </c>
      <c r="D69">
        <v>0.97804391217564857</v>
      </c>
      <c r="E69">
        <f t="shared" si="3"/>
        <v>0.97809758633992505</v>
      </c>
    </row>
    <row r="73" spans="2:26" x14ac:dyDescent="0.3">
      <c r="V73" s="6" t="s">
        <v>26</v>
      </c>
      <c r="W73" s="6"/>
      <c r="X73" s="6"/>
      <c r="Y73" s="6"/>
    </row>
    <row r="74" spans="2:26" x14ac:dyDescent="0.3">
      <c r="V74" s="1">
        <v>8</v>
      </c>
      <c r="W74">
        <v>1</v>
      </c>
      <c r="X74">
        <v>0.86372360844529739</v>
      </c>
      <c r="Y74">
        <v>0.86372360844529739</v>
      </c>
      <c r="Z74">
        <f>(X74+Y74)/2</f>
        <v>0.86372360844529739</v>
      </c>
    </row>
    <row r="75" spans="2:26" x14ac:dyDescent="0.3">
      <c r="B75" s="6" t="s">
        <v>22</v>
      </c>
      <c r="C75" s="6"/>
      <c r="D75" s="6"/>
      <c r="F75" s="6" t="s">
        <v>23</v>
      </c>
      <c r="G75" s="6"/>
      <c r="H75" s="6"/>
      <c r="J75" s="6" t="s">
        <v>24</v>
      </c>
      <c r="K75" s="6"/>
      <c r="L75" s="6"/>
      <c r="N75" s="6" t="s">
        <v>30</v>
      </c>
      <c r="O75" s="6"/>
      <c r="P75" s="6"/>
      <c r="V75" s="1">
        <v>8</v>
      </c>
      <c r="W75">
        <v>2</v>
      </c>
      <c r="X75">
        <v>0.86654135338345839</v>
      </c>
      <c r="Y75">
        <v>0.86654135338345839</v>
      </c>
      <c r="Z75">
        <f t="shared" ref="Z75:Z105" si="4">(X75+Y75)/2</f>
        <v>0.86654135338345839</v>
      </c>
    </row>
    <row r="76" spans="2:26" x14ac:dyDescent="0.3">
      <c r="B76" s="1" t="s">
        <v>19</v>
      </c>
      <c r="C76" s="1" t="s">
        <v>20</v>
      </c>
      <c r="D76" t="s">
        <v>21</v>
      </c>
      <c r="F76" s="1" t="s">
        <v>19</v>
      </c>
      <c r="G76" s="1" t="s">
        <v>20</v>
      </c>
      <c r="H76" t="s">
        <v>21</v>
      </c>
      <c r="J76" s="1" t="s">
        <v>19</v>
      </c>
      <c r="K76" s="1" t="s">
        <v>20</v>
      </c>
      <c r="L76" t="s">
        <v>21</v>
      </c>
      <c r="N76" s="1" t="s">
        <v>19</v>
      </c>
      <c r="O76" s="1" t="s">
        <v>20</v>
      </c>
      <c r="P76" t="s">
        <v>21</v>
      </c>
      <c r="V76" s="1">
        <v>8</v>
      </c>
      <c r="W76">
        <v>3</v>
      </c>
      <c r="X76">
        <v>0.86930897303668764</v>
      </c>
      <c r="Y76">
        <v>0.86924493554327786</v>
      </c>
      <c r="Z76">
        <f t="shared" si="4"/>
        <v>0.86927695428998275</v>
      </c>
    </row>
    <row r="77" spans="2:26" x14ac:dyDescent="0.3">
      <c r="B77" s="1">
        <v>8</v>
      </c>
      <c r="C77">
        <v>0.86372360844529739</v>
      </c>
      <c r="D77">
        <v>0.86372360844529739</v>
      </c>
      <c r="F77" s="1">
        <v>8</v>
      </c>
      <c r="G77">
        <v>0.86654135338345839</v>
      </c>
      <c r="H77">
        <v>0.86654135338345839</v>
      </c>
      <c r="J77" s="1">
        <v>8</v>
      </c>
      <c r="K77">
        <v>0.86930897303668764</v>
      </c>
      <c r="L77">
        <v>0.86924493554327786</v>
      </c>
      <c r="N77" s="1">
        <v>8</v>
      </c>
      <c r="O77">
        <v>0.93059936908517349</v>
      </c>
      <c r="P77">
        <v>0.87563451776649726</v>
      </c>
      <c r="V77" s="1">
        <v>12</v>
      </c>
      <c r="W77">
        <v>1</v>
      </c>
      <c r="X77">
        <v>0.9115281501340482</v>
      </c>
      <c r="Y77">
        <v>0.91269841269841268</v>
      </c>
      <c r="Z77">
        <f t="shared" si="4"/>
        <v>0.91211328141623049</v>
      </c>
    </row>
    <row r="78" spans="2:26" x14ac:dyDescent="0.3">
      <c r="B78" s="1">
        <v>12</v>
      </c>
      <c r="C78">
        <v>0.9115281501340482</v>
      </c>
      <c r="D78">
        <v>0.91269841269841268</v>
      </c>
      <c r="F78" s="1">
        <v>12</v>
      </c>
      <c r="G78">
        <v>0.9130549682875263</v>
      </c>
      <c r="H78">
        <v>0.9139504563233376</v>
      </c>
      <c r="J78" s="1">
        <v>12</v>
      </c>
      <c r="K78">
        <v>0.91446888356092992</v>
      </c>
      <c r="L78">
        <v>0.91495706720139847</v>
      </c>
      <c r="N78" s="1">
        <v>12</v>
      </c>
      <c r="O78">
        <v>0.95714285714285707</v>
      </c>
      <c r="P78">
        <v>0.91320072332730551</v>
      </c>
      <c r="V78" s="1">
        <v>12</v>
      </c>
      <c r="W78">
        <v>2</v>
      </c>
      <c r="X78">
        <v>0.9130549682875263</v>
      </c>
      <c r="Y78">
        <v>0.9139504563233376</v>
      </c>
      <c r="Z78">
        <f t="shared" si="4"/>
        <v>0.91350271230543201</v>
      </c>
    </row>
    <row r="79" spans="2:26" x14ac:dyDescent="0.3">
      <c r="B79" s="1">
        <v>16</v>
      </c>
      <c r="C79">
        <v>0.93717277486910977</v>
      </c>
      <c r="D79">
        <v>0.93306288032454354</v>
      </c>
      <c r="F79" s="1">
        <v>16</v>
      </c>
      <c r="G79">
        <v>0.93782383419689086</v>
      </c>
      <c r="H79">
        <v>0.93298555377207049</v>
      </c>
      <c r="J79" s="1">
        <v>16</v>
      </c>
      <c r="K79">
        <v>0.93850004102732398</v>
      </c>
      <c r="L79">
        <v>0.93321951800532033</v>
      </c>
      <c r="N79" s="1">
        <v>16</v>
      </c>
      <c r="O79">
        <v>0.98944591029023743</v>
      </c>
      <c r="P79">
        <v>0.93220338983050832</v>
      </c>
      <c r="V79" s="1">
        <v>12</v>
      </c>
      <c r="W79">
        <v>3</v>
      </c>
      <c r="X79">
        <v>0.91446888356092992</v>
      </c>
      <c r="Y79">
        <v>0.91495706720139847</v>
      </c>
      <c r="Z79">
        <f t="shared" si="4"/>
        <v>0.91471297538116425</v>
      </c>
    </row>
    <row r="80" spans="2:26" x14ac:dyDescent="0.3">
      <c r="B80" s="1">
        <v>20</v>
      </c>
      <c r="C80">
        <v>0.95279720279720259</v>
      </c>
      <c r="D80">
        <v>0.94549958711808413</v>
      </c>
      <c r="F80" s="1">
        <v>20</v>
      </c>
      <c r="G80">
        <v>0.9530003468609084</v>
      </c>
      <c r="H80">
        <v>0.94614503192011767</v>
      </c>
      <c r="J80" s="1">
        <v>20</v>
      </c>
      <c r="K80">
        <v>0.95327392216908091</v>
      </c>
      <c r="L80">
        <v>0.94673980072052177</v>
      </c>
      <c r="N80" s="1">
        <v>20</v>
      </c>
      <c r="O80">
        <v>0.98984771573604058</v>
      </c>
      <c r="P80">
        <v>0.98192771084337338</v>
      </c>
      <c r="V80" s="1">
        <v>16</v>
      </c>
      <c r="W80">
        <v>1</v>
      </c>
      <c r="X80">
        <v>0.93717277486910977</v>
      </c>
      <c r="Y80">
        <v>0.93306288032454354</v>
      </c>
      <c r="Z80">
        <f t="shared" si="4"/>
        <v>0.9351178275968266</v>
      </c>
    </row>
    <row r="81" spans="2:26" x14ac:dyDescent="0.3">
      <c r="B81" s="1">
        <v>24</v>
      </c>
      <c r="C81">
        <v>0.95905989385898394</v>
      </c>
      <c r="D81">
        <v>0.95789473684210524</v>
      </c>
      <c r="F81" s="1">
        <v>24</v>
      </c>
      <c r="G81">
        <v>0.95948184967615591</v>
      </c>
      <c r="H81">
        <v>0.95818815331010454</v>
      </c>
      <c r="J81" s="1">
        <v>24</v>
      </c>
      <c r="K81">
        <v>0.95998443672931866</v>
      </c>
      <c r="L81">
        <v>0.95847750865051895</v>
      </c>
      <c r="N81" s="1">
        <v>24</v>
      </c>
      <c r="O81">
        <v>0.98062953995157376</v>
      </c>
      <c r="P81">
        <v>0.95734126984126988</v>
      </c>
      <c r="V81" s="1">
        <v>16</v>
      </c>
      <c r="W81">
        <v>2</v>
      </c>
      <c r="X81">
        <v>0.93782383419689086</v>
      </c>
      <c r="Y81">
        <v>0.93298555377207049</v>
      </c>
      <c r="Z81">
        <f t="shared" si="4"/>
        <v>0.93540469398448067</v>
      </c>
    </row>
    <row r="82" spans="2:26" x14ac:dyDescent="0.3">
      <c r="B82" s="1">
        <v>28</v>
      </c>
      <c r="C82">
        <v>0.96741344195519341</v>
      </c>
      <c r="D82">
        <v>0.96036585365853666</v>
      </c>
      <c r="F82" s="1">
        <v>28</v>
      </c>
      <c r="G82">
        <v>0.96826468602295723</v>
      </c>
      <c r="H82">
        <v>0.96060606060606057</v>
      </c>
      <c r="J82" s="1">
        <v>28</v>
      </c>
      <c r="K82">
        <v>0.96897246474143717</v>
      </c>
      <c r="L82">
        <v>0.960866526904263</v>
      </c>
      <c r="N82" s="1">
        <v>28</v>
      </c>
      <c r="O82">
        <v>0.98108747044917255</v>
      </c>
      <c r="P82">
        <v>0.95955249569707401</v>
      </c>
      <c r="V82" s="1">
        <v>16</v>
      </c>
      <c r="W82">
        <v>3</v>
      </c>
      <c r="X82">
        <v>0.93850004102732398</v>
      </c>
      <c r="Y82">
        <v>0.93321951800532033</v>
      </c>
      <c r="Z82">
        <f t="shared" si="4"/>
        <v>0.93585977951632215</v>
      </c>
    </row>
    <row r="83" spans="2:26" x14ac:dyDescent="0.3">
      <c r="B83" s="1">
        <v>32</v>
      </c>
      <c r="C83">
        <v>0.97636815920398001</v>
      </c>
      <c r="D83">
        <v>0.96756756756756734</v>
      </c>
      <c r="F83" s="1">
        <v>32</v>
      </c>
      <c r="G83">
        <v>0.97648514851485113</v>
      </c>
      <c r="H83">
        <v>0.96774193548387066</v>
      </c>
      <c r="J83" s="1">
        <v>32</v>
      </c>
      <c r="K83">
        <v>0.97650188428286411</v>
      </c>
      <c r="L83">
        <v>0.96780748663101612</v>
      </c>
      <c r="N83" s="1">
        <v>32</v>
      </c>
      <c r="O83">
        <v>0.98379629629629617</v>
      </c>
      <c r="P83">
        <v>0.96712538226299694</v>
      </c>
      <c r="V83" s="1">
        <v>20</v>
      </c>
      <c r="W83">
        <v>1</v>
      </c>
      <c r="X83">
        <v>0.95279720279720259</v>
      </c>
      <c r="Y83">
        <v>0.94549958711808413</v>
      </c>
      <c r="Z83">
        <f t="shared" si="4"/>
        <v>0.94914839495764336</v>
      </c>
    </row>
    <row r="84" spans="2:26" x14ac:dyDescent="0.3">
      <c r="B84" s="1">
        <v>36</v>
      </c>
      <c r="C84">
        <v>0.98147075854082222</v>
      </c>
      <c r="D84">
        <v>0.9685230024213074</v>
      </c>
      <c r="F84" s="1">
        <v>36</v>
      </c>
      <c r="G84">
        <v>0.98154555940023058</v>
      </c>
      <c r="H84">
        <v>0.96876807403123177</v>
      </c>
      <c r="J84" s="1">
        <v>36</v>
      </c>
      <c r="K84">
        <v>0.98161975875933372</v>
      </c>
      <c r="L84">
        <v>0.96906662572919866</v>
      </c>
      <c r="N84" s="1">
        <v>36</v>
      </c>
      <c r="O84">
        <v>0.99542334096109841</v>
      </c>
      <c r="P84">
        <v>0.97117364447494836</v>
      </c>
      <c r="V84" s="1">
        <v>20</v>
      </c>
      <c r="W84">
        <v>2</v>
      </c>
      <c r="X84">
        <v>0.9530003468609084</v>
      </c>
      <c r="Y84">
        <v>0.94614503192011767</v>
      </c>
      <c r="Z84">
        <f t="shared" si="4"/>
        <v>0.94957268939051298</v>
      </c>
    </row>
    <row r="85" spans="2:26" x14ac:dyDescent="0.3">
      <c r="B85" s="1">
        <v>40</v>
      </c>
      <c r="C85">
        <v>0.98306936100491527</v>
      </c>
      <c r="D85">
        <v>0.97399735566328793</v>
      </c>
      <c r="F85" s="1">
        <v>40</v>
      </c>
      <c r="G85">
        <v>0.98356194208578251</v>
      </c>
      <c r="H85">
        <v>0.9740145729084364</v>
      </c>
      <c r="J85" s="1">
        <v>40</v>
      </c>
      <c r="K85">
        <v>0.98387866689810777</v>
      </c>
      <c r="L85">
        <v>0.97398055536126471</v>
      </c>
      <c r="N85" s="1">
        <v>40</v>
      </c>
      <c r="O85">
        <v>0.99547511312217196</v>
      </c>
      <c r="P85">
        <v>0.97386434349719975</v>
      </c>
      <c r="V85" s="1">
        <v>20</v>
      </c>
      <c r="W85">
        <v>3</v>
      </c>
      <c r="X85">
        <v>0.95327392216908091</v>
      </c>
      <c r="Y85">
        <v>0.94673980072052177</v>
      </c>
      <c r="Z85">
        <f t="shared" si="4"/>
        <v>0.9500068614448014</v>
      </c>
    </row>
    <row r="86" spans="2:26" x14ac:dyDescent="0.3">
      <c r="B86" s="1">
        <v>44</v>
      </c>
      <c r="C86">
        <v>0.98901098901098894</v>
      </c>
      <c r="D86">
        <v>0.97570850202429138</v>
      </c>
      <c r="F86" s="1">
        <v>44</v>
      </c>
      <c r="G86">
        <v>0.98904538341158033</v>
      </c>
      <c r="H86">
        <v>0.97548189370110472</v>
      </c>
      <c r="J86" s="1">
        <v>44</v>
      </c>
      <c r="K86">
        <v>0.98907956318252721</v>
      </c>
      <c r="L86">
        <v>0.97540008998007588</v>
      </c>
      <c r="N86" s="1">
        <v>44</v>
      </c>
      <c r="O86">
        <v>0.99552572706935127</v>
      </c>
      <c r="P86">
        <v>0.97609561752988028</v>
      </c>
      <c r="V86" s="1">
        <v>24</v>
      </c>
      <c r="W86">
        <v>1</v>
      </c>
      <c r="X86">
        <v>0.95905989385898394</v>
      </c>
      <c r="Y86">
        <v>0.95789473684210524</v>
      </c>
      <c r="Z86">
        <f t="shared" si="4"/>
        <v>0.95847731535054459</v>
      </c>
    </row>
    <row r="87" spans="2:26" x14ac:dyDescent="0.3">
      <c r="B87" s="1">
        <v>48</v>
      </c>
      <c r="C87">
        <v>0.98989898989898983</v>
      </c>
      <c r="D87">
        <v>0.97793567688855632</v>
      </c>
      <c r="F87" s="1">
        <v>48</v>
      </c>
      <c r="G87">
        <v>0.98992443324937018</v>
      </c>
      <c r="H87">
        <v>0.97793679189028015</v>
      </c>
      <c r="J87" s="1">
        <v>48</v>
      </c>
      <c r="K87">
        <v>0.98994974874371866</v>
      </c>
      <c r="L87">
        <v>0.9778943146197614</v>
      </c>
      <c r="N87" s="1">
        <v>48</v>
      </c>
      <c r="O87">
        <v>0.99557522123893805</v>
      </c>
      <c r="P87">
        <v>0.97797587834294708</v>
      </c>
      <c r="V87" s="1">
        <v>24</v>
      </c>
      <c r="W87">
        <v>2</v>
      </c>
      <c r="X87">
        <v>0.95948184967615591</v>
      </c>
      <c r="Y87">
        <v>0.95818815331010454</v>
      </c>
      <c r="Z87">
        <f t="shared" si="4"/>
        <v>0.95883500149313017</v>
      </c>
    </row>
    <row r="88" spans="2:26" x14ac:dyDescent="0.3">
      <c r="V88" s="1">
        <v>24</v>
      </c>
      <c r="W88">
        <v>3</v>
      </c>
      <c r="X88">
        <v>0.95998443672931866</v>
      </c>
      <c r="Y88">
        <v>0.95847750865051895</v>
      </c>
      <c r="Z88">
        <f t="shared" si="4"/>
        <v>0.95923097268991886</v>
      </c>
    </row>
    <row r="89" spans="2:26" x14ac:dyDescent="0.3">
      <c r="V89" s="1">
        <v>28</v>
      </c>
      <c r="W89">
        <v>1</v>
      </c>
      <c r="X89">
        <v>0.96741344195519341</v>
      </c>
      <c r="Y89">
        <v>0.96036585365853666</v>
      </c>
      <c r="Z89">
        <f t="shared" si="4"/>
        <v>0.96388964780686504</v>
      </c>
    </row>
    <row r="90" spans="2:26" x14ac:dyDescent="0.3">
      <c r="V90" s="1">
        <v>28</v>
      </c>
      <c r="W90">
        <v>2</v>
      </c>
      <c r="X90">
        <v>0.96826468602295723</v>
      </c>
      <c r="Y90">
        <v>0.96060606060606057</v>
      </c>
      <c r="Z90">
        <f t="shared" si="4"/>
        <v>0.9644353733145089</v>
      </c>
    </row>
    <row r="91" spans="2:26" x14ac:dyDescent="0.3">
      <c r="V91" s="1">
        <v>28</v>
      </c>
      <c r="W91">
        <v>3</v>
      </c>
      <c r="X91">
        <v>0.96897246474143717</v>
      </c>
      <c r="Y91">
        <v>0.960866526904263</v>
      </c>
      <c r="Z91">
        <f t="shared" si="4"/>
        <v>0.96491949582285008</v>
      </c>
    </row>
    <row r="92" spans="2:26" x14ac:dyDescent="0.3">
      <c r="V92" s="1">
        <v>32</v>
      </c>
      <c r="W92">
        <v>1</v>
      </c>
      <c r="X92">
        <v>0.97636815920398001</v>
      </c>
      <c r="Y92">
        <v>0.96756756756756734</v>
      </c>
      <c r="Z92">
        <f t="shared" si="4"/>
        <v>0.97196786338577368</v>
      </c>
    </row>
    <row r="93" spans="2:26" x14ac:dyDescent="0.3">
      <c r="V93" s="1">
        <v>32</v>
      </c>
      <c r="W93">
        <v>2</v>
      </c>
      <c r="X93">
        <v>0.97648514851485113</v>
      </c>
      <c r="Y93">
        <v>0.96774193548387066</v>
      </c>
      <c r="Z93">
        <f t="shared" si="4"/>
        <v>0.97211354199936095</v>
      </c>
    </row>
    <row r="94" spans="2:26" x14ac:dyDescent="0.3">
      <c r="B94" s="6" t="s">
        <v>26</v>
      </c>
      <c r="C94" s="6"/>
      <c r="D94" s="6"/>
      <c r="G94" s="6"/>
      <c r="H94" s="6"/>
      <c r="I94" s="6"/>
      <c r="J94" s="6"/>
      <c r="V94" s="1">
        <v>32</v>
      </c>
      <c r="W94">
        <v>3</v>
      </c>
      <c r="X94">
        <v>0.97650188428286411</v>
      </c>
      <c r="Y94">
        <v>0.96780748663101612</v>
      </c>
      <c r="Z94">
        <f t="shared" si="4"/>
        <v>0.97215468545694006</v>
      </c>
    </row>
    <row r="95" spans="2:26" x14ac:dyDescent="0.3">
      <c r="B95" t="s">
        <v>27</v>
      </c>
      <c r="C95" s="1" t="s">
        <v>19</v>
      </c>
      <c r="D95" s="1" t="s">
        <v>20</v>
      </c>
      <c r="E95" t="s">
        <v>21</v>
      </c>
      <c r="V95" s="1">
        <v>36</v>
      </c>
      <c r="W95">
        <v>1</v>
      </c>
      <c r="X95">
        <v>0.98147075854082222</v>
      </c>
      <c r="Y95">
        <v>0.9685230024213074</v>
      </c>
      <c r="Z95">
        <f t="shared" si="4"/>
        <v>0.97499688048106481</v>
      </c>
    </row>
    <row r="96" spans="2:26" x14ac:dyDescent="0.3">
      <c r="B96" s="1">
        <v>1</v>
      </c>
      <c r="C96" s="1">
        <v>8</v>
      </c>
      <c r="D96">
        <v>0.86372360844529739</v>
      </c>
      <c r="E96">
        <v>0.86372360844529739</v>
      </c>
      <c r="V96" s="1">
        <v>36</v>
      </c>
      <c r="W96">
        <v>2</v>
      </c>
      <c r="X96">
        <v>0.98154555940023058</v>
      </c>
      <c r="Y96">
        <v>0.96876807403123177</v>
      </c>
      <c r="Z96">
        <f t="shared" si="4"/>
        <v>0.97515681671573118</v>
      </c>
    </row>
    <row r="97" spans="2:26" x14ac:dyDescent="0.3">
      <c r="B97" s="1">
        <v>1</v>
      </c>
      <c r="C97" s="1">
        <v>12</v>
      </c>
      <c r="D97">
        <v>0.9115281501340482</v>
      </c>
      <c r="E97">
        <v>0.91269841269841268</v>
      </c>
      <c r="V97" s="1">
        <v>36</v>
      </c>
      <c r="W97">
        <v>3</v>
      </c>
      <c r="X97">
        <v>0.98161975875933372</v>
      </c>
      <c r="Y97">
        <v>0.96906662572919866</v>
      </c>
      <c r="Z97">
        <f t="shared" si="4"/>
        <v>0.97534319224426613</v>
      </c>
    </row>
    <row r="98" spans="2:26" x14ac:dyDescent="0.3">
      <c r="B98" s="1">
        <v>1</v>
      </c>
      <c r="C98" s="1">
        <v>16</v>
      </c>
      <c r="D98">
        <v>0.93717277486910977</v>
      </c>
      <c r="E98">
        <v>0.93306288032454354</v>
      </c>
      <c r="V98" s="1">
        <v>40</v>
      </c>
      <c r="W98">
        <v>1</v>
      </c>
      <c r="X98">
        <v>0.98306936100491527</v>
      </c>
      <c r="Y98">
        <v>0.97399735566328793</v>
      </c>
      <c r="Z98">
        <f t="shared" si="4"/>
        <v>0.9785333583341016</v>
      </c>
    </row>
    <row r="99" spans="2:26" x14ac:dyDescent="0.3">
      <c r="B99" s="1">
        <v>1</v>
      </c>
      <c r="C99" s="1">
        <v>20</v>
      </c>
      <c r="D99">
        <v>0.95279720279720259</v>
      </c>
      <c r="E99">
        <v>0.94549958711808413</v>
      </c>
      <c r="V99" s="1">
        <v>40</v>
      </c>
      <c r="W99">
        <v>2</v>
      </c>
      <c r="X99">
        <v>0.98356194208578251</v>
      </c>
      <c r="Y99">
        <v>0.9740145729084364</v>
      </c>
      <c r="Z99">
        <f t="shared" si="4"/>
        <v>0.9787882574971094</v>
      </c>
    </row>
    <row r="100" spans="2:26" x14ac:dyDescent="0.3">
      <c r="B100" s="1">
        <v>1</v>
      </c>
      <c r="C100" s="1">
        <v>24</v>
      </c>
      <c r="D100">
        <v>0.95905989385898394</v>
      </c>
      <c r="E100">
        <v>0.95789473684210524</v>
      </c>
      <c r="V100" s="1">
        <v>40</v>
      </c>
      <c r="W100">
        <v>3</v>
      </c>
      <c r="X100">
        <v>0.98387866689810777</v>
      </c>
      <c r="Y100">
        <v>0.97398055536126471</v>
      </c>
      <c r="Z100">
        <f t="shared" si="4"/>
        <v>0.97892961112968624</v>
      </c>
    </row>
    <row r="101" spans="2:26" x14ac:dyDescent="0.3">
      <c r="B101" s="1">
        <v>1</v>
      </c>
      <c r="C101" s="1">
        <v>28</v>
      </c>
      <c r="D101">
        <v>0.96741344195519341</v>
      </c>
      <c r="E101">
        <v>0.96036585365853666</v>
      </c>
      <c r="V101" s="1">
        <v>44</v>
      </c>
      <c r="W101">
        <v>1</v>
      </c>
      <c r="X101">
        <v>0.98901098901098894</v>
      </c>
      <c r="Y101">
        <v>0.97570850202429138</v>
      </c>
      <c r="Z101">
        <f t="shared" si="4"/>
        <v>0.98235974551764016</v>
      </c>
    </row>
    <row r="102" spans="2:26" x14ac:dyDescent="0.3">
      <c r="B102" s="1">
        <v>1</v>
      </c>
      <c r="C102" s="1">
        <v>32</v>
      </c>
      <c r="D102">
        <v>0.97636815920398001</v>
      </c>
      <c r="E102">
        <v>0.96756756756756734</v>
      </c>
      <c r="V102" s="1">
        <v>44</v>
      </c>
      <c r="W102">
        <v>2</v>
      </c>
      <c r="X102">
        <v>0.98904538341158033</v>
      </c>
      <c r="Y102">
        <v>0.97548189370110472</v>
      </c>
      <c r="Z102">
        <f t="shared" si="4"/>
        <v>0.98226363855634258</v>
      </c>
    </row>
    <row r="103" spans="2:26" x14ac:dyDescent="0.3">
      <c r="B103" s="1">
        <v>1</v>
      </c>
      <c r="C103" s="1">
        <v>36</v>
      </c>
      <c r="D103">
        <v>0.98147075854082222</v>
      </c>
      <c r="E103">
        <v>0.9685230024213074</v>
      </c>
      <c r="V103" s="1">
        <v>44</v>
      </c>
      <c r="W103">
        <v>3</v>
      </c>
      <c r="X103">
        <v>0.98907956318252721</v>
      </c>
      <c r="Y103">
        <v>0.97540008998007588</v>
      </c>
      <c r="Z103">
        <f t="shared" si="4"/>
        <v>0.98223982658130149</v>
      </c>
    </row>
    <row r="104" spans="2:26" x14ac:dyDescent="0.3">
      <c r="B104" s="1">
        <v>1</v>
      </c>
      <c r="C104" s="1">
        <v>40</v>
      </c>
      <c r="D104">
        <v>0.98306936100491527</v>
      </c>
      <c r="E104">
        <v>0.97399735566328793</v>
      </c>
      <c r="V104" s="1">
        <v>48</v>
      </c>
      <c r="W104">
        <v>1</v>
      </c>
      <c r="X104">
        <v>0.98989898989898983</v>
      </c>
      <c r="Y104">
        <v>0.97793567688855632</v>
      </c>
      <c r="Z104">
        <f t="shared" si="4"/>
        <v>0.98391733339377307</v>
      </c>
    </row>
    <row r="105" spans="2:26" x14ac:dyDescent="0.3">
      <c r="B105" s="1">
        <v>1</v>
      </c>
      <c r="C105" s="1">
        <v>44</v>
      </c>
      <c r="D105">
        <v>0.98901098901098894</v>
      </c>
      <c r="E105">
        <v>0.97570850202429138</v>
      </c>
      <c r="V105" s="1">
        <v>48</v>
      </c>
      <c r="W105">
        <v>2</v>
      </c>
      <c r="X105">
        <v>0.98992443324937018</v>
      </c>
      <c r="Y105">
        <v>0.97793679189028015</v>
      </c>
      <c r="Z105">
        <f t="shared" si="4"/>
        <v>0.98393061256982517</v>
      </c>
    </row>
    <row r="106" spans="2:26" x14ac:dyDescent="0.3">
      <c r="B106" s="1">
        <v>1</v>
      </c>
      <c r="C106" s="1">
        <v>48</v>
      </c>
      <c r="D106">
        <v>0.98989898989898983</v>
      </c>
      <c r="E106">
        <v>0.97793567688855632</v>
      </c>
      <c r="P106" s="1">
        <v>48</v>
      </c>
      <c r="Q106">
        <v>3</v>
      </c>
      <c r="R106">
        <v>0.98994974874371866</v>
      </c>
      <c r="S106">
        <v>0.9778943146197614</v>
      </c>
    </row>
    <row r="107" spans="2:26" x14ac:dyDescent="0.3">
      <c r="B107" s="1">
        <v>2</v>
      </c>
      <c r="C107" s="1">
        <v>8</v>
      </c>
      <c r="D107">
        <v>0.86654135338345839</v>
      </c>
      <c r="E107">
        <v>0.86654135338345839</v>
      </c>
    </row>
    <row r="108" spans="2:26" x14ac:dyDescent="0.3">
      <c r="B108" s="1">
        <v>2</v>
      </c>
      <c r="C108" s="1">
        <v>12</v>
      </c>
      <c r="D108">
        <v>0.9130549682875263</v>
      </c>
      <c r="E108">
        <v>0.9139504563233376</v>
      </c>
    </row>
    <row r="109" spans="2:26" x14ac:dyDescent="0.3">
      <c r="B109" s="1">
        <v>2</v>
      </c>
      <c r="C109" s="1">
        <v>16</v>
      </c>
      <c r="D109">
        <v>0.93782383419689086</v>
      </c>
      <c r="E109">
        <v>0.93298555377207049</v>
      </c>
    </row>
    <row r="110" spans="2:26" x14ac:dyDescent="0.3">
      <c r="B110" s="1">
        <v>2</v>
      </c>
      <c r="C110" s="1">
        <v>20</v>
      </c>
      <c r="D110">
        <v>0.9530003468609084</v>
      </c>
      <c r="E110">
        <v>0.94614503192011767</v>
      </c>
      <c r="N110" s="6" t="s">
        <v>29</v>
      </c>
      <c r="O110" s="6"/>
      <c r="P110" s="6"/>
    </row>
    <row r="111" spans="2:26" x14ac:dyDescent="0.3">
      <c r="B111" s="1">
        <v>2</v>
      </c>
      <c r="C111" s="1">
        <v>24</v>
      </c>
      <c r="D111">
        <v>0.95948184967615591</v>
      </c>
      <c r="E111">
        <v>0.95818815331010454</v>
      </c>
      <c r="N111" s="1" t="s">
        <v>1</v>
      </c>
      <c r="O111" s="1" t="s">
        <v>19</v>
      </c>
      <c r="P111" s="1" t="s">
        <v>20</v>
      </c>
      <c r="Q111" t="s">
        <v>21</v>
      </c>
    </row>
    <row r="112" spans="2:26" x14ac:dyDescent="0.3">
      <c r="B112" s="1">
        <v>2</v>
      </c>
      <c r="C112" s="1">
        <v>28</v>
      </c>
      <c r="D112">
        <v>0.96826468602295723</v>
      </c>
      <c r="E112">
        <v>0.96060606060606057</v>
      </c>
      <c r="N112" s="1">
        <v>0.1</v>
      </c>
      <c r="O112" s="1">
        <v>8</v>
      </c>
      <c r="P112" s="1">
        <v>0.85164835164835162</v>
      </c>
      <c r="Q112">
        <v>0.85164835164835162</v>
      </c>
    </row>
    <row r="113" spans="2:28" x14ac:dyDescent="0.3">
      <c r="B113" s="1">
        <v>2</v>
      </c>
      <c r="C113" s="1">
        <v>32</v>
      </c>
      <c r="D113">
        <v>0.97648514851485113</v>
      </c>
      <c r="E113">
        <v>0.96774193548387066</v>
      </c>
      <c r="N113" s="1">
        <v>0.1</v>
      </c>
      <c r="O113" s="1">
        <v>12</v>
      </c>
      <c r="P113" s="1">
        <v>0.90570719602977656</v>
      </c>
      <c r="Q113">
        <v>0.90570719602977656</v>
      </c>
    </row>
    <row r="114" spans="2:28" x14ac:dyDescent="0.3">
      <c r="B114" s="1">
        <v>2</v>
      </c>
      <c r="C114" s="1">
        <v>36</v>
      </c>
      <c r="D114">
        <v>0.98154555940023058</v>
      </c>
      <c r="E114">
        <v>0.96876807403123177</v>
      </c>
      <c r="N114" s="1">
        <v>0.1</v>
      </c>
      <c r="O114" s="1">
        <v>16</v>
      </c>
      <c r="P114" s="1">
        <v>0.92749529190207147</v>
      </c>
      <c r="Q114">
        <v>0.93220338983050843</v>
      </c>
    </row>
    <row r="115" spans="2:28" x14ac:dyDescent="0.3">
      <c r="B115" s="1">
        <v>2</v>
      </c>
      <c r="C115" s="1">
        <v>40</v>
      </c>
      <c r="D115">
        <v>0.98356194208578251</v>
      </c>
      <c r="E115">
        <v>0.9740145729084364</v>
      </c>
      <c r="N115" s="1">
        <v>0.1</v>
      </c>
      <c r="O115" s="1">
        <v>20</v>
      </c>
      <c r="P115" s="1">
        <v>0.9422492401215804</v>
      </c>
      <c r="Q115">
        <v>0.9422492401215804</v>
      </c>
    </row>
    <row r="116" spans="2:28" x14ac:dyDescent="0.3">
      <c r="B116" s="1">
        <v>2</v>
      </c>
      <c r="C116" s="1">
        <v>44</v>
      </c>
      <c r="D116">
        <v>0.98904538341158033</v>
      </c>
      <c r="E116">
        <v>0.97548189370110472</v>
      </c>
      <c r="N116" s="1">
        <v>0.1</v>
      </c>
      <c r="O116" s="1">
        <v>24</v>
      </c>
      <c r="P116" s="1">
        <v>0.95146871008939971</v>
      </c>
      <c r="Q116">
        <v>0.95466155810983389</v>
      </c>
    </row>
    <row r="117" spans="2:28" x14ac:dyDescent="0.3">
      <c r="B117" s="1">
        <v>2</v>
      </c>
      <c r="C117" s="1">
        <v>48</v>
      </c>
      <c r="D117">
        <v>0.98992443324937018</v>
      </c>
      <c r="E117">
        <v>0.97793679189028015</v>
      </c>
      <c r="N117" s="1">
        <v>0.1</v>
      </c>
      <c r="O117" s="1">
        <v>28</v>
      </c>
      <c r="P117" s="1">
        <v>0.95803423522915521</v>
      </c>
      <c r="Q117">
        <v>0.95814977973568261</v>
      </c>
    </row>
    <row r="118" spans="2:28" x14ac:dyDescent="0.3">
      <c r="B118" s="1">
        <v>3</v>
      </c>
      <c r="C118" s="1">
        <v>8</v>
      </c>
      <c r="D118">
        <v>0.86930897303668764</v>
      </c>
      <c r="E118">
        <v>0.86924493554327786</v>
      </c>
      <c r="N118" s="1">
        <v>0.1</v>
      </c>
      <c r="O118" s="1">
        <v>32</v>
      </c>
      <c r="P118" s="1">
        <v>0.9653827401267675</v>
      </c>
      <c r="Q118">
        <v>0.96359223300970875</v>
      </c>
    </row>
    <row r="119" spans="2:28" x14ac:dyDescent="0.3">
      <c r="B119" s="1">
        <v>3</v>
      </c>
      <c r="C119" s="1">
        <v>12</v>
      </c>
      <c r="D119">
        <v>0.91446888356092992</v>
      </c>
      <c r="E119">
        <v>0.91495706720139847</v>
      </c>
      <c r="N119" s="1">
        <v>0.1</v>
      </c>
      <c r="O119" s="1">
        <v>36</v>
      </c>
      <c r="P119" s="1">
        <v>0.96894138232720906</v>
      </c>
      <c r="Q119">
        <v>0.9691438504997828</v>
      </c>
    </row>
    <row r="120" spans="2:28" x14ac:dyDescent="0.3">
      <c r="B120" s="1">
        <v>3</v>
      </c>
      <c r="C120" s="1">
        <v>16</v>
      </c>
      <c r="D120">
        <v>0.93850004102732398</v>
      </c>
      <c r="E120">
        <v>0.93321951800532033</v>
      </c>
      <c r="N120" s="1">
        <v>0.1</v>
      </c>
      <c r="O120" s="1">
        <v>40</v>
      </c>
      <c r="P120" s="1">
        <v>0.97183657278857605</v>
      </c>
      <c r="Q120">
        <v>0.97397476340693989</v>
      </c>
    </row>
    <row r="121" spans="2:28" x14ac:dyDescent="0.3">
      <c r="B121" s="1">
        <v>3</v>
      </c>
      <c r="C121" s="1">
        <v>20</v>
      </c>
      <c r="D121">
        <v>0.95327392216908091</v>
      </c>
      <c r="E121">
        <v>0.94673980072052177</v>
      </c>
      <c r="N121" s="1">
        <v>0.1</v>
      </c>
      <c r="O121" s="1">
        <v>44</v>
      </c>
      <c r="P121" s="1">
        <v>0.97454545454545449</v>
      </c>
      <c r="Q121">
        <v>0.97477477477477481</v>
      </c>
    </row>
    <row r="122" spans="2:28" x14ac:dyDescent="0.3">
      <c r="B122" s="1">
        <v>3</v>
      </c>
      <c r="C122" s="1">
        <v>24</v>
      </c>
      <c r="D122">
        <v>0.95998443672931866</v>
      </c>
      <c r="E122">
        <v>0.95847750865051895</v>
      </c>
      <c r="N122" s="1">
        <v>0.1</v>
      </c>
      <c r="O122" s="1">
        <v>48</v>
      </c>
      <c r="P122" s="1">
        <v>0.97815126050420165</v>
      </c>
      <c r="Q122">
        <v>0.97804391217564857</v>
      </c>
    </row>
    <row r="123" spans="2:28" x14ac:dyDescent="0.3">
      <c r="B123" s="1">
        <v>3</v>
      </c>
      <c r="C123" s="1">
        <v>28</v>
      </c>
      <c r="D123">
        <v>0.96897246474143717</v>
      </c>
      <c r="E123">
        <v>0.960866526904263</v>
      </c>
      <c r="N123" s="1">
        <v>0.3</v>
      </c>
      <c r="O123" s="1">
        <v>8</v>
      </c>
      <c r="P123" s="1">
        <v>0.86372360844529739</v>
      </c>
      <c r="Q123">
        <v>0.86372360844529739</v>
      </c>
    </row>
    <row r="124" spans="2:28" x14ac:dyDescent="0.3">
      <c r="B124" s="1">
        <v>3</v>
      </c>
      <c r="C124" s="1">
        <v>32</v>
      </c>
      <c r="D124">
        <v>0.97650188428286411</v>
      </c>
      <c r="E124">
        <v>0.96780748663101612</v>
      </c>
      <c r="N124" s="1">
        <v>0.3</v>
      </c>
      <c r="O124" s="1">
        <v>12</v>
      </c>
      <c r="P124" s="1">
        <v>0.9115281501340482</v>
      </c>
      <c r="Q124">
        <v>0.91269841269841268</v>
      </c>
    </row>
    <row r="125" spans="2:28" x14ac:dyDescent="0.3">
      <c r="B125" s="1">
        <v>3</v>
      </c>
      <c r="C125" s="1">
        <v>36</v>
      </c>
      <c r="D125">
        <v>0.98161975875933372</v>
      </c>
      <c r="E125">
        <v>0.96906662572919866</v>
      </c>
      <c r="N125" s="1">
        <v>0.3</v>
      </c>
      <c r="O125" s="1">
        <v>16</v>
      </c>
      <c r="P125" s="1">
        <v>0.93717277486910977</v>
      </c>
      <c r="Q125">
        <v>0.93306288032454354</v>
      </c>
    </row>
    <row r="126" spans="2:28" x14ac:dyDescent="0.3">
      <c r="B126" s="1">
        <v>3</v>
      </c>
      <c r="C126" s="1">
        <v>40</v>
      </c>
      <c r="D126">
        <v>0.98387866689810777</v>
      </c>
      <c r="E126">
        <v>0.97398055536126471</v>
      </c>
      <c r="N126" s="1">
        <v>0.3</v>
      </c>
      <c r="O126" s="1">
        <v>20</v>
      </c>
      <c r="P126" s="1">
        <v>0.95279720279720259</v>
      </c>
      <c r="Q126">
        <v>0.94549958711808413</v>
      </c>
    </row>
    <row r="127" spans="2:28" x14ac:dyDescent="0.3">
      <c r="B127" s="1">
        <v>3</v>
      </c>
      <c r="C127" s="1">
        <v>44</v>
      </c>
      <c r="D127">
        <v>0.98907956318252721</v>
      </c>
      <c r="E127">
        <v>0.97540008998007588</v>
      </c>
      <c r="N127" s="1">
        <v>0.3</v>
      </c>
      <c r="O127" s="1">
        <v>24</v>
      </c>
      <c r="P127" s="1">
        <v>0.95905989385898394</v>
      </c>
      <c r="Q127">
        <v>0.95789473684210524</v>
      </c>
    </row>
    <row r="128" spans="2:28" x14ac:dyDescent="0.3">
      <c r="B128" s="1">
        <v>3</v>
      </c>
      <c r="C128" s="1">
        <v>48</v>
      </c>
      <c r="D128">
        <v>0.98994974874371866</v>
      </c>
      <c r="E128">
        <v>0.9778943146197614</v>
      </c>
      <c r="N128" s="1">
        <v>0.3</v>
      </c>
      <c r="O128" s="1">
        <v>28</v>
      </c>
      <c r="P128" s="1">
        <v>0.96741344195519341</v>
      </c>
      <c r="Q128">
        <v>0.96036585365853666</v>
      </c>
      <c r="T128" s="6"/>
      <c r="U128" s="6"/>
      <c r="V128" s="6"/>
      <c r="Z128" s="6" t="s">
        <v>35</v>
      </c>
      <c r="AA128" s="6"/>
      <c r="AB128" s="6"/>
    </row>
    <row r="129" spans="2:28" x14ac:dyDescent="0.3">
      <c r="N129" s="1">
        <v>0.3</v>
      </c>
      <c r="O129" s="1">
        <v>32</v>
      </c>
      <c r="P129" s="1">
        <v>0.97636815920398001</v>
      </c>
      <c r="Q129">
        <v>0.96756756756756734</v>
      </c>
      <c r="T129" s="1"/>
      <c r="U129" s="1"/>
      <c r="V129" s="1"/>
      <c r="Z129" s="1" t="s">
        <v>7</v>
      </c>
      <c r="AA129" s="1" t="s">
        <v>20</v>
      </c>
      <c r="AB129" s="1" t="s">
        <v>21</v>
      </c>
    </row>
    <row r="130" spans="2:28" x14ac:dyDescent="0.3">
      <c r="N130" s="1">
        <v>0.3</v>
      </c>
      <c r="O130" s="1">
        <v>36</v>
      </c>
      <c r="P130" s="1">
        <v>0.98147075854082222</v>
      </c>
      <c r="Q130">
        <v>0.9685230024213074</v>
      </c>
      <c r="T130" s="1"/>
      <c r="U130" s="1"/>
      <c r="V130" s="1"/>
      <c r="Z130" s="1">
        <v>3</v>
      </c>
      <c r="AA130" s="1">
        <v>0.88626292466765144</v>
      </c>
      <c r="AB130" s="1">
        <v>0.88626292466765144</v>
      </c>
    </row>
    <row r="131" spans="2:28" x14ac:dyDescent="0.3">
      <c r="N131" s="1">
        <v>0.3</v>
      </c>
      <c r="O131" s="1">
        <v>40</v>
      </c>
      <c r="P131" s="1">
        <v>0.98306936100491527</v>
      </c>
      <c r="Q131">
        <v>0.97399735566328793</v>
      </c>
      <c r="T131" s="1"/>
      <c r="U131" s="1"/>
      <c r="V131" s="1"/>
      <c r="Z131" s="1">
        <v>3.2</v>
      </c>
      <c r="AA131" s="1">
        <v>0.87896253602305485</v>
      </c>
      <c r="AB131" s="1">
        <v>0.87896253602305485</v>
      </c>
    </row>
    <row r="132" spans="2:28" x14ac:dyDescent="0.3">
      <c r="F132" s="6" t="s">
        <v>31</v>
      </c>
      <c r="G132" s="6"/>
      <c r="H132" s="6"/>
      <c r="N132" s="1">
        <v>0.3</v>
      </c>
      <c r="O132" s="1">
        <v>44</v>
      </c>
      <c r="P132" s="1">
        <v>0.98901098901098894</v>
      </c>
      <c r="Q132">
        <v>0.97570850202429138</v>
      </c>
      <c r="T132" s="1"/>
      <c r="U132" s="1"/>
      <c r="V132" s="1"/>
      <c r="Z132" s="1">
        <v>3.7</v>
      </c>
      <c r="AA132" s="1">
        <v>0.86473214285714273</v>
      </c>
      <c r="AB132" s="1">
        <v>0.86473214285714273</v>
      </c>
    </row>
    <row r="133" spans="2:28" x14ac:dyDescent="0.3">
      <c r="F133" s="1" t="s">
        <v>7</v>
      </c>
      <c r="G133" s="1" t="s">
        <v>0</v>
      </c>
      <c r="H133" s="1" t="s">
        <v>20</v>
      </c>
      <c r="I133" s="1" t="s">
        <v>21</v>
      </c>
      <c r="N133" s="1">
        <v>0.3</v>
      </c>
      <c r="O133" s="1">
        <v>48</v>
      </c>
      <c r="P133" s="1">
        <v>0.98989898989898983</v>
      </c>
      <c r="Q133">
        <v>0.97793567688855632</v>
      </c>
    </row>
    <row r="134" spans="2:28" x14ac:dyDescent="0.3">
      <c r="F134" s="1">
        <v>3</v>
      </c>
      <c r="G134" s="1">
        <v>1</v>
      </c>
      <c r="H134" s="1">
        <v>0.85164835164835162</v>
      </c>
      <c r="I134">
        <v>0.85164835164835162</v>
      </c>
      <c r="N134" s="1">
        <v>0.5</v>
      </c>
      <c r="O134" s="1">
        <v>8</v>
      </c>
      <c r="P134" s="1">
        <v>0.88888888888888884</v>
      </c>
      <c r="Q134">
        <v>0.87368421052631584</v>
      </c>
      <c r="T134" s="6"/>
      <c r="U134" s="6"/>
      <c r="V134" s="6"/>
    </row>
    <row r="135" spans="2:28" x14ac:dyDescent="0.3">
      <c r="F135" s="1">
        <v>3</v>
      </c>
      <c r="G135" s="1">
        <v>2</v>
      </c>
      <c r="H135" s="1">
        <v>0.85606604450825552</v>
      </c>
      <c r="I135">
        <v>0.85606604450825552</v>
      </c>
      <c r="N135" s="1">
        <v>0.5</v>
      </c>
      <c r="O135" s="1">
        <v>12</v>
      </c>
      <c r="P135" s="1">
        <v>0.93537414965986387</v>
      </c>
      <c r="Q135">
        <v>0.91111111111111109</v>
      </c>
      <c r="T135" s="1"/>
      <c r="U135" s="1"/>
      <c r="V135" s="1"/>
      <c r="Z135" s="6" t="s">
        <v>36</v>
      </c>
      <c r="AA135" s="6"/>
      <c r="AB135" s="6"/>
    </row>
    <row r="136" spans="2:28" x14ac:dyDescent="0.3">
      <c r="F136" s="1">
        <v>3</v>
      </c>
      <c r="G136" s="1">
        <v>3</v>
      </c>
      <c r="H136" s="1">
        <v>0.86006753904601108</v>
      </c>
      <c r="I136">
        <v>0.86006753904601108</v>
      </c>
      <c r="N136" s="1">
        <v>0.5</v>
      </c>
      <c r="O136" s="1">
        <v>16</v>
      </c>
      <c r="P136" s="1">
        <v>0.96153846153846145</v>
      </c>
      <c r="Q136">
        <v>0.9367816091954021</v>
      </c>
      <c r="T136" s="1"/>
      <c r="Z136" s="1" t="s">
        <v>7</v>
      </c>
      <c r="AA136" s="1" t="s">
        <v>20</v>
      </c>
      <c r="AB136" s="1" t="s">
        <v>21</v>
      </c>
    </row>
    <row r="137" spans="2:28" x14ac:dyDescent="0.3">
      <c r="B137" s="1"/>
      <c r="C137" s="1"/>
      <c r="D137" s="1"/>
      <c r="F137" s="1">
        <v>3.2</v>
      </c>
      <c r="G137" s="1">
        <v>1</v>
      </c>
      <c r="H137" s="1">
        <v>0.85409252669039137</v>
      </c>
      <c r="I137">
        <v>0.85409252669039137</v>
      </c>
      <c r="N137" s="1">
        <v>0.5</v>
      </c>
      <c r="O137" s="1">
        <v>20</v>
      </c>
      <c r="P137" s="1">
        <v>0.99150141643059475</v>
      </c>
      <c r="Q137">
        <v>0.94454887218045092</v>
      </c>
      <c r="T137" s="1"/>
      <c r="Z137" s="1">
        <v>3</v>
      </c>
      <c r="AA137">
        <v>0.88704994192799069</v>
      </c>
      <c r="AB137">
        <v>0.88850174216027866</v>
      </c>
    </row>
    <row r="138" spans="2:28" x14ac:dyDescent="0.3">
      <c r="B138" s="1"/>
      <c r="C138" s="1"/>
      <c r="D138" s="1"/>
      <c r="F138" s="1">
        <v>3.2</v>
      </c>
      <c r="G138" s="1">
        <v>2</v>
      </c>
      <c r="H138" s="1">
        <v>0.85654596100278535</v>
      </c>
      <c r="I138">
        <v>0.85654596100278535</v>
      </c>
      <c r="N138" s="1">
        <v>0.5</v>
      </c>
      <c r="O138" s="1">
        <v>24</v>
      </c>
      <c r="P138" s="1">
        <v>0.9673202614379085</v>
      </c>
      <c r="Q138">
        <v>0.9529505582137161</v>
      </c>
      <c r="T138" s="1"/>
      <c r="Z138" s="1">
        <v>3.2</v>
      </c>
      <c r="AA138">
        <v>0.88185415488976826</v>
      </c>
      <c r="AB138">
        <v>0.88185415488976826</v>
      </c>
    </row>
    <row r="139" spans="2:28" x14ac:dyDescent="0.3">
      <c r="F139" s="1">
        <v>3.2</v>
      </c>
      <c r="G139" s="1">
        <v>3</v>
      </c>
      <c r="H139" s="1">
        <v>0.85922594712455713</v>
      </c>
      <c r="I139">
        <v>0.85922594712455713</v>
      </c>
      <c r="N139" s="1">
        <v>0.5</v>
      </c>
      <c r="O139" s="1">
        <v>28</v>
      </c>
      <c r="P139" s="1">
        <v>0.97694174757281538</v>
      </c>
      <c r="Q139">
        <v>0.95966620305980521</v>
      </c>
      <c r="Z139" s="1">
        <v>3.7</v>
      </c>
      <c r="AA139">
        <v>0.8726315789473682</v>
      </c>
      <c r="AB139">
        <v>0.8726315789473682</v>
      </c>
    </row>
    <row r="140" spans="2:28" x14ac:dyDescent="0.3">
      <c r="F140" s="1">
        <v>3.7</v>
      </c>
      <c r="G140" s="1">
        <v>1</v>
      </c>
      <c r="H140" s="1">
        <v>0.86550060313630872</v>
      </c>
      <c r="I140">
        <v>0.86550060313630872</v>
      </c>
      <c r="N140" s="1">
        <v>0.5</v>
      </c>
      <c r="O140" s="1">
        <v>32</v>
      </c>
      <c r="P140" s="1">
        <v>0.98379629629629617</v>
      </c>
      <c r="Q140">
        <v>0.96734442390634612</v>
      </c>
      <c r="T140" s="6"/>
      <c r="U140" s="6"/>
      <c r="V140" s="6"/>
    </row>
    <row r="141" spans="2:28" x14ac:dyDescent="0.3">
      <c r="F141" s="1">
        <v>3.7</v>
      </c>
      <c r="G141" s="1">
        <v>2</v>
      </c>
      <c r="H141" s="1">
        <v>0.86866567304675235</v>
      </c>
      <c r="I141">
        <v>0.86866567304675235</v>
      </c>
      <c r="N141" s="1">
        <v>0.5</v>
      </c>
      <c r="O141" s="1">
        <v>36</v>
      </c>
      <c r="P141" s="1">
        <v>0.98987626546681662</v>
      </c>
      <c r="Q141">
        <v>0.9706858407079646</v>
      </c>
      <c r="T141" s="1"/>
      <c r="U141" s="1"/>
      <c r="V141" s="1"/>
      <c r="Z141" s="6"/>
      <c r="AA141" s="6"/>
      <c r="AB141" s="6"/>
    </row>
    <row r="142" spans="2:28" x14ac:dyDescent="0.3">
      <c r="F142" s="1">
        <v>3.7</v>
      </c>
      <c r="G142" s="1">
        <v>3</v>
      </c>
      <c r="H142" s="1">
        <v>0.87213758008644748</v>
      </c>
      <c r="I142">
        <v>0.87213758008644748</v>
      </c>
      <c r="N142" s="1">
        <v>0.5</v>
      </c>
      <c r="O142" s="1">
        <v>40</v>
      </c>
      <c r="P142" s="1">
        <v>0.99552572706935127</v>
      </c>
      <c r="Q142">
        <v>0.97089814350225767</v>
      </c>
      <c r="T142" s="1"/>
      <c r="Z142" s="1"/>
      <c r="AA142" s="1"/>
      <c r="AB142" s="1"/>
    </row>
    <row r="143" spans="2:28" x14ac:dyDescent="0.3">
      <c r="F143" s="1"/>
      <c r="G143" s="1"/>
      <c r="H143" s="1"/>
      <c r="N143" s="1">
        <v>0.5</v>
      </c>
      <c r="O143" s="1">
        <v>44</v>
      </c>
      <c r="P143" s="1">
        <v>0.98606645230439438</v>
      </c>
      <c r="Q143">
        <v>0.97516099356025765</v>
      </c>
      <c r="T143" s="1"/>
      <c r="Z143" s="1"/>
    </row>
    <row r="144" spans="2:28" x14ac:dyDescent="0.3">
      <c r="F144" s="1"/>
      <c r="G144" s="1"/>
      <c r="H144" s="1"/>
      <c r="N144" s="1">
        <v>0.5</v>
      </c>
      <c r="O144" s="1">
        <v>48</v>
      </c>
      <c r="P144" s="1">
        <v>1.0073068893528185</v>
      </c>
      <c r="Q144">
        <v>0.97752332485156912</v>
      </c>
      <c r="T144" s="1"/>
      <c r="Z144" s="1"/>
    </row>
    <row r="145" spans="2:26" x14ac:dyDescent="0.3">
      <c r="B145" s="6" t="s">
        <v>32</v>
      </c>
      <c r="C145" s="6"/>
      <c r="D145" s="6"/>
      <c r="F145" s="1"/>
      <c r="G145" s="1"/>
      <c r="H145" s="1"/>
      <c r="N145" s="1">
        <v>0.7</v>
      </c>
      <c r="O145" s="1">
        <v>8</v>
      </c>
      <c r="P145" s="1">
        <v>0.93059936908517349</v>
      </c>
      <c r="Q145">
        <v>0.87563451776649726</v>
      </c>
      <c r="Z145" s="1"/>
    </row>
    <row r="146" spans="2:26" x14ac:dyDescent="0.3">
      <c r="B146" t="s">
        <v>0</v>
      </c>
      <c r="C146" s="1" t="s">
        <v>20</v>
      </c>
      <c r="D146" s="1" t="s">
        <v>21</v>
      </c>
      <c r="N146" s="1">
        <v>0.7</v>
      </c>
      <c r="O146" s="1">
        <v>12</v>
      </c>
      <c r="P146" s="1">
        <v>0.95714285714285707</v>
      </c>
      <c r="Q146">
        <v>0.91320072332730551</v>
      </c>
    </row>
    <row r="147" spans="2:26" x14ac:dyDescent="0.3">
      <c r="B147">
        <v>1</v>
      </c>
      <c r="C147">
        <v>0.85164835164835162</v>
      </c>
      <c r="D147">
        <v>0.85164835164835162</v>
      </c>
      <c r="E147">
        <f>(C147+D147)/2</f>
        <v>0.85164835164835162</v>
      </c>
      <c r="N147" s="1">
        <v>0.7</v>
      </c>
      <c r="O147" s="1">
        <v>16</v>
      </c>
      <c r="P147" s="1">
        <v>0.98944591029023743</v>
      </c>
      <c r="Q147">
        <v>0.93220338983050832</v>
      </c>
    </row>
    <row r="148" spans="2:26" x14ac:dyDescent="0.3">
      <c r="B148">
        <v>2</v>
      </c>
      <c r="C148">
        <v>0.85606604450825552</v>
      </c>
      <c r="D148">
        <v>0.85606604450825552</v>
      </c>
      <c r="E148">
        <f t="shared" ref="E148:E149" si="5">(C148+D148)/2</f>
        <v>0.85606604450825552</v>
      </c>
      <c r="N148" s="1">
        <v>0.7</v>
      </c>
      <c r="O148" s="1">
        <v>20</v>
      </c>
      <c r="P148" s="1">
        <v>0.98984771573604058</v>
      </c>
      <c r="Q148">
        <v>0.98192771084337338</v>
      </c>
    </row>
    <row r="149" spans="2:26" x14ac:dyDescent="0.3">
      <c r="B149">
        <v>3</v>
      </c>
      <c r="C149">
        <v>0.86006753904601108</v>
      </c>
      <c r="D149">
        <v>0.86006753904601108</v>
      </c>
      <c r="E149">
        <f t="shared" si="5"/>
        <v>0.86006753904601108</v>
      </c>
      <c r="N149" s="1">
        <v>0.7</v>
      </c>
      <c r="O149" s="1">
        <v>24</v>
      </c>
      <c r="P149" s="1">
        <v>0.98062953995157376</v>
      </c>
      <c r="Q149">
        <v>0.95734126984126988</v>
      </c>
    </row>
    <row r="150" spans="2:26" x14ac:dyDescent="0.3">
      <c r="N150" s="1">
        <v>0.7</v>
      </c>
      <c r="O150" s="1">
        <v>28</v>
      </c>
      <c r="P150" s="1">
        <v>0.98108747044917255</v>
      </c>
      <c r="Q150">
        <v>0.95955249569707401</v>
      </c>
    </row>
    <row r="151" spans="2:26" x14ac:dyDescent="0.3">
      <c r="N151" s="1">
        <v>0.7</v>
      </c>
      <c r="O151" s="1">
        <v>32</v>
      </c>
      <c r="P151" s="1">
        <v>0.98379629629629617</v>
      </c>
      <c r="Q151">
        <v>0.96712538226299694</v>
      </c>
    </row>
    <row r="152" spans="2:26" x14ac:dyDescent="0.3">
      <c r="N152" s="1">
        <v>0.7</v>
      </c>
      <c r="O152" s="1">
        <v>36</v>
      </c>
      <c r="P152" s="1">
        <v>0.99542334096109841</v>
      </c>
      <c r="Q152">
        <v>0.97117364447494836</v>
      </c>
    </row>
    <row r="153" spans="2:26" x14ac:dyDescent="0.3">
      <c r="N153" s="1">
        <v>0.7</v>
      </c>
      <c r="O153" s="1">
        <v>40</v>
      </c>
      <c r="P153" s="1">
        <v>0.99547511312217196</v>
      </c>
      <c r="Q153">
        <v>0.97386434349719975</v>
      </c>
    </row>
    <row r="154" spans="2:26" x14ac:dyDescent="0.3">
      <c r="N154" s="1">
        <v>0.7</v>
      </c>
      <c r="O154" s="1">
        <v>44</v>
      </c>
      <c r="P154" s="1">
        <v>0.99552572706935127</v>
      </c>
      <c r="Q154">
        <v>0.97609561752988028</v>
      </c>
    </row>
    <row r="155" spans="2:26" x14ac:dyDescent="0.3">
      <c r="N155" s="1">
        <v>0.7</v>
      </c>
      <c r="O155" s="1">
        <v>48</v>
      </c>
      <c r="P155" s="1">
        <v>0.99557522123893805</v>
      </c>
      <c r="Q155">
        <v>0.97797587834294708</v>
      </c>
    </row>
    <row r="156" spans="2:26" x14ac:dyDescent="0.3">
      <c r="N156" s="1">
        <v>0.9</v>
      </c>
      <c r="O156" s="1">
        <v>8</v>
      </c>
      <c r="P156" s="1">
        <v>0.97058823529411753</v>
      </c>
      <c r="Q156">
        <v>0.89494163424124507</v>
      </c>
    </row>
    <row r="157" spans="2:26" x14ac:dyDescent="0.3">
      <c r="N157" s="1">
        <v>0.9</v>
      </c>
      <c r="O157" s="1">
        <v>12</v>
      </c>
      <c r="P157" s="1">
        <v>0.98314606741573018</v>
      </c>
      <c r="Q157">
        <v>0.92485549132947975</v>
      </c>
    </row>
    <row r="158" spans="2:26" x14ac:dyDescent="0.3">
      <c r="N158" s="1">
        <v>0.9</v>
      </c>
      <c r="O158" s="1">
        <v>16</v>
      </c>
      <c r="P158" s="1">
        <v>0.98901098901098894</v>
      </c>
      <c r="Q158">
        <v>0.94252873563218387</v>
      </c>
    </row>
    <row r="159" spans="2:26" x14ac:dyDescent="0.3">
      <c r="N159" s="1">
        <v>0.9</v>
      </c>
      <c r="O159" s="1">
        <v>20</v>
      </c>
      <c r="P159" s="1">
        <v>0.98930481283422456</v>
      </c>
      <c r="Q159">
        <v>0.94285714285714306</v>
      </c>
    </row>
    <row r="160" spans="2:26" x14ac:dyDescent="0.3">
      <c r="N160" s="1">
        <v>0.9</v>
      </c>
      <c r="O160" s="1">
        <v>24</v>
      </c>
      <c r="P160" s="1">
        <v>0.98930481283422456</v>
      </c>
      <c r="Q160">
        <v>0.95901639344262291</v>
      </c>
    </row>
    <row r="161" spans="14:23" x14ac:dyDescent="0.3">
      <c r="N161" s="1">
        <v>0.9</v>
      </c>
      <c r="O161" s="1">
        <v>28</v>
      </c>
      <c r="P161" s="1">
        <v>0.9947643979057591</v>
      </c>
      <c r="Q161">
        <v>0.95714285714285718</v>
      </c>
    </row>
    <row r="162" spans="14:23" x14ac:dyDescent="0.3">
      <c r="N162" s="1">
        <v>0.9</v>
      </c>
      <c r="O162" s="1">
        <v>32</v>
      </c>
      <c r="P162" s="1">
        <v>0.9947643979057591</v>
      </c>
      <c r="Q162">
        <v>0.96815286624203833</v>
      </c>
    </row>
    <row r="163" spans="14:23" x14ac:dyDescent="0.3">
      <c r="N163" s="1">
        <v>0.9</v>
      </c>
      <c r="O163" s="1">
        <v>36</v>
      </c>
      <c r="P163" s="1">
        <v>0.9947643979057591</v>
      </c>
      <c r="Q163">
        <v>0.97126436781609193</v>
      </c>
    </row>
    <row r="164" spans="14:23" x14ac:dyDescent="0.3">
      <c r="N164" s="1">
        <v>0.9</v>
      </c>
      <c r="O164" s="1">
        <v>40</v>
      </c>
      <c r="P164" s="1">
        <v>0.9947643979057591</v>
      </c>
      <c r="Q164">
        <v>0.97395833333333326</v>
      </c>
    </row>
    <row r="165" spans="14:23" x14ac:dyDescent="0.3">
      <c r="N165" s="1">
        <v>0.9</v>
      </c>
      <c r="O165" s="1">
        <v>44</v>
      </c>
      <c r="P165" s="1">
        <v>0.9947643979057591</v>
      </c>
      <c r="Q165">
        <v>0.97607655502392354</v>
      </c>
    </row>
    <row r="166" spans="14:23" x14ac:dyDescent="0.3">
      <c r="N166" s="1">
        <v>0.9</v>
      </c>
      <c r="O166" s="1">
        <v>48</v>
      </c>
      <c r="P166" s="1">
        <v>1.0209424083769634</v>
      </c>
      <c r="Q166">
        <v>0.97442680776014123</v>
      </c>
    </row>
    <row r="175" spans="14:23" x14ac:dyDescent="0.3">
      <c r="N175" s="6" t="s">
        <v>29</v>
      </c>
      <c r="O175" s="6"/>
      <c r="P175" s="6"/>
      <c r="Q175" t="s">
        <v>33</v>
      </c>
      <c r="U175" s="6" t="s">
        <v>34</v>
      </c>
      <c r="V175" s="6"/>
      <c r="W175" s="6"/>
    </row>
    <row r="176" spans="14:23" x14ac:dyDescent="0.3">
      <c r="N176" s="1" t="s">
        <v>1</v>
      </c>
      <c r="O176" s="1" t="s">
        <v>19</v>
      </c>
      <c r="P176" s="1" t="s">
        <v>20</v>
      </c>
      <c r="Q176" t="s">
        <v>21</v>
      </c>
      <c r="T176" s="1" t="s">
        <v>1</v>
      </c>
      <c r="U176" s="1" t="s">
        <v>19</v>
      </c>
      <c r="V176" s="1" t="s">
        <v>20</v>
      </c>
      <c r="W176" t="s">
        <v>21</v>
      </c>
    </row>
    <row r="177" spans="14:23" x14ac:dyDescent="0.3">
      <c r="N177">
        <v>0.1</v>
      </c>
      <c r="O177">
        <v>8</v>
      </c>
      <c r="P177">
        <v>0.85164835164835162</v>
      </c>
      <c r="Q177">
        <v>0.85164835164835162</v>
      </c>
      <c r="R177">
        <f>(P177+Q177)/2</f>
        <v>0.85164835164835162</v>
      </c>
      <c r="T177">
        <v>0.1</v>
      </c>
      <c r="U177">
        <v>8</v>
      </c>
      <c r="V177">
        <v>0.84315503173164108</v>
      </c>
      <c r="W177">
        <v>0.84315503173164108</v>
      </c>
    </row>
    <row r="178" spans="14:23" x14ac:dyDescent="0.3">
      <c r="N178">
        <v>0.1</v>
      </c>
      <c r="O178">
        <v>12</v>
      </c>
      <c r="P178">
        <v>0.90570719602977656</v>
      </c>
      <c r="Q178">
        <v>0.90570719602977656</v>
      </c>
      <c r="R178">
        <f t="shared" ref="R178:R231" si="6">(P178+Q178)/2</f>
        <v>0.90570719602977656</v>
      </c>
      <c r="T178">
        <v>0.1</v>
      </c>
      <c r="U178">
        <v>12</v>
      </c>
      <c r="V178">
        <v>0.89956869993838562</v>
      </c>
      <c r="W178">
        <v>0.89956869993838562</v>
      </c>
    </row>
    <row r="179" spans="14:23" x14ac:dyDescent="0.3">
      <c r="N179">
        <v>0.1</v>
      </c>
      <c r="O179">
        <v>16</v>
      </c>
      <c r="P179">
        <v>0.92749529190207147</v>
      </c>
      <c r="Q179">
        <v>0.93220338983050843</v>
      </c>
      <c r="R179">
        <f t="shared" si="6"/>
        <v>0.92984934086629001</v>
      </c>
      <c r="T179">
        <v>0.1</v>
      </c>
      <c r="U179">
        <v>16</v>
      </c>
      <c r="V179">
        <v>0.92228464419475642</v>
      </c>
      <c r="W179">
        <v>0.9269662921348315</v>
      </c>
    </row>
    <row r="180" spans="14:23" x14ac:dyDescent="0.3">
      <c r="N180">
        <v>0.1</v>
      </c>
      <c r="O180">
        <v>20</v>
      </c>
      <c r="P180">
        <v>0.9422492401215804</v>
      </c>
      <c r="Q180">
        <v>0.9422492401215804</v>
      </c>
      <c r="R180">
        <f t="shared" si="6"/>
        <v>0.9422492401215804</v>
      </c>
      <c r="T180">
        <v>0.1</v>
      </c>
      <c r="U180">
        <v>20</v>
      </c>
      <c r="V180">
        <v>0.93832765796443429</v>
      </c>
      <c r="W180">
        <v>0.93832765796443429</v>
      </c>
    </row>
    <row r="181" spans="14:23" x14ac:dyDescent="0.3">
      <c r="N181">
        <v>0.1</v>
      </c>
      <c r="O181">
        <v>24</v>
      </c>
      <c r="P181">
        <v>0.95146871008939971</v>
      </c>
      <c r="Q181">
        <v>0.95466155810983389</v>
      </c>
      <c r="R181">
        <f t="shared" si="6"/>
        <v>0.9530651340996168</v>
      </c>
      <c r="T181">
        <v>0.1</v>
      </c>
      <c r="U181">
        <v>24</v>
      </c>
      <c r="V181">
        <v>0.94813872096722873</v>
      </c>
      <c r="W181">
        <v>0.95132039452752148</v>
      </c>
    </row>
    <row r="182" spans="14:23" x14ac:dyDescent="0.3">
      <c r="N182">
        <v>0.1</v>
      </c>
      <c r="O182">
        <v>28</v>
      </c>
      <c r="P182">
        <v>0.95803423522915521</v>
      </c>
      <c r="Q182">
        <v>0.95814977973568261</v>
      </c>
      <c r="R182">
        <f t="shared" si="6"/>
        <v>0.95809200748241885</v>
      </c>
      <c r="T182">
        <v>0.1</v>
      </c>
      <c r="U182">
        <v>28</v>
      </c>
      <c r="V182">
        <v>0.95513349848609985</v>
      </c>
      <c r="W182">
        <v>0.95525665660170189</v>
      </c>
    </row>
    <row r="183" spans="14:23" x14ac:dyDescent="0.3">
      <c r="N183">
        <v>0.1</v>
      </c>
      <c r="O183">
        <v>32</v>
      </c>
      <c r="P183">
        <v>0.96538000000000002</v>
      </c>
      <c r="Q183">
        <v>0.96358999999999995</v>
      </c>
      <c r="R183">
        <f t="shared" si="6"/>
        <v>0.96448500000000004</v>
      </c>
      <c r="T183">
        <v>0.1</v>
      </c>
      <c r="U183">
        <v>32</v>
      </c>
      <c r="V183">
        <v>0.96280087527352309</v>
      </c>
      <c r="W183">
        <v>0.96125907990314763</v>
      </c>
    </row>
    <row r="184" spans="14:23" x14ac:dyDescent="0.3">
      <c r="N184">
        <v>0.1</v>
      </c>
      <c r="O184">
        <v>36</v>
      </c>
      <c r="P184">
        <v>0.96894000000000002</v>
      </c>
      <c r="Q184">
        <v>0.96914</v>
      </c>
      <c r="R184">
        <f t="shared" si="6"/>
        <v>0.96904000000000001</v>
      </c>
      <c r="T184">
        <v>0.1</v>
      </c>
      <c r="U184">
        <v>36</v>
      </c>
      <c r="V184">
        <v>0.96661575387300902</v>
      </c>
      <c r="W184">
        <v>0.96683286364621723</v>
      </c>
    </row>
    <row r="185" spans="14:23" x14ac:dyDescent="0.3">
      <c r="N185">
        <v>0.1</v>
      </c>
      <c r="O185">
        <v>40</v>
      </c>
      <c r="P185">
        <v>0.97280999999999995</v>
      </c>
      <c r="Q185">
        <v>0.97397</v>
      </c>
      <c r="R185">
        <f t="shared" si="6"/>
        <v>0.97338999999999998</v>
      </c>
      <c r="T185">
        <v>0.1</v>
      </c>
      <c r="U185">
        <v>40</v>
      </c>
      <c r="V185">
        <v>0.96972095784682377</v>
      </c>
      <c r="W185">
        <v>0.97186700767263423</v>
      </c>
    </row>
    <row r="186" spans="14:23" x14ac:dyDescent="0.3">
      <c r="N186">
        <v>0.1</v>
      </c>
      <c r="O186">
        <v>44</v>
      </c>
      <c r="P186">
        <v>0.97455000000000003</v>
      </c>
      <c r="Q186">
        <v>0.97477000000000003</v>
      </c>
      <c r="R186">
        <f t="shared" si="6"/>
        <v>0.97466000000000008</v>
      </c>
      <c r="T186">
        <v>0.1</v>
      </c>
      <c r="U186">
        <v>44</v>
      </c>
      <c r="V186">
        <v>0.97277676950998193</v>
      </c>
      <c r="W186">
        <v>0.97302158273381301</v>
      </c>
    </row>
    <row r="187" spans="14:23" x14ac:dyDescent="0.3">
      <c r="N187">
        <v>0.1</v>
      </c>
      <c r="O187">
        <v>48</v>
      </c>
      <c r="P187">
        <v>0.97814999999999996</v>
      </c>
      <c r="Q187">
        <v>0.97804000000000002</v>
      </c>
      <c r="R187">
        <f t="shared" si="6"/>
        <v>0.97809499999999994</v>
      </c>
      <c r="T187">
        <v>0.1</v>
      </c>
      <c r="U187">
        <v>48</v>
      </c>
      <c r="V187">
        <v>0.97651006711409394</v>
      </c>
      <c r="W187">
        <v>0.97625767889755921</v>
      </c>
    </row>
    <row r="188" spans="14:23" x14ac:dyDescent="0.3">
      <c r="N188">
        <v>0.3</v>
      </c>
      <c r="O188">
        <v>8</v>
      </c>
      <c r="P188">
        <v>0.86372000000000004</v>
      </c>
      <c r="Q188">
        <v>0.86372000000000004</v>
      </c>
      <c r="R188">
        <f t="shared" si="6"/>
        <v>0.86372000000000004</v>
      </c>
      <c r="T188">
        <v>0.3</v>
      </c>
      <c r="U188">
        <v>8</v>
      </c>
      <c r="V188">
        <v>0.85470085470085466</v>
      </c>
      <c r="W188">
        <v>0.85470085470085466</v>
      </c>
    </row>
    <row r="189" spans="14:23" x14ac:dyDescent="0.3">
      <c r="N189">
        <v>0.3</v>
      </c>
      <c r="O189">
        <v>12</v>
      </c>
      <c r="P189">
        <v>0.91152999999999995</v>
      </c>
      <c r="Q189">
        <v>0.91269999999999996</v>
      </c>
      <c r="R189">
        <f t="shared" si="6"/>
        <v>0.91211500000000001</v>
      </c>
      <c r="T189">
        <v>0.3</v>
      </c>
      <c r="U189">
        <v>12</v>
      </c>
      <c r="V189">
        <v>0.90485695276114442</v>
      </c>
      <c r="W189">
        <v>0.90610636900853569</v>
      </c>
    </row>
    <row r="190" spans="14:23" x14ac:dyDescent="0.3">
      <c r="N190">
        <v>0.3</v>
      </c>
      <c r="O190">
        <v>16</v>
      </c>
      <c r="P190">
        <v>0.93716999999999995</v>
      </c>
      <c r="Q190">
        <v>0.93306</v>
      </c>
      <c r="R190">
        <f t="shared" si="6"/>
        <v>0.93511499999999992</v>
      </c>
      <c r="T190">
        <v>0.3</v>
      </c>
      <c r="U190">
        <v>16</v>
      </c>
      <c r="V190">
        <v>0.93229166666666674</v>
      </c>
      <c r="W190">
        <v>0.9278870398386283</v>
      </c>
    </row>
    <row r="191" spans="14:23" x14ac:dyDescent="0.3">
      <c r="N191">
        <v>0.3</v>
      </c>
      <c r="O191">
        <v>20</v>
      </c>
      <c r="P191">
        <v>0.95279999999999998</v>
      </c>
      <c r="Q191">
        <v>0.94550000000000001</v>
      </c>
      <c r="R191">
        <f t="shared" si="6"/>
        <v>0.94914999999999994</v>
      </c>
      <c r="T191">
        <v>0.3</v>
      </c>
      <c r="U191">
        <v>20</v>
      </c>
      <c r="V191">
        <v>0.94906399651719631</v>
      </c>
      <c r="W191">
        <v>0.94122482531853691</v>
      </c>
    </row>
    <row r="192" spans="14:23" x14ac:dyDescent="0.3">
      <c r="N192">
        <v>0.3</v>
      </c>
      <c r="O192">
        <v>24</v>
      </c>
      <c r="P192">
        <v>0.95906000000000002</v>
      </c>
      <c r="Q192">
        <v>0.95789000000000002</v>
      </c>
      <c r="R192">
        <f t="shared" si="6"/>
        <v>0.95847499999999997</v>
      </c>
      <c r="T192">
        <v>0.3</v>
      </c>
      <c r="U192">
        <v>24</v>
      </c>
      <c r="V192">
        <v>0.95579901775595011</v>
      </c>
      <c r="W192">
        <v>0.9545454545454547</v>
      </c>
    </row>
    <row r="193" spans="14:23" x14ac:dyDescent="0.3">
      <c r="N193">
        <v>0.3</v>
      </c>
      <c r="O193">
        <v>28</v>
      </c>
      <c r="P193">
        <v>0.96740999999999999</v>
      </c>
      <c r="Q193">
        <v>0.96036999999999995</v>
      </c>
      <c r="R193">
        <f t="shared" si="6"/>
        <v>0.96388999999999991</v>
      </c>
      <c r="T193">
        <v>0.3</v>
      </c>
      <c r="U193">
        <v>28</v>
      </c>
      <c r="V193">
        <v>0.96479350033852418</v>
      </c>
      <c r="W193">
        <v>0.95744680851063835</v>
      </c>
    </row>
    <row r="194" spans="14:23" x14ac:dyDescent="0.3">
      <c r="N194">
        <v>0.3</v>
      </c>
      <c r="O194">
        <v>32</v>
      </c>
      <c r="P194">
        <v>0.97636999999999996</v>
      </c>
      <c r="Q194">
        <v>0.96757000000000004</v>
      </c>
      <c r="R194">
        <f t="shared" si="6"/>
        <v>0.97197</v>
      </c>
      <c r="T194">
        <v>0.3</v>
      </c>
      <c r="U194">
        <v>32</v>
      </c>
      <c r="V194">
        <v>0.97394540942928043</v>
      </c>
      <c r="W194">
        <v>0.96495956873315381</v>
      </c>
    </row>
    <row r="195" spans="14:23" x14ac:dyDescent="0.3">
      <c r="N195">
        <v>0.3</v>
      </c>
      <c r="O195">
        <v>36</v>
      </c>
      <c r="P195">
        <v>0.98146999999999995</v>
      </c>
      <c r="Q195">
        <v>0.96852000000000005</v>
      </c>
      <c r="R195">
        <f t="shared" si="6"/>
        <v>0.97499500000000006</v>
      </c>
      <c r="T195">
        <v>0.3</v>
      </c>
      <c r="U195">
        <v>36</v>
      </c>
      <c r="V195">
        <v>0.97948569777520966</v>
      </c>
      <c r="W195">
        <v>0.96618357487922724</v>
      </c>
    </row>
    <row r="196" spans="14:23" x14ac:dyDescent="0.3">
      <c r="N196">
        <v>0.3</v>
      </c>
      <c r="O196">
        <v>40</v>
      </c>
      <c r="P196">
        <v>0.98307</v>
      </c>
      <c r="Q196">
        <v>0.97399999999999998</v>
      </c>
      <c r="R196">
        <f t="shared" si="6"/>
        <v>0.97853499999999993</v>
      </c>
      <c r="T196">
        <v>0.3</v>
      </c>
      <c r="U196">
        <v>40</v>
      </c>
      <c r="V196">
        <v>0.98146128680479827</v>
      </c>
      <c r="W196">
        <v>0.97206949637123397</v>
      </c>
    </row>
    <row r="197" spans="14:23" x14ac:dyDescent="0.3">
      <c r="N197">
        <v>0.3</v>
      </c>
      <c r="O197">
        <v>44</v>
      </c>
      <c r="P197">
        <v>0.98900999999999994</v>
      </c>
      <c r="Q197">
        <v>0.97570999999999997</v>
      </c>
      <c r="R197">
        <f t="shared" si="6"/>
        <v>0.9823599999999999</v>
      </c>
      <c r="T197">
        <v>0.3</v>
      </c>
      <c r="U197">
        <v>44</v>
      </c>
      <c r="V197">
        <v>0.9874608150470221</v>
      </c>
      <c r="W197">
        <v>0.97373737373737368</v>
      </c>
    </row>
    <row r="198" spans="14:23" x14ac:dyDescent="0.3">
      <c r="N198">
        <v>0.3</v>
      </c>
      <c r="O198">
        <v>48</v>
      </c>
      <c r="P198">
        <v>0.9899</v>
      </c>
      <c r="Q198">
        <v>0.97794000000000003</v>
      </c>
      <c r="R198">
        <f t="shared" si="6"/>
        <v>0.98392000000000002</v>
      </c>
      <c r="T198">
        <v>0.3</v>
      </c>
      <c r="U198">
        <v>48</v>
      </c>
      <c r="V198">
        <v>0.98865069356872637</v>
      </c>
      <c r="W198">
        <v>0.97629270113869715</v>
      </c>
    </row>
    <row r="199" spans="14:23" x14ac:dyDescent="0.3">
      <c r="N199">
        <v>0.5</v>
      </c>
      <c r="O199">
        <v>8</v>
      </c>
      <c r="P199">
        <v>0.88888999999999996</v>
      </c>
      <c r="Q199">
        <v>0.87368000000000001</v>
      </c>
      <c r="R199">
        <f t="shared" si="6"/>
        <v>0.88128499999999999</v>
      </c>
      <c r="T199">
        <v>0.5</v>
      </c>
      <c r="U199">
        <v>8</v>
      </c>
      <c r="V199">
        <v>0.87912087912087911</v>
      </c>
      <c r="W199">
        <v>0.86458333333333337</v>
      </c>
    </row>
    <row r="200" spans="14:23" x14ac:dyDescent="0.3">
      <c r="N200">
        <v>0.5</v>
      </c>
      <c r="O200">
        <v>12</v>
      </c>
      <c r="P200">
        <v>0.93537000000000003</v>
      </c>
      <c r="Q200">
        <v>0.91110999999999998</v>
      </c>
      <c r="R200">
        <f t="shared" si="6"/>
        <v>0.92324000000000006</v>
      </c>
      <c r="T200">
        <v>0.5</v>
      </c>
      <c r="U200">
        <v>12</v>
      </c>
      <c r="V200">
        <v>0.92905405405405417</v>
      </c>
      <c r="W200">
        <v>0.90441176470588258</v>
      </c>
    </row>
    <row r="201" spans="14:23" x14ac:dyDescent="0.3">
      <c r="N201">
        <v>0.5</v>
      </c>
      <c r="O201">
        <v>16</v>
      </c>
      <c r="P201">
        <v>0.96153999999999995</v>
      </c>
      <c r="Q201">
        <v>0.93677999999999995</v>
      </c>
      <c r="R201">
        <f t="shared" si="6"/>
        <v>0.94916</v>
      </c>
      <c r="T201">
        <v>0.5</v>
      </c>
      <c r="U201">
        <v>16</v>
      </c>
      <c r="V201">
        <v>0.95729013254786455</v>
      </c>
      <c r="W201">
        <v>0.93142857142857149</v>
      </c>
    </row>
    <row r="202" spans="14:23" x14ac:dyDescent="0.3">
      <c r="N202">
        <v>0.5</v>
      </c>
      <c r="O202">
        <v>20</v>
      </c>
      <c r="P202">
        <v>0.98773999999999995</v>
      </c>
      <c r="Q202">
        <v>0.94455</v>
      </c>
      <c r="R202">
        <f t="shared" si="6"/>
        <v>0.96614500000000003</v>
      </c>
      <c r="T202">
        <v>0.5</v>
      </c>
      <c r="U202">
        <v>20</v>
      </c>
      <c r="V202">
        <v>0.98311027116966054</v>
      </c>
      <c r="W202">
        <v>0.94057089377632197</v>
      </c>
    </row>
    <row r="203" spans="14:23" x14ac:dyDescent="0.3">
      <c r="N203">
        <v>0.5</v>
      </c>
      <c r="O203">
        <v>24</v>
      </c>
      <c r="P203">
        <v>0.96994000000000002</v>
      </c>
      <c r="Q203">
        <v>0.95294999999999996</v>
      </c>
      <c r="R203">
        <f t="shared" si="6"/>
        <v>0.96144499999999999</v>
      </c>
      <c r="T203">
        <v>0.5</v>
      </c>
      <c r="U203">
        <v>24</v>
      </c>
      <c r="V203">
        <v>0.96667195881450585</v>
      </c>
      <c r="W203">
        <v>0.94954310687326193</v>
      </c>
    </row>
    <row r="204" spans="14:23" x14ac:dyDescent="0.3">
      <c r="N204">
        <v>0.5</v>
      </c>
      <c r="O204">
        <v>28</v>
      </c>
      <c r="P204">
        <v>0.97694000000000003</v>
      </c>
      <c r="Q204">
        <v>0.95967000000000002</v>
      </c>
      <c r="R204">
        <f t="shared" si="6"/>
        <v>0.96830499999999997</v>
      </c>
      <c r="T204">
        <v>0.5</v>
      </c>
      <c r="U204">
        <v>28</v>
      </c>
      <c r="V204">
        <v>0.97457627118644063</v>
      </c>
      <c r="W204">
        <v>0.95700416088765605</v>
      </c>
    </row>
    <row r="205" spans="14:23" x14ac:dyDescent="0.3">
      <c r="N205">
        <v>0.5</v>
      </c>
      <c r="O205">
        <v>32</v>
      </c>
      <c r="P205">
        <v>0.98380000000000001</v>
      </c>
      <c r="Q205">
        <v>0.96733999999999998</v>
      </c>
      <c r="R205">
        <f t="shared" si="6"/>
        <v>0.97557000000000005</v>
      </c>
      <c r="T205">
        <v>0.5</v>
      </c>
      <c r="U205">
        <v>32</v>
      </c>
      <c r="V205">
        <v>0.98152424942263294</v>
      </c>
      <c r="W205">
        <v>0.96496619545175166</v>
      </c>
    </row>
    <row r="206" spans="14:23" x14ac:dyDescent="0.3">
      <c r="N206">
        <v>0.5</v>
      </c>
      <c r="O206">
        <v>36</v>
      </c>
      <c r="P206">
        <v>0.98987999999999998</v>
      </c>
      <c r="Q206">
        <v>0.97069000000000005</v>
      </c>
      <c r="R206">
        <f t="shared" si="6"/>
        <v>0.98028500000000007</v>
      </c>
      <c r="T206">
        <v>0.5</v>
      </c>
      <c r="U206">
        <v>36</v>
      </c>
      <c r="V206">
        <v>0.98765432098765449</v>
      </c>
      <c r="W206">
        <v>0.96854304635761601</v>
      </c>
    </row>
    <row r="207" spans="14:23" x14ac:dyDescent="0.3">
      <c r="N207">
        <v>0.5</v>
      </c>
      <c r="O207">
        <v>40</v>
      </c>
      <c r="P207">
        <v>0.99553000000000003</v>
      </c>
      <c r="Q207">
        <v>0.97089999999999999</v>
      </c>
      <c r="R207">
        <f t="shared" si="6"/>
        <v>0.98321499999999995</v>
      </c>
      <c r="T207">
        <v>0.5</v>
      </c>
      <c r="U207">
        <v>40</v>
      </c>
      <c r="V207">
        <v>0.99330357142857151</v>
      </c>
      <c r="W207">
        <v>0.96895343014521784</v>
      </c>
    </row>
    <row r="208" spans="14:23" x14ac:dyDescent="0.3">
      <c r="N208">
        <v>0.5</v>
      </c>
      <c r="O208">
        <v>44</v>
      </c>
      <c r="P208">
        <v>0.98751</v>
      </c>
      <c r="Q208">
        <v>0.97516000000000003</v>
      </c>
      <c r="R208">
        <f t="shared" si="6"/>
        <v>0.98133500000000007</v>
      </c>
      <c r="T208">
        <v>0.5</v>
      </c>
      <c r="U208">
        <v>44</v>
      </c>
      <c r="V208">
        <v>0.98448368111289464</v>
      </c>
      <c r="W208">
        <v>0.97314666054624743</v>
      </c>
    </row>
    <row r="209" spans="14:23" x14ac:dyDescent="0.3">
      <c r="N209">
        <v>0.5</v>
      </c>
      <c r="O209">
        <v>48</v>
      </c>
      <c r="P209">
        <v>0.99043999999999999</v>
      </c>
      <c r="Q209">
        <v>0.97751999999999994</v>
      </c>
      <c r="R209">
        <f t="shared" si="6"/>
        <v>0.98397999999999997</v>
      </c>
      <c r="T209">
        <v>0.5</v>
      </c>
      <c r="U209">
        <v>48</v>
      </c>
      <c r="V209">
        <v>0.98965085982282441</v>
      </c>
      <c r="W209">
        <v>0.97586790855207461</v>
      </c>
    </row>
    <row r="210" spans="14:23" x14ac:dyDescent="0.3">
      <c r="N210">
        <v>0.7</v>
      </c>
      <c r="O210">
        <v>8</v>
      </c>
      <c r="P210">
        <v>0.93059999999999998</v>
      </c>
      <c r="Q210">
        <v>0.87563000000000002</v>
      </c>
      <c r="R210">
        <f t="shared" si="6"/>
        <v>0.903115</v>
      </c>
      <c r="T210">
        <v>0.7</v>
      </c>
      <c r="U210">
        <v>8</v>
      </c>
      <c r="V210">
        <v>0.92043681747269901</v>
      </c>
      <c r="W210">
        <v>0.86574654956085306</v>
      </c>
    </row>
    <row r="211" spans="14:23" x14ac:dyDescent="0.3">
      <c r="N211">
        <v>0.7</v>
      </c>
      <c r="O211">
        <v>12</v>
      </c>
      <c r="P211">
        <v>0.95713999999999999</v>
      </c>
      <c r="Q211">
        <v>0.91320000000000001</v>
      </c>
      <c r="R211">
        <f t="shared" si="6"/>
        <v>0.93517000000000006</v>
      </c>
      <c r="T211">
        <v>0.7</v>
      </c>
      <c r="U211">
        <v>12</v>
      </c>
      <c r="V211">
        <v>0.95035460992907816</v>
      </c>
      <c r="W211">
        <v>0.90664272890484732</v>
      </c>
    </row>
    <row r="212" spans="14:23" x14ac:dyDescent="0.3">
      <c r="N212">
        <v>0.7</v>
      </c>
      <c r="O212">
        <v>16</v>
      </c>
      <c r="P212">
        <v>0.98945000000000005</v>
      </c>
      <c r="Q212">
        <v>0.93220000000000003</v>
      </c>
      <c r="R212">
        <f t="shared" si="6"/>
        <v>0.96082500000000004</v>
      </c>
      <c r="T212">
        <v>0.7</v>
      </c>
      <c r="U212">
        <v>16</v>
      </c>
      <c r="V212">
        <v>0.98425196850393692</v>
      </c>
      <c r="W212">
        <v>0.9269662921348315</v>
      </c>
    </row>
    <row r="213" spans="14:23" x14ac:dyDescent="0.3">
      <c r="N213">
        <v>0.7</v>
      </c>
      <c r="O213">
        <v>20</v>
      </c>
      <c r="P213">
        <v>0.98985000000000001</v>
      </c>
      <c r="Q213">
        <v>0.94987999999999995</v>
      </c>
      <c r="R213">
        <f t="shared" si="6"/>
        <v>0.96986499999999998</v>
      </c>
      <c r="T213">
        <v>0.7</v>
      </c>
      <c r="U213">
        <v>20</v>
      </c>
      <c r="V213">
        <v>0.9762202753441801</v>
      </c>
      <c r="W213">
        <v>0.94547563805104384</v>
      </c>
    </row>
    <row r="214" spans="14:23" x14ac:dyDescent="0.3">
      <c r="N214">
        <v>0.7</v>
      </c>
      <c r="O214">
        <v>24</v>
      </c>
      <c r="P214">
        <v>0.98063</v>
      </c>
      <c r="Q214">
        <v>0.95733999999999997</v>
      </c>
      <c r="R214">
        <f t="shared" si="6"/>
        <v>0.96898499999999999</v>
      </c>
      <c r="T214">
        <v>0.7</v>
      </c>
      <c r="U214">
        <v>24</v>
      </c>
      <c r="V214">
        <v>0.9770808202653799</v>
      </c>
      <c r="W214">
        <v>0.95355731225296458</v>
      </c>
    </row>
    <row r="215" spans="14:23" x14ac:dyDescent="0.3">
      <c r="N215">
        <v>0.7</v>
      </c>
      <c r="O215">
        <v>28</v>
      </c>
      <c r="P215">
        <v>0.98109000000000002</v>
      </c>
      <c r="Q215">
        <v>0.95955000000000001</v>
      </c>
      <c r="R215">
        <f t="shared" si="6"/>
        <v>0.97032000000000007</v>
      </c>
      <c r="T215">
        <v>0.7</v>
      </c>
      <c r="U215">
        <v>28</v>
      </c>
      <c r="V215">
        <v>0.97762073027090701</v>
      </c>
      <c r="W215">
        <v>0.95667095667095681</v>
      </c>
    </row>
    <row r="216" spans="14:23" x14ac:dyDescent="0.3">
      <c r="N216">
        <v>0.7</v>
      </c>
      <c r="O216">
        <v>32</v>
      </c>
      <c r="P216">
        <v>0.98380000000000001</v>
      </c>
      <c r="Q216">
        <v>0.96713000000000005</v>
      </c>
      <c r="R216">
        <f t="shared" si="6"/>
        <v>0.97546500000000003</v>
      </c>
      <c r="T216">
        <v>0.7</v>
      </c>
      <c r="U216">
        <v>32</v>
      </c>
      <c r="V216">
        <v>0.98152424942263294</v>
      </c>
      <c r="W216">
        <v>0.96417682926829273</v>
      </c>
    </row>
    <row r="217" spans="14:23" x14ac:dyDescent="0.3">
      <c r="N217">
        <v>0.7</v>
      </c>
      <c r="O217">
        <v>36</v>
      </c>
      <c r="P217">
        <v>0.99541999999999997</v>
      </c>
      <c r="Q217">
        <v>0.97116999999999998</v>
      </c>
      <c r="R217">
        <f t="shared" si="6"/>
        <v>0.98329500000000003</v>
      </c>
      <c r="T217">
        <v>0.7</v>
      </c>
      <c r="U217">
        <v>36</v>
      </c>
      <c r="V217">
        <v>0.99315068493150693</v>
      </c>
      <c r="W217">
        <v>0.96884628551865792</v>
      </c>
    </row>
    <row r="218" spans="14:23" x14ac:dyDescent="0.3">
      <c r="N218">
        <v>0.7</v>
      </c>
      <c r="O218">
        <v>40</v>
      </c>
      <c r="P218">
        <v>0.99548000000000003</v>
      </c>
      <c r="Q218">
        <v>0.97385999999999995</v>
      </c>
      <c r="R218">
        <f t="shared" si="6"/>
        <v>0.98466999999999993</v>
      </c>
      <c r="T218">
        <v>0.7</v>
      </c>
      <c r="U218">
        <v>40</v>
      </c>
      <c r="V218">
        <v>0.99322799097065473</v>
      </c>
      <c r="W218">
        <v>0.97174790437752245</v>
      </c>
    </row>
    <row r="219" spans="14:23" x14ac:dyDescent="0.3">
      <c r="N219">
        <v>0.7</v>
      </c>
      <c r="O219">
        <v>44</v>
      </c>
      <c r="P219">
        <v>0.99553000000000003</v>
      </c>
      <c r="Q219">
        <v>0.97609999999999997</v>
      </c>
      <c r="R219">
        <f t="shared" si="6"/>
        <v>0.985815</v>
      </c>
      <c r="T219">
        <v>0.7</v>
      </c>
      <c r="U219">
        <v>44</v>
      </c>
      <c r="V219">
        <v>0.99330357142857151</v>
      </c>
      <c r="W219">
        <v>0.97415506958250475</v>
      </c>
    </row>
    <row r="220" spans="14:23" x14ac:dyDescent="0.3">
      <c r="N220">
        <v>0.7</v>
      </c>
      <c r="O220">
        <v>48</v>
      </c>
      <c r="P220">
        <v>0.99558000000000002</v>
      </c>
      <c r="Q220">
        <v>0.97797999999999996</v>
      </c>
      <c r="R220">
        <f t="shared" si="6"/>
        <v>0.98677999999999999</v>
      </c>
      <c r="T220">
        <v>0.7</v>
      </c>
      <c r="U220">
        <v>48</v>
      </c>
      <c r="V220">
        <v>0.99337748344370869</v>
      </c>
      <c r="W220">
        <v>0.97618424496205192</v>
      </c>
    </row>
    <row r="221" spans="14:23" x14ac:dyDescent="0.3">
      <c r="N221">
        <v>0.9</v>
      </c>
      <c r="O221">
        <v>8</v>
      </c>
      <c r="P221">
        <v>0.97058999999999995</v>
      </c>
      <c r="Q221">
        <v>0.89493999999999996</v>
      </c>
      <c r="R221">
        <f t="shared" si="6"/>
        <v>0.93276499999999996</v>
      </c>
      <c r="T221">
        <v>0.9</v>
      </c>
      <c r="U221">
        <v>8</v>
      </c>
      <c r="V221">
        <v>0.95652173913043481</v>
      </c>
      <c r="W221">
        <v>0.88291746641074864</v>
      </c>
    </row>
    <row r="222" spans="14:23" x14ac:dyDescent="0.3">
      <c r="N222">
        <v>0.9</v>
      </c>
      <c r="O222">
        <v>12</v>
      </c>
      <c r="P222">
        <v>0.98314999999999997</v>
      </c>
      <c r="Q222">
        <v>0.92486000000000002</v>
      </c>
      <c r="R222">
        <f t="shared" si="6"/>
        <v>0.95400499999999999</v>
      </c>
      <c r="T222">
        <v>0.9</v>
      </c>
      <c r="U222">
        <v>12</v>
      </c>
      <c r="V222">
        <v>0.97493036211699169</v>
      </c>
      <c r="W222">
        <v>0.91690544412607455</v>
      </c>
    </row>
    <row r="223" spans="14:23" x14ac:dyDescent="0.3">
      <c r="N223">
        <v>0.9</v>
      </c>
      <c r="O223">
        <v>16</v>
      </c>
      <c r="P223">
        <v>0.98900999999999994</v>
      </c>
      <c r="Q223">
        <v>0.94252999999999998</v>
      </c>
      <c r="R223">
        <f t="shared" si="6"/>
        <v>0.96577000000000002</v>
      </c>
      <c r="T223">
        <v>0.9</v>
      </c>
      <c r="U223">
        <v>16</v>
      </c>
      <c r="V223">
        <v>0.98360655737704927</v>
      </c>
      <c r="W223">
        <v>0.93714285714285728</v>
      </c>
    </row>
    <row r="224" spans="14:23" x14ac:dyDescent="0.3">
      <c r="N224">
        <v>0.9</v>
      </c>
      <c r="O224">
        <v>20</v>
      </c>
      <c r="P224">
        <v>0.98929999999999996</v>
      </c>
      <c r="Q224">
        <v>0.94286000000000003</v>
      </c>
      <c r="R224">
        <f t="shared" si="6"/>
        <v>0.96608000000000005</v>
      </c>
      <c r="T224">
        <v>0.9</v>
      </c>
      <c r="U224">
        <v>20</v>
      </c>
      <c r="V224">
        <v>0.98404255319148959</v>
      </c>
      <c r="W224">
        <v>0.93838862559241731</v>
      </c>
    </row>
    <row r="225" spans="14:23" x14ac:dyDescent="0.3">
      <c r="N225">
        <v>0.9</v>
      </c>
      <c r="O225">
        <v>24</v>
      </c>
      <c r="P225">
        <v>0.99136000000000002</v>
      </c>
      <c r="Q225">
        <v>0.95901999999999998</v>
      </c>
      <c r="R225">
        <f t="shared" si="6"/>
        <v>0.97519</v>
      </c>
      <c r="T225">
        <v>0.9</v>
      </c>
      <c r="U225">
        <v>24</v>
      </c>
      <c r="V225">
        <v>0.98404255319148959</v>
      </c>
      <c r="W225">
        <v>0.95510204081632666</v>
      </c>
    </row>
    <row r="226" spans="14:23" x14ac:dyDescent="0.3">
      <c r="N226">
        <v>0.9</v>
      </c>
      <c r="O226">
        <v>28</v>
      </c>
      <c r="P226">
        <v>0.99475999999999998</v>
      </c>
      <c r="Q226">
        <v>0.95713999999999999</v>
      </c>
      <c r="R226">
        <f t="shared" si="6"/>
        <v>0.97594999999999998</v>
      </c>
      <c r="T226">
        <v>0.9</v>
      </c>
      <c r="U226">
        <v>28</v>
      </c>
      <c r="V226">
        <v>0.9921671018276762</v>
      </c>
      <c r="W226">
        <v>0.9537366548042705</v>
      </c>
    </row>
    <row r="227" spans="14:23" x14ac:dyDescent="0.3">
      <c r="N227">
        <v>0.9</v>
      </c>
      <c r="O227">
        <v>32</v>
      </c>
      <c r="P227">
        <v>0.99475999999999998</v>
      </c>
      <c r="Q227">
        <v>0.96814999999999996</v>
      </c>
      <c r="R227">
        <f t="shared" si="6"/>
        <v>0.98145499999999997</v>
      </c>
      <c r="T227">
        <v>0.9</v>
      </c>
      <c r="U227">
        <v>32</v>
      </c>
      <c r="V227">
        <v>0.9921671018276762</v>
      </c>
      <c r="W227">
        <v>0.96507936507936509</v>
      </c>
    </row>
    <row r="228" spans="14:23" x14ac:dyDescent="0.3">
      <c r="N228">
        <v>0.9</v>
      </c>
      <c r="O228">
        <v>36</v>
      </c>
      <c r="P228">
        <v>0.99475999999999998</v>
      </c>
      <c r="Q228">
        <v>0.97126000000000001</v>
      </c>
      <c r="R228">
        <f t="shared" si="6"/>
        <v>0.98300999999999994</v>
      </c>
      <c r="T228">
        <v>0.9</v>
      </c>
      <c r="U228">
        <v>36</v>
      </c>
      <c r="V228">
        <v>0.9921671018276762</v>
      </c>
      <c r="W228">
        <v>0.96848137535816603</v>
      </c>
    </row>
    <row r="229" spans="14:23" x14ac:dyDescent="0.3">
      <c r="N229">
        <v>0.9</v>
      </c>
      <c r="O229">
        <v>40</v>
      </c>
      <c r="P229">
        <v>0.99475999999999998</v>
      </c>
      <c r="Q229">
        <v>0.97396000000000005</v>
      </c>
      <c r="R229">
        <f t="shared" si="6"/>
        <v>0.98436000000000001</v>
      </c>
      <c r="T229">
        <v>0.9</v>
      </c>
      <c r="U229">
        <v>40</v>
      </c>
      <c r="V229">
        <v>0.9921671018276762</v>
      </c>
      <c r="W229">
        <v>0.97142857142857164</v>
      </c>
    </row>
    <row r="230" spans="14:23" x14ac:dyDescent="0.3">
      <c r="N230">
        <v>0.9</v>
      </c>
      <c r="O230">
        <v>44</v>
      </c>
      <c r="P230">
        <v>0.99475999999999998</v>
      </c>
      <c r="Q230">
        <v>0.97607999999999995</v>
      </c>
      <c r="R230">
        <f t="shared" si="6"/>
        <v>0.98541999999999996</v>
      </c>
      <c r="T230">
        <v>0.9</v>
      </c>
      <c r="U230">
        <v>44</v>
      </c>
      <c r="V230">
        <v>0.9921671018276762</v>
      </c>
      <c r="W230">
        <v>0.97374701670644415</v>
      </c>
    </row>
    <row r="231" spans="14:23" x14ac:dyDescent="0.3">
      <c r="N231">
        <v>0.9</v>
      </c>
      <c r="O231">
        <v>48</v>
      </c>
      <c r="P231">
        <v>0.99490000000000001</v>
      </c>
      <c r="Q231">
        <v>0.97443000000000002</v>
      </c>
      <c r="R231">
        <f t="shared" si="6"/>
        <v>0.98466500000000001</v>
      </c>
      <c r="T231">
        <v>0.9</v>
      </c>
      <c r="U231">
        <v>48</v>
      </c>
      <c r="V231">
        <v>0.99279281691983312</v>
      </c>
      <c r="W231">
        <v>0.97271126760563398</v>
      </c>
    </row>
  </sheetData>
  <mergeCells count="30">
    <mergeCell ref="Z135:AB135"/>
    <mergeCell ref="Z141:AB141"/>
    <mergeCell ref="Z128:AB128"/>
    <mergeCell ref="A1:C1"/>
    <mergeCell ref="L1:N1"/>
    <mergeCell ref="A21:C21"/>
    <mergeCell ref="F75:H75"/>
    <mergeCell ref="J75:L75"/>
    <mergeCell ref="B57:D57"/>
    <mergeCell ref="G1:I1"/>
    <mergeCell ref="C46:E46"/>
    <mergeCell ref="K45:L45"/>
    <mergeCell ref="M45:N45"/>
    <mergeCell ref="B75:D75"/>
    <mergeCell ref="N175:P175"/>
    <mergeCell ref="B145:D145"/>
    <mergeCell ref="F132:H132"/>
    <mergeCell ref="V73:Y73"/>
    <mergeCell ref="P20:R20"/>
    <mergeCell ref="P28:R28"/>
    <mergeCell ref="T28:V28"/>
    <mergeCell ref="P36:R36"/>
    <mergeCell ref="N110:P110"/>
    <mergeCell ref="G94:J94"/>
    <mergeCell ref="N75:P75"/>
    <mergeCell ref="B94:D94"/>
    <mergeCell ref="T128:V128"/>
    <mergeCell ref="T134:V134"/>
    <mergeCell ref="T140:V140"/>
    <mergeCell ref="U175:W1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wurenbin</dc:creator>
  <cp:lastModifiedBy>仁彬 吴</cp:lastModifiedBy>
  <dcterms:created xsi:type="dcterms:W3CDTF">2015-06-05T18:19:34Z</dcterms:created>
  <dcterms:modified xsi:type="dcterms:W3CDTF">2024-11-08T18:07:50Z</dcterms:modified>
</cp:coreProperties>
</file>