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桌面\吴仁彬 毕业论文\"/>
    </mc:Choice>
  </mc:AlternateContent>
  <xr:revisionPtr revIDLastSave="0" documentId="13_ncr:1_{64E54AB1-C422-4A32-BBB8-C9584CABEA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494" i="1" l="1"/>
  <c r="AE526" i="1"/>
  <c r="AE527" i="1"/>
  <c r="AF527" i="1" s="1"/>
  <c r="AE528" i="1"/>
  <c r="AF528" i="1" s="1"/>
  <c r="AE529" i="1"/>
  <c r="AE530" i="1"/>
  <c r="AE531" i="1"/>
  <c r="AF531" i="1" s="1"/>
  <c r="AE532" i="1"/>
  <c r="AF532" i="1" s="1"/>
  <c r="AE533" i="1"/>
  <c r="AF533" i="1" s="1"/>
  <c r="AE534" i="1"/>
  <c r="AF534" i="1" s="1"/>
  <c r="AE535" i="1"/>
  <c r="AF535" i="1" s="1"/>
  <c r="AE536" i="1"/>
  <c r="AF536" i="1" s="1"/>
  <c r="AE537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F560" i="1" s="1"/>
  <c r="AE561" i="1"/>
  <c r="AF561" i="1" s="1"/>
  <c r="AE562" i="1"/>
  <c r="AF562" i="1" s="1"/>
  <c r="AE563" i="1"/>
  <c r="AF563" i="1" s="1"/>
  <c r="AE564" i="1"/>
  <c r="AF564" i="1" s="1"/>
  <c r="AE565" i="1"/>
  <c r="AE566" i="1"/>
  <c r="AE567" i="1"/>
  <c r="AE568" i="1"/>
  <c r="AE569" i="1"/>
  <c r="AE570" i="1"/>
  <c r="AE571" i="1"/>
  <c r="AE572" i="1"/>
  <c r="AE573" i="1"/>
  <c r="AF573" i="1" s="1"/>
  <c r="AE574" i="1"/>
  <c r="AF574" i="1" s="1"/>
  <c r="AE575" i="1"/>
  <c r="AE525" i="1"/>
  <c r="AF567" i="1"/>
  <c r="AF568" i="1"/>
  <c r="AF569" i="1"/>
  <c r="AF570" i="1"/>
  <c r="AF571" i="1"/>
  <c r="AF572" i="1"/>
  <c r="AE627" i="1"/>
  <c r="AF627" i="1" s="1"/>
  <c r="AE626" i="1"/>
  <c r="AF626" i="1" s="1"/>
  <c r="AE625" i="1"/>
  <c r="AF625" i="1" s="1"/>
  <c r="AE624" i="1"/>
  <c r="AF624" i="1" s="1"/>
  <c r="AE623" i="1"/>
  <c r="AF623" i="1" s="1"/>
  <c r="AE622" i="1"/>
  <c r="AF622" i="1" s="1"/>
  <c r="AE621" i="1"/>
  <c r="AF621" i="1" s="1"/>
  <c r="AE620" i="1"/>
  <c r="AF620" i="1" s="1"/>
  <c r="AE619" i="1"/>
  <c r="AF619" i="1" s="1"/>
  <c r="AE618" i="1"/>
  <c r="AF618" i="1" s="1"/>
  <c r="AE617" i="1"/>
  <c r="AF617" i="1" s="1"/>
  <c r="AE616" i="1"/>
  <c r="AF616" i="1" s="1"/>
  <c r="AE615" i="1"/>
  <c r="AF615" i="1" s="1"/>
  <c r="AE614" i="1"/>
  <c r="AF614" i="1" s="1"/>
  <c r="AE613" i="1"/>
  <c r="AF613" i="1" s="1"/>
  <c r="AE612" i="1"/>
  <c r="AF612" i="1" s="1"/>
  <c r="AE611" i="1"/>
  <c r="AF611" i="1" s="1"/>
  <c r="AE610" i="1"/>
  <c r="AF610" i="1" s="1"/>
  <c r="AE609" i="1"/>
  <c r="AF609" i="1" s="1"/>
  <c r="AE608" i="1"/>
  <c r="AF608" i="1" s="1"/>
  <c r="AE607" i="1"/>
  <c r="AF607" i="1" s="1"/>
  <c r="AE606" i="1"/>
  <c r="AF606" i="1" s="1"/>
  <c r="AE605" i="1"/>
  <c r="AF605" i="1" s="1"/>
  <c r="AE604" i="1"/>
  <c r="AF604" i="1" s="1"/>
  <c r="AE603" i="1"/>
  <c r="AF603" i="1" s="1"/>
  <c r="AE602" i="1"/>
  <c r="AF602" i="1" s="1"/>
  <c r="AE601" i="1"/>
  <c r="AF601" i="1" s="1"/>
  <c r="AE600" i="1"/>
  <c r="AF600" i="1" s="1"/>
  <c r="AE599" i="1"/>
  <c r="AF599" i="1" s="1"/>
  <c r="AE598" i="1"/>
  <c r="AF598" i="1" s="1"/>
  <c r="AE597" i="1"/>
  <c r="AF597" i="1" s="1"/>
  <c r="AC596" i="1"/>
  <c r="AE596" i="1" s="1"/>
  <c r="AF596" i="1" s="1"/>
  <c r="AE595" i="1"/>
  <c r="AF595" i="1" s="1"/>
  <c r="AE594" i="1"/>
  <c r="AF594" i="1" s="1"/>
  <c r="AE593" i="1"/>
  <c r="AF593" i="1" s="1"/>
  <c r="AE592" i="1"/>
  <c r="AF592" i="1" s="1"/>
  <c r="AE591" i="1"/>
  <c r="AF591" i="1" s="1"/>
  <c r="AE590" i="1"/>
  <c r="AF590" i="1" s="1"/>
  <c r="AE589" i="1"/>
  <c r="AF589" i="1" s="1"/>
  <c r="AE588" i="1"/>
  <c r="AF588" i="1" s="1"/>
  <c r="AE587" i="1"/>
  <c r="AF587" i="1" s="1"/>
  <c r="AE586" i="1"/>
  <c r="AF586" i="1" s="1"/>
  <c r="AE585" i="1"/>
  <c r="AF585" i="1" s="1"/>
  <c r="AE584" i="1"/>
  <c r="AF584" i="1" s="1"/>
  <c r="AE583" i="1"/>
  <c r="AF583" i="1" s="1"/>
  <c r="AF526" i="1"/>
  <c r="AF529" i="1"/>
  <c r="AF565" i="1"/>
  <c r="AF566" i="1"/>
  <c r="AF575" i="1"/>
  <c r="AE577" i="1"/>
  <c r="AE576" i="1"/>
  <c r="V536" i="1"/>
  <c r="AF530" i="1"/>
  <c r="AM585" i="1"/>
  <c r="AM571" i="1"/>
  <c r="AM557" i="1"/>
  <c r="AM581" i="1"/>
  <c r="AM590" i="1"/>
  <c r="AM589" i="1"/>
  <c r="AM588" i="1"/>
  <c r="AM587" i="1"/>
  <c r="AM586" i="1"/>
  <c r="AM584" i="1"/>
  <c r="AM583" i="1"/>
  <c r="AM582" i="1"/>
  <c r="AM580" i="1"/>
  <c r="AM579" i="1"/>
  <c r="AM578" i="1"/>
  <c r="AM577" i="1"/>
  <c r="AM576" i="1"/>
  <c r="AM575" i="1"/>
  <c r="AM574" i="1"/>
  <c r="AM573" i="1"/>
  <c r="AM572" i="1"/>
  <c r="AM570" i="1"/>
  <c r="AM569" i="1"/>
  <c r="AM568" i="1"/>
  <c r="AM567" i="1"/>
  <c r="AM566" i="1"/>
  <c r="AM565" i="1"/>
  <c r="AM564" i="1"/>
  <c r="AM563" i="1"/>
  <c r="AM562" i="1"/>
  <c r="AK561" i="1"/>
  <c r="AM561" i="1" s="1"/>
  <c r="AM560" i="1"/>
  <c r="AM559" i="1"/>
  <c r="AM558" i="1"/>
  <c r="AM556" i="1"/>
  <c r="AM555" i="1"/>
  <c r="AM554" i="1"/>
  <c r="AM553" i="1"/>
  <c r="AM552" i="1"/>
  <c r="AM551" i="1"/>
  <c r="AM550" i="1"/>
  <c r="AM549" i="1"/>
  <c r="AM533" i="1"/>
  <c r="AM544" i="1"/>
  <c r="AM543" i="1"/>
  <c r="AM542" i="1"/>
  <c r="AM541" i="1"/>
  <c r="AM540" i="1"/>
  <c r="AM539" i="1"/>
  <c r="AM538" i="1"/>
  <c r="AM537" i="1"/>
  <c r="AM536" i="1"/>
  <c r="AM535" i="1"/>
  <c r="AM534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K507" i="1"/>
  <c r="AM507" i="1" s="1"/>
  <c r="R661" i="1"/>
  <c r="R659" i="1"/>
  <c r="R657" i="1"/>
  <c r="R655" i="1"/>
  <c r="R653" i="1"/>
  <c r="R651" i="1"/>
  <c r="R649" i="1"/>
  <c r="R647" i="1"/>
  <c r="R662" i="1"/>
  <c r="R660" i="1"/>
  <c r="R658" i="1"/>
  <c r="R656" i="1"/>
  <c r="R654" i="1"/>
  <c r="R652" i="1"/>
  <c r="R650" i="1"/>
  <c r="R648" i="1"/>
  <c r="R646" i="1"/>
  <c r="R640" i="1"/>
  <c r="R638" i="1"/>
  <c r="R636" i="1"/>
  <c r="R634" i="1"/>
  <c r="R632" i="1"/>
  <c r="R630" i="1"/>
  <c r="R628" i="1"/>
  <c r="R626" i="1"/>
  <c r="R641" i="1" l="1"/>
  <c r="R639" i="1"/>
  <c r="R637" i="1"/>
  <c r="R635" i="1"/>
  <c r="R633" i="1"/>
  <c r="R631" i="1"/>
  <c r="R629" i="1"/>
  <c r="R627" i="1"/>
  <c r="R625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37" i="1" l="1"/>
  <c r="AF539" i="1"/>
  <c r="AF540" i="1"/>
  <c r="AC538" i="1" l="1"/>
  <c r="AE538" i="1" s="1"/>
  <c r="U555" i="1"/>
  <c r="U554" i="1"/>
  <c r="U553" i="1"/>
  <c r="U549" i="1"/>
  <c r="U547" i="1"/>
  <c r="U545" i="1"/>
  <c r="U543" i="1"/>
  <c r="U541" i="1"/>
  <c r="AF525" i="1"/>
  <c r="AF541" i="1"/>
  <c r="AF542" i="1"/>
  <c r="AF558" i="1"/>
  <c r="AF559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494" i="1"/>
  <c r="AF538" i="1" l="1"/>
  <c r="AC428" i="1"/>
  <c r="AC444" i="1"/>
  <c r="AC443" i="1"/>
  <c r="AC435" i="1"/>
  <c r="AC434" i="1"/>
  <c r="AC433" i="1"/>
  <c r="AC432" i="1"/>
  <c r="AC431" i="1"/>
  <c r="AC430" i="1"/>
  <c r="AC429" i="1"/>
  <c r="AC441" i="1"/>
  <c r="B513" i="1" l="1"/>
  <c r="B514" i="1"/>
  <c r="B511" i="1"/>
  <c r="B506" i="1"/>
  <c r="B505" i="1"/>
  <c r="B503" i="1"/>
  <c r="B496" i="1"/>
  <c r="B495" i="1"/>
  <c r="B493" i="1"/>
  <c r="B487" i="1"/>
  <c r="B485" i="1"/>
  <c r="B483" i="1"/>
  <c r="B477" i="1" l="1"/>
  <c r="B476" i="1"/>
  <c r="B474" i="1"/>
  <c r="B459" i="1"/>
  <c r="B458" i="1"/>
  <c r="B457" i="1"/>
  <c r="B456" i="1"/>
  <c r="B468" i="1" l="1"/>
  <c r="B467" i="1" l="1"/>
  <c r="B465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B450" i="1"/>
  <c r="B449" i="1"/>
  <c r="B448" i="1"/>
  <c r="B447" i="1"/>
  <c r="B441" i="1"/>
  <c r="B440" i="1"/>
  <c r="B439" i="1"/>
  <c r="B438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D432" i="1"/>
  <c r="D431" i="1"/>
  <c r="D430" i="1"/>
  <c r="D429" i="1"/>
  <c r="B430" i="1" l="1"/>
  <c r="B429" i="1"/>
  <c r="B428" i="1"/>
  <c r="B423" i="1" l="1"/>
  <c r="B422" i="1"/>
  <c r="B421" i="1"/>
  <c r="B420" i="1"/>
  <c r="B419" i="1"/>
  <c r="N160" i="1" l="1"/>
  <c r="N159" i="1"/>
  <c r="N158" i="1"/>
  <c r="N157" i="1"/>
  <c r="AH299" i="1" l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D43" i="1"/>
  <c r="B43" i="1"/>
  <c r="D42" i="1"/>
  <c r="B42" i="1"/>
  <c r="D40" i="1"/>
  <c r="B40" i="1"/>
  <c r="N34" i="1"/>
  <c r="L34" i="1"/>
  <c r="N33" i="1"/>
  <c r="L33" i="1"/>
  <c r="N32" i="1"/>
  <c r="L32" i="1"/>
  <c r="N31" i="1"/>
  <c r="L31" i="1"/>
  <c r="L30" i="1"/>
  <c r="AH247" i="1"/>
  <c r="AH246" i="1"/>
  <c r="AH242" i="1"/>
  <c r="AH229" i="1"/>
  <c r="AH234" i="1"/>
  <c r="AH232" i="1"/>
  <c r="AH224" i="1"/>
  <c r="AH225" i="1"/>
  <c r="AH249" i="1"/>
  <c r="AH248" i="1"/>
  <c r="AH239" i="1"/>
  <c r="AI284" i="1" l="1"/>
  <c r="AI294" i="1"/>
  <c r="AI274" i="1"/>
  <c r="AI279" i="1"/>
  <c r="AI264" i="1"/>
  <c r="AI299" i="1"/>
  <c r="AI269" i="1"/>
  <c r="AI289" i="1"/>
  <c r="AH245" i="1"/>
  <c r="AI249" i="1" s="1"/>
  <c r="AH244" i="1"/>
  <c r="AH243" i="1"/>
  <c r="AH241" i="1"/>
  <c r="AH240" i="1"/>
  <c r="AH238" i="1"/>
  <c r="AH237" i="1"/>
  <c r="AH236" i="1"/>
  <c r="AH235" i="1"/>
  <c r="AH233" i="1"/>
  <c r="AH231" i="1"/>
  <c r="AH230" i="1"/>
  <c r="AH228" i="1"/>
  <c r="AH227" i="1"/>
  <c r="AH226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8" i="1"/>
  <c r="AH207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I234" i="1" l="1"/>
  <c r="AI219" i="1"/>
  <c r="AI224" i="1"/>
  <c r="AI194" i="1"/>
  <c r="AI229" i="1"/>
  <c r="AI239" i="1"/>
  <c r="AI214" i="1"/>
  <c r="AI244" i="1"/>
  <c r="AI176" i="1"/>
  <c r="AI164" i="1"/>
  <c r="AI182" i="1"/>
  <c r="AI170" i="1"/>
  <c r="AI188" i="1"/>
  <c r="AI200" i="1"/>
  <c r="B177" i="1"/>
  <c r="AJ126" i="1"/>
  <c r="AJ118" i="1"/>
  <c r="AJ112" i="1"/>
  <c r="AI131" i="1"/>
  <c r="AI121" i="1"/>
  <c r="AI112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66" i="1" l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B32" i="1" l="1"/>
  <c r="B31" i="1"/>
  <c r="L41" i="1"/>
  <c r="B33" i="1"/>
  <c r="N358" i="1"/>
  <c r="N357" i="1"/>
  <c r="N356" i="1"/>
  <c r="N364" i="1"/>
  <c r="N363" i="1"/>
  <c r="D405" i="1"/>
  <c r="D404" i="1"/>
  <c r="D398" i="1"/>
  <c r="D397" i="1"/>
  <c r="D391" i="1"/>
  <c r="D390" i="1"/>
  <c r="D384" i="1"/>
  <c r="D383" i="1"/>
  <c r="D377" i="1"/>
  <c r="D376" i="1"/>
  <c r="D370" i="1"/>
  <c r="D369" i="1"/>
  <c r="B371" i="1"/>
  <c r="B370" i="1"/>
  <c r="B369" i="1"/>
  <c r="D32" i="1"/>
  <c r="D31" i="1"/>
  <c r="D33" i="1"/>
  <c r="W166" i="1" l="1"/>
  <c r="U166" i="1"/>
  <c r="W164" i="1"/>
  <c r="U164" i="1"/>
  <c r="W165" i="1"/>
  <c r="U165" i="1"/>
  <c r="W159" i="1"/>
  <c r="U159" i="1"/>
  <c r="W158" i="1"/>
  <c r="U158" i="1"/>
  <c r="W157" i="1"/>
  <c r="U157" i="1"/>
  <c r="W152" i="1"/>
  <c r="U152" i="1"/>
  <c r="W150" i="1"/>
  <c r="U150" i="1"/>
  <c r="W151" i="1"/>
  <c r="U151" i="1"/>
  <c r="W145" i="1"/>
  <c r="U145" i="1"/>
  <c r="W144" i="1"/>
  <c r="U144" i="1"/>
  <c r="W143" i="1"/>
  <c r="U143" i="1"/>
  <c r="W173" i="1"/>
  <c r="U173" i="1"/>
  <c r="W172" i="1"/>
  <c r="U172" i="1"/>
  <c r="W171" i="1"/>
  <c r="U171" i="1"/>
  <c r="W180" i="1"/>
  <c r="U180" i="1"/>
  <c r="W178" i="1"/>
  <c r="U178" i="1"/>
  <c r="W179" i="1"/>
  <c r="U179" i="1"/>
  <c r="D160" i="1"/>
  <c r="D142" i="1"/>
  <c r="D133" i="1"/>
  <c r="D124" i="1"/>
  <c r="D106" i="1"/>
  <c r="D283" i="1" l="1"/>
  <c r="D265" i="1"/>
  <c r="D247" i="1"/>
  <c r="U131" i="1"/>
  <c r="U132" i="1"/>
  <c r="U133" i="1"/>
  <c r="U124" i="1"/>
  <c r="U126" i="1"/>
  <c r="U125" i="1"/>
  <c r="U117" i="1"/>
  <c r="U119" i="1"/>
  <c r="U118" i="1"/>
  <c r="U110" i="1"/>
  <c r="U112" i="1"/>
  <c r="U111" i="1"/>
  <c r="U103" i="1"/>
  <c r="U105" i="1"/>
  <c r="U104" i="1"/>
  <c r="U96" i="1"/>
  <c r="U98" i="1"/>
  <c r="U97" i="1"/>
  <c r="U91" i="1"/>
  <c r="U90" i="1"/>
  <c r="U89" i="1"/>
  <c r="U88" i="1"/>
  <c r="U87" i="1"/>
  <c r="U86" i="1"/>
  <c r="U85" i="1"/>
  <c r="U84" i="1"/>
  <c r="U83" i="1"/>
  <c r="U82" i="1"/>
  <c r="U81" i="1"/>
  <c r="N151" i="1"/>
  <c r="N150" i="1"/>
  <c r="N149" i="1"/>
  <c r="N142" i="1"/>
  <c r="N141" i="1"/>
  <c r="N140" i="1"/>
  <c r="N133" i="1"/>
  <c r="N132" i="1"/>
  <c r="N131" i="1"/>
  <c r="N124" i="1"/>
  <c r="N123" i="1"/>
  <c r="N122" i="1"/>
  <c r="N115" i="1"/>
  <c r="N114" i="1"/>
  <c r="N113" i="1"/>
  <c r="N106" i="1"/>
  <c r="N105" i="1"/>
  <c r="N104" i="1"/>
  <c r="N97" i="1"/>
  <c r="N96" i="1"/>
  <c r="N95" i="1"/>
  <c r="N88" i="1"/>
  <c r="N87" i="1"/>
  <c r="N86" i="1"/>
  <c r="N79" i="1"/>
  <c r="N78" i="1"/>
  <c r="N77" i="1"/>
  <c r="N70" i="1"/>
  <c r="N69" i="1"/>
  <c r="N68" i="1"/>
  <c r="N67" i="1"/>
  <c r="N61" i="1"/>
  <c r="N60" i="1"/>
  <c r="N59" i="1"/>
  <c r="N58" i="1"/>
  <c r="N49" i="1"/>
  <c r="N52" i="1"/>
  <c r="N51" i="1"/>
  <c r="N50" i="1"/>
  <c r="N43" i="1"/>
  <c r="N42" i="1"/>
  <c r="N41" i="1"/>
  <c r="N40" i="1"/>
  <c r="N25" i="1"/>
  <c r="N24" i="1"/>
  <c r="N23" i="1"/>
  <c r="N22" i="1"/>
  <c r="N216" i="1" l="1"/>
  <c r="N215" i="1"/>
  <c r="N198" i="1"/>
  <c r="N197" i="1"/>
  <c r="N189" i="1"/>
  <c r="N188" i="1"/>
  <c r="N187" i="1"/>
  <c r="N180" i="1"/>
  <c r="N179" i="1"/>
  <c r="N178" i="1"/>
  <c r="D229" i="1"/>
  <c r="D228" i="1"/>
  <c r="D220" i="1"/>
  <c r="D219" i="1"/>
  <c r="D218" i="1"/>
  <c r="D211" i="1"/>
  <c r="D210" i="1"/>
  <c r="D202" i="1"/>
  <c r="D201" i="1"/>
  <c r="D200" i="1"/>
  <c r="N207" i="1" l="1"/>
  <c r="N206" i="1"/>
  <c r="N205" i="1"/>
  <c r="L270" i="1"/>
  <c r="L269" i="1"/>
  <c r="L268" i="1"/>
  <c r="L267" i="1"/>
  <c r="L266" i="1"/>
  <c r="L261" i="1"/>
  <c r="L260" i="1"/>
  <c r="L259" i="1"/>
  <c r="L258" i="1"/>
  <c r="L257" i="1"/>
  <c r="L252" i="1"/>
  <c r="L251" i="1"/>
  <c r="L250" i="1"/>
  <c r="L249" i="1"/>
  <c r="L248" i="1"/>
  <c r="L243" i="1"/>
  <c r="L242" i="1"/>
  <c r="L241" i="1"/>
  <c r="L240" i="1"/>
  <c r="L239" i="1"/>
  <c r="L234" i="1"/>
  <c r="L233" i="1"/>
  <c r="L232" i="1"/>
  <c r="L231" i="1"/>
  <c r="L230" i="1"/>
  <c r="L225" i="1"/>
  <c r="L224" i="1"/>
  <c r="L223" i="1"/>
  <c r="L222" i="1"/>
  <c r="L221" i="1"/>
  <c r="L216" i="1"/>
  <c r="L215" i="1"/>
  <c r="L214" i="1"/>
  <c r="L213" i="1"/>
  <c r="L212" i="1"/>
  <c r="L207" i="1"/>
  <c r="L206" i="1"/>
  <c r="L205" i="1"/>
  <c r="L204" i="1"/>
  <c r="L203" i="1"/>
  <c r="L198" i="1"/>
  <c r="L197" i="1"/>
  <c r="L196" i="1"/>
  <c r="L195" i="1"/>
  <c r="L194" i="1"/>
  <c r="L189" i="1"/>
  <c r="L188" i="1"/>
  <c r="L187" i="1"/>
  <c r="L186" i="1"/>
  <c r="L185" i="1"/>
  <c r="L180" i="1"/>
  <c r="L179" i="1"/>
  <c r="L178" i="1"/>
  <c r="L177" i="1"/>
  <c r="L176" i="1"/>
  <c r="B283" i="1"/>
  <c r="B282" i="1"/>
  <c r="B281" i="1"/>
  <c r="B280" i="1"/>
  <c r="B279" i="1"/>
  <c r="B274" i="1"/>
  <c r="B273" i="1"/>
  <c r="B272" i="1"/>
  <c r="B271" i="1"/>
  <c r="B270" i="1"/>
  <c r="B265" i="1"/>
  <c r="B264" i="1"/>
  <c r="B263" i="1"/>
  <c r="B262" i="1"/>
  <c r="B261" i="1"/>
  <c r="B256" i="1"/>
  <c r="B255" i="1"/>
  <c r="B254" i="1"/>
  <c r="B253" i="1"/>
  <c r="B252" i="1"/>
  <c r="B247" i="1" l="1"/>
  <c r="B246" i="1"/>
  <c r="B245" i="1"/>
  <c r="B244" i="1"/>
  <c r="B243" i="1"/>
  <c r="B238" i="1"/>
  <c r="B237" i="1"/>
  <c r="B236" i="1"/>
  <c r="B235" i="1"/>
  <c r="B234" i="1"/>
  <c r="B229" i="1" l="1"/>
  <c r="B228" i="1"/>
  <c r="B227" i="1"/>
  <c r="B226" i="1"/>
  <c r="B225" i="1"/>
  <c r="B220" i="1"/>
  <c r="B219" i="1"/>
  <c r="B218" i="1"/>
  <c r="B217" i="1"/>
  <c r="B216" i="1"/>
  <c r="B211" i="1"/>
  <c r="B210" i="1"/>
  <c r="B209" i="1"/>
  <c r="B208" i="1"/>
  <c r="B207" i="1"/>
  <c r="B202" i="1"/>
  <c r="B201" i="1"/>
  <c r="B200" i="1"/>
  <c r="B199" i="1"/>
  <c r="B198" i="1"/>
  <c r="D193" i="1"/>
  <c r="D192" i="1"/>
  <c r="D191" i="1"/>
  <c r="B193" i="1"/>
  <c r="B192" i="1"/>
  <c r="B191" i="1"/>
  <c r="B190" i="1"/>
  <c r="B189" i="1"/>
  <c r="D88" i="1"/>
  <c r="D87" i="1"/>
  <c r="D86" i="1"/>
  <c r="D79" i="1"/>
  <c r="D78" i="1"/>
  <c r="D77" i="1"/>
  <c r="D70" i="1"/>
  <c r="D69" i="1"/>
  <c r="D68" i="1"/>
  <c r="D337" i="1" l="1"/>
  <c r="D336" i="1"/>
  <c r="D328" i="1"/>
  <c r="D327" i="1"/>
  <c r="D326" i="1"/>
  <c r="D319" i="1"/>
  <c r="D318" i="1"/>
  <c r="D317" i="1"/>
  <c r="D310" i="1"/>
  <c r="D309" i="1"/>
  <c r="D308" i="1"/>
  <c r="D301" i="1"/>
  <c r="D300" i="1"/>
  <c r="D299" i="1"/>
  <c r="B364" i="1"/>
  <c r="B360" i="1"/>
  <c r="B363" i="1"/>
  <c r="B362" i="1"/>
  <c r="B361" i="1"/>
  <c r="D364" i="1"/>
  <c r="D363" i="1"/>
  <c r="D362" i="1"/>
  <c r="D361" i="1"/>
  <c r="B355" i="1" l="1"/>
  <c r="B354" i="1"/>
  <c r="B353" i="1"/>
  <c r="B352" i="1"/>
  <c r="B351" i="1"/>
  <c r="B310" i="1"/>
  <c r="B309" i="1"/>
  <c r="B308" i="1"/>
  <c r="B307" i="1"/>
  <c r="B306" i="1"/>
  <c r="B301" i="1"/>
  <c r="B300" i="1"/>
  <c r="B299" i="1"/>
  <c r="B298" i="1"/>
  <c r="B297" i="1"/>
  <c r="B183" i="1" l="1"/>
  <c r="B182" i="1"/>
  <c r="B181" i="1"/>
  <c r="B180" i="1"/>
  <c r="B179" i="1"/>
  <c r="B178" i="1"/>
  <c r="B176" i="1"/>
  <c r="B175" i="1"/>
  <c r="B174" i="1"/>
  <c r="B173" i="1"/>
  <c r="B172" i="1"/>
  <c r="B171" i="1"/>
  <c r="U76" i="1" l="1"/>
  <c r="U75" i="1"/>
  <c r="U74" i="1"/>
  <c r="U73" i="1"/>
  <c r="U72" i="1"/>
  <c r="U71" i="1"/>
  <c r="U70" i="1"/>
  <c r="U69" i="1"/>
  <c r="U68" i="1"/>
  <c r="U67" i="1"/>
  <c r="U66" i="1"/>
  <c r="U61" i="1"/>
  <c r="U60" i="1"/>
  <c r="U59" i="1"/>
  <c r="U58" i="1"/>
  <c r="U57" i="1"/>
  <c r="U56" i="1"/>
  <c r="U55" i="1"/>
  <c r="U54" i="1"/>
  <c r="U53" i="1"/>
  <c r="U52" i="1"/>
  <c r="U51" i="1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B160" i="1"/>
  <c r="B159" i="1"/>
  <c r="B158" i="1"/>
  <c r="B157" i="1"/>
  <c r="B156" i="1"/>
  <c r="B151" i="1"/>
  <c r="B150" i="1"/>
  <c r="B149" i="1"/>
  <c r="B148" i="1"/>
  <c r="B147" i="1"/>
  <c r="B142" i="1"/>
  <c r="B141" i="1"/>
  <c r="B140" i="1"/>
  <c r="B139" i="1"/>
  <c r="B138" i="1"/>
  <c r="B133" i="1"/>
  <c r="B132" i="1"/>
  <c r="B131" i="1"/>
  <c r="B130" i="1"/>
  <c r="B129" i="1"/>
  <c r="B124" i="1"/>
  <c r="B123" i="1"/>
  <c r="B122" i="1"/>
  <c r="B121" i="1"/>
  <c r="B120" i="1"/>
  <c r="B115" i="1"/>
  <c r="B114" i="1"/>
  <c r="B113" i="1"/>
  <c r="B112" i="1"/>
  <c r="B111" i="1"/>
  <c r="B106" i="1"/>
  <c r="B105" i="1"/>
  <c r="B103" i="1"/>
  <c r="B104" i="1"/>
  <c r="B102" i="1"/>
  <c r="B97" i="1"/>
  <c r="B96" i="1"/>
  <c r="B95" i="1"/>
  <c r="B94" i="1"/>
  <c r="B93" i="1"/>
  <c r="B88" i="1"/>
  <c r="B87" i="1"/>
  <c r="B86" i="1"/>
  <c r="B85" i="1"/>
  <c r="B84" i="1"/>
  <c r="B79" i="1"/>
  <c r="B78" i="1"/>
  <c r="B77" i="1"/>
  <c r="B76" i="1"/>
  <c r="B75" i="1"/>
  <c r="B70" i="1"/>
  <c r="B69" i="1"/>
  <c r="B68" i="1"/>
  <c r="B67" i="1"/>
  <c r="B66" i="1"/>
  <c r="U46" i="1" l="1"/>
  <c r="U45" i="1"/>
  <c r="U44" i="1"/>
  <c r="U43" i="1"/>
  <c r="U42" i="1"/>
  <c r="U41" i="1"/>
  <c r="U40" i="1"/>
  <c r="U39" i="1"/>
  <c r="U38" i="1"/>
  <c r="U37" i="1"/>
  <c r="U36" i="1"/>
  <c r="U31" i="1" l="1"/>
  <c r="U30" i="1"/>
  <c r="U29" i="1"/>
  <c r="U28" i="1"/>
  <c r="U27" i="1"/>
  <c r="U26" i="1"/>
  <c r="U25" i="1"/>
  <c r="U24" i="1"/>
  <c r="U23" i="1"/>
  <c r="U22" i="1"/>
  <c r="U21" i="1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L151" i="1"/>
  <c r="L150" i="1"/>
  <c r="L149" i="1"/>
  <c r="L148" i="1"/>
  <c r="L147" i="1"/>
  <c r="L142" i="1"/>
  <c r="L141" i="1"/>
  <c r="L140" i="1"/>
  <c r="L139" i="1"/>
  <c r="L138" i="1"/>
  <c r="L133" i="1"/>
  <c r="L132" i="1"/>
  <c r="L131" i="1"/>
  <c r="L130" i="1"/>
  <c r="L129" i="1"/>
  <c r="L124" i="1"/>
  <c r="L123" i="1"/>
  <c r="L122" i="1"/>
  <c r="L121" i="1"/>
  <c r="L120" i="1"/>
  <c r="L115" i="1"/>
  <c r="L114" i="1"/>
  <c r="L113" i="1"/>
  <c r="L112" i="1"/>
  <c r="L111" i="1"/>
  <c r="L106" i="1"/>
  <c r="L105" i="1"/>
  <c r="L104" i="1"/>
  <c r="L103" i="1"/>
  <c r="L102" i="1"/>
  <c r="L97" i="1"/>
  <c r="L96" i="1"/>
  <c r="L95" i="1"/>
  <c r="L94" i="1"/>
  <c r="L93" i="1"/>
  <c r="L88" i="1"/>
  <c r="L87" i="1"/>
  <c r="L86" i="1"/>
  <c r="L85" i="1"/>
  <c r="L84" i="1"/>
  <c r="L79" i="1"/>
  <c r="L78" i="1"/>
  <c r="L77" i="1"/>
  <c r="L76" i="1"/>
  <c r="L75" i="1"/>
  <c r="L70" i="1"/>
  <c r="L69" i="1"/>
  <c r="L68" i="1"/>
  <c r="L67" i="1"/>
  <c r="L66" i="1"/>
  <c r="L3" i="1"/>
  <c r="L61" i="1"/>
  <c r="L60" i="1"/>
  <c r="L59" i="1"/>
  <c r="L58" i="1"/>
  <c r="L57" i="1"/>
  <c r="L52" i="1" l="1"/>
  <c r="L51" i="1"/>
  <c r="L50" i="1"/>
  <c r="L49" i="1"/>
  <c r="L48" i="1"/>
  <c r="L43" i="1"/>
  <c r="L42" i="1"/>
  <c r="L40" i="1"/>
  <c r="L39" i="1"/>
  <c r="L23" i="1"/>
  <c r="L22" i="1"/>
  <c r="L21" i="1"/>
  <c r="B61" i="1" l="1"/>
  <c r="B60" i="1"/>
  <c r="B59" i="1"/>
  <c r="D7" i="1" l="1"/>
  <c r="D6" i="1"/>
  <c r="D5" i="1"/>
  <c r="D3" i="1"/>
  <c r="D4" i="1"/>
  <c r="B4" i="1" l="1"/>
  <c r="D13" i="1"/>
  <c r="D12" i="1" l="1"/>
  <c r="L12" i="1" l="1"/>
  <c r="L11" i="1"/>
  <c r="L10" i="1"/>
  <c r="L9" i="1"/>
  <c r="L8" i="1"/>
  <c r="L7" i="1"/>
  <c r="L6" i="1"/>
  <c r="L5" i="1"/>
  <c r="L4" i="1"/>
  <c r="B14" i="1"/>
  <c r="B16" i="1"/>
  <c r="B15" i="1"/>
  <c r="B13" i="1"/>
  <c r="B12" i="1"/>
  <c r="D26" i="1" l="1"/>
  <c r="D25" i="1"/>
  <c r="D24" i="1"/>
  <c r="D23" i="1"/>
  <c r="D22" i="1"/>
  <c r="B3" i="1"/>
  <c r="B7" i="1" l="1"/>
  <c r="B6" i="1"/>
  <c r="B5" i="1"/>
</calcChain>
</file>

<file path=xl/sharedStrings.xml><?xml version="1.0" encoding="utf-8"?>
<sst xmlns="http://schemas.openxmlformats.org/spreadsheetml/2006/main" count="590" uniqueCount="137">
  <si>
    <t>相关系数R0</t>
    <phoneticPr fontId="1" type="noConversion"/>
  </si>
  <si>
    <t>RAW上界</t>
    <phoneticPr fontId="1" type="noConversion"/>
  </si>
  <si>
    <t>RAW下界</t>
    <phoneticPr fontId="1" type="noConversion"/>
  </si>
  <si>
    <t>10根构件,pbi=0.05,单个潜在脆性破坏构件，可靠度指标=2.5，2.8</t>
    <phoneticPr fontId="1" type="noConversion"/>
  </si>
  <si>
    <t>30根构件,pbi=0.05,单个潜在脆性破坏构件，可靠度指标=2.5，2.8</t>
    <phoneticPr fontId="1" type="noConversion"/>
  </si>
  <si>
    <t>20根构件,pbi=0.3,单个潜在脆性破坏构件，可靠度指标=2.5，2.8</t>
    <phoneticPr fontId="1" type="noConversion"/>
  </si>
  <si>
    <t>相关系数为0.1,pbi=0.3,单个潜在脆性破坏构件，可靠度指标=2.5，2.8</t>
    <phoneticPr fontId="1" type="noConversion"/>
  </si>
  <si>
    <t>构件总数</t>
    <phoneticPr fontId="1" type="noConversion"/>
  </si>
  <si>
    <t>10根构件,pbi=0.05,单个潜在脆性破坏构件，相关系数0.5</t>
    <phoneticPr fontId="1" type="noConversion"/>
  </si>
  <si>
    <t>可靠度指标</t>
    <phoneticPr fontId="1" type="noConversion"/>
  </si>
  <si>
    <t>20根构件,pbi=0.05,单个潜在脆性破坏构件，相关系数0.5</t>
    <phoneticPr fontId="1" type="noConversion"/>
  </si>
  <si>
    <t>10根构件,pbi=0.05,单个潜在脆性破坏构件，可靠度指标=1.5，2.0</t>
    <phoneticPr fontId="1" type="noConversion"/>
  </si>
  <si>
    <t>9根构件,pbi=0.05,单个潜在脆性破坏构件，可靠度指标=1.5，2.0</t>
    <phoneticPr fontId="1" type="noConversion"/>
  </si>
  <si>
    <t>RAW上界(相）</t>
    <phoneticPr fontId="1" type="noConversion"/>
  </si>
  <si>
    <t>11根构件,pbi=0.05,单个潜在脆性破坏构件，可靠度指标=1.5，2.0</t>
    <phoneticPr fontId="1" type="noConversion"/>
  </si>
  <si>
    <t>12根构件,pbi=0.05,单个潜在脆性破坏构件，可靠度指标=1.5，2.0</t>
    <phoneticPr fontId="1" type="noConversion"/>
  </si>
  <si>
    <t>13根构件,pbi=0.05,单个潜在脆性破坏构件，可靠度指标=1.5，2.0</t>
    <phoneticPr fontId="1" type="noConversion"/>
  </si>
  <si>
    <t>17根构件,pbi=0.05,单个潜在脆性破坏构件，可靠度指标=1.5，2.0</t>
    <phoneticPr fontId="1" type="noConversion"/>
  </si>
  <si>
    <t>21根构件,pbi=0.05,单个潜在脆性破坏构件，可靠度指标=1.5，2.0</t>
    <phoneticPr fontId="1" type="noConversion"/>
  </si>
  <si>
    <t>25根构件,pbi=0.05,单个潜在脆性破坏构件，可靠度指标=1.5，2.0</t>
    <phoneticPr fontId="1" type="noConversion"/>
  </si>
  <si>
    <t>29根构件,pbi=0.05,单个潜在脆性破坏构件，可靠度指标=1.5，2.0</t>
    <phoneticPr fontId="1" type="noConversion"/>
  </si>
  <si>
    <t>33根构件,pbi=0.05,单个潜在脆性破坏构件，可靠度指标=1.5，2.0</t>
    <phoneticPr fontId="1" type="noConversion"/>
  </si>
  <si>
    <t>37根构件,pbi=0.05,单个潜在脆性破坏构件，可靠度指标=1.5，2.0</t>
    <phoneticPr fontId="1" type="noConversion"/>
  </si>
  <si>
    <t>41根构件,pbi=0.05,单个潜在脆性破坏构件，可靠度指标=1.5，2.0</t>
    <phoneticPr fontId="1" type="noConversion"/>
  </si>
  <si>
    <t>45根构件,pbi=0.05,单个潜在脆性破坏构件，可靠度指标=1.5，2.0</t>
    <phoneticPr fontId="1" type="noConversion"/>
  </si>
  <si>
    <t>49根构件,pbi=0.05,单个潜在脆性破坏构件，可靠度指标=1.5，2.0</t>
    <phoneticPr fontId="1" type="noConversion"/>
  </si>
  <si>
    <t>pbi=0.05,单个潜在脆性破坏构件，可靠度指标=1.5，2.0</t>
    <phoneticPr fontId="1" type="noConversion"/>
  </si>
  <si>
    <t>相关系数为0.3,pbi=0.05,单个潜在脆性破坏构件，可靠度指标=1.5，2.0</t>
    <phoneticPr fontId="1" type="noConversion"/>
  </si>
  <si>
    <t>相关系数为0.1,pbi=0.05,单个潜在脆性破坏构件，可靠度指标=1.5，2.0</t>
    <phoneticPr fontId="1" type="noConversion"/>
  </si>
  <si>
    <t>9根构件,pbi=0.05,单个潜在脆性破坏构件，可靠度指标=2.0，2.5</t>
    <phoneticPr fontId="1" type="noConversion"/>
  </si>
  <si>
    <t>13根构件,pbi=0.05,单个潜在脆性破坏构件，可靠度指标=2.0，2.5</t>
    <phoneticPr fontId="1" type="noConversion"/>
  </si>
  <si>
    <t>17根构件,pbi=0.05,单个潜在脆性破坏构件，可靠度指标=2.0，2.5</t>
    <phoneticPr fontId="1" type="noConversion"/>
  </si>
  <si>
    <t>21根构件,pbi=0.05,单个潜在脆性破坏构件，可靠度指标=2.0，2.5</t>
    <phoneticPr fontId="1" type="noConversion"/>
  </si>
  <si>
    <t>25根构件,pbi=0.05,单个潜在脆性破坏构件，可靠度指标=2.0，2.5</t>
    <phoneticPr fontId="1" type="noConversion"/>
  </si>
  <si>
    <t>29根构件,pbi=0.05,单个潜在脆性破坏构件，可靠度指标=2.0，2.5</t>
    <phoneticPr fontId="1" type="noConversion"/>
  </si>
  <si>
    <t>33根构件,pbi=0.05,单个潜在脆性破坏构件，可靠度指标=2.0，2.5</t>
    <phoneticPr fontId="1" type="noConversion"/>
  </si>
  <si>
    <t>37根构件,pbi=0.05,单个潜在脆性破坏构件，可靠度指标=2.0，2.5</t>
    <phoneticPr fontId="1" type="noConversion"/>
  </si>
  <si>
    <t>41根构件,pbi=0.05,单个潜在脆性破坏构件，可靠度指标=2.0，2.5</t>
    <phoneticPr fontId="1" type="noConversion"/>
  </si>
  <si>
    <t>45根构件,pbi=0.05,单个潜在脆性破坏构件，可靠度指标=2.0，2.5</t>
    <phoneticPr fontId="1" type="noConversion"/>
  </si>
  <si>
    <t>49根构件,pbi=0.05,单个潜在脆性破坏构件，可靠度指标=2.0，2.5</t>
    <phoneticPr fontId="1" type="noConversion"/>
  </si>
  <si>
    <t>pbi=0.05,单个潜在脆性破坏构件，可靠度指标=2.0，2.5</t>
    <phoneticPr fontId="1" type="noConversion"/>
  </si>
  <si>
    <t>相关系数为0.1,pbi=0.05,单个潜在脆性破坏构件，可靠度指标=2.0，2.5</t>
    <phoneticPr fontId="1" type="noConversion"/>
  </si>
  <si>
    <t>相关系数为0.3,pbi=0.05,单个潜在脆性破坏构件，可靠度指标=2.0，2.5</t>
    <phoneticPr fontId="1" type="noConversion"/>
  </si>
  <si>
    <t>MC</t>
    <phoneticPr fontId="1" type="noConversion"/>
  </si>
  <si>
    <t>相关系数为0.9,pbi=0.05,单个潜在脆性破坏构件，可靠度指标=2.5，2.8</t>
    <phoneticPr fontId="1" type="noConversion"/>
  </si>
  <si>
    <t>10根构件,无潜在脆性破坏构件，可靠度指标=2.5，2.8,任意构件的重要性程度</t>
    <phoneticPr fontId="1" type="noConversion"/>
  </si>
  <si>
    <t>20根构件,无潜在脆性破坏构件，可靠度指标=2.5，2.8,任意构件的重要性程度</t>
    <phoneticPr fontId="1" type="noConversion"/>
  </si>
  <si>
    <t>30根构件,无潜在脆性破坏构件，可靠度指标=2.5，2.8,任意构件的重要性程度</t>
    <phoneticPr fontId="1" type="noConversion"/>
  </si>
  <si>
    <t>10根构件,无潜在脆性破坏构件，可靠度指标=1.5，2.0,任意构件的重要性程度</t>
    <phoneticPr fontId="1" type="noConversion"/>
  </si>
  <si>
    <t>21根构件,无潜在脆性破坏构件，可靠度指标=2.5，2.8,任意构件的重要性程度</t>
    <phoneticPr fontId="1" type="noConversion"/>
  </si>
  <si>
    <t>22根构件,无潜在脆性破坏构件，可靠度指标=2.5，2.8,任意构件的重要性程度</t>
    <phoneticPr fontId="1" type="noConversion"/>
  </si>
  <si>
    <t>23根构件,无潜在脆性破坏构件，可靠度指标=2.5，2.8,任意构件的重要性程度</t>
    <phoneticPr fontId="1" type="noConversion"/>
  </si>
  <si>
    <t>9根构件,pbi=0.05,单个潜在脆性破坏构件，可靠度指标=2.5，2.8</t>
    <phoneticPr fontId="1" type="noConversion"/>
  </si>
  <si>
    <t>13根构件,pbi=0.05,单个潜在脆性破坏构件，可靠度指标=2.5，2.8</t>
    <phoneticPr fontId="1" type="noConversion"/>
  </si>
  <si>
    <t>17根构件,pbi=0.05,单个潜在脆性破坏构件，可靠度指标=2.5，2.8</t>
    <phoneticPr fontId="1" type="noConversion"/>
  </si>
  <si>
    <t>21根构件,pbi=0.05,单个潜在脆性破坏构件，可靠度指标=2.5，2.8</t>
    <phoneticPr fontId="1" type="noConversion"/>
  </si>
  <si>
    <t>25根构件,pbi=0.05,单个潜在脆性破坏构件，可靠度指标=2.5，2.8</t>
    <phoneticPr fontId="1" type="noConversion"/>
  </si>
  <si>
    <t>29根构件,pbi=0.05,单个潜在脆性破坏构件，可靠度指标=2.5，2.8</t>
    <phoneticPr fontId="1" type="noConversion"/>
  </si>
  <si>
    <t>33根构件,pbi=0.05,单个潜在脆性破坏构件，可靠度指标=2.5，2.8</t>
    <phoneticPr fontId="1" type="noConversion"/>
  </si>
  <si>
    <t>37根构件,pbi=0.05,单个潜在脆性破坏构件，可靠度指标=2.5，2.8</t>
    <phoneticPr fontId="1" type="noConversion"/>
  </si>
  <si>
    <t>41根构件,pbi=0.05,单个潜在脆性破坏构件，可靠度指标=2.5，2.8</t>
    <phoneticPr fontId="1" type="noConversion"/>
  </si>
  <si>
    <t>45根构件,pbi=0.05,单个潜在脆性破坏构件，可靠度指标=2.5，2.8</t>
    <phoneticPr fontId="1" type="noConversion"/>
  </si>
  <si>
    <t>49根构件,pbi=0.05,单个潜在脆性破坏构件，可靠度指标=2.5，2.8</t>
    <phoneticPr fontId="1" type="noConversion"/>
  </si>
  <si>
    <r>
      <t>9根构件,pbi=0.05,</t>
    </r>
    <r>
      <rPr>
        <sz val="14"/>
        <color rgb="FFFF0000"/>
        <rFont val="等线"/>
        <family val="3"/>
        <charset val="134"/>
        <scheme val="minor"/>
      </rPr>
      <t>无</t>
    </r>
    <r>
      <rPr>
        <sz val="14"/>
        <color theme="1"/>
        <rFont val="等线"/>
        <family val="3"/>
        <charset val="134"/>
        <scheme val="minor"/>
      </rPr>
      <t>潜在脆性破坏构件，可靠度指标=2.5，2.8</t>
    </r>
    <phoneticPr fontId="1" type="noConversion"/>
  </si>
  <si>
    <r>
      <t>13根构件,pbi=0.05,</t>
    </r>
    <r>
      <rPr>
        <sz val="14"/>
        <color rgb="FFFF0000"/>
        <rFont val="等线"/>
        <family val="3"/>
        <charset val="134"/>
        <scheme val="minor"/>
      </rPr>
      <t>无</t>
    </r>
    <r>
      <rPr>
        <sz val="14"/>
        <color theme="1"/>
        <rFont val="等线"/>
        <family val="3"/>
        <charset val="134"/>
        <scheme val="minor"/>
      </rPr>
      <t>潜在脆性破坏构件，可靠度指标=2.5，2.8</t>
    </r>
    <phoneticPr fontId="1" type="noConversion"/>
  </si>
  <si>
    <r>
      <t>17根构件,pbi=0.05,</t>
    </r>
    <r>
      <rPr>
        <sz val="14"/>
        <color rgb="FFFF0000"/>
        <rFont val="等线"/>
        <family val="3"/>
        <charset val="134"/>
        <scheme val="minor"/>
      </rPr>
      <t>无</t>
    </r>
    <r>
      <rPr>
        <sz val="14"/>
        <color theme="1"/>
        <rFont val="等线"/>
        <family val="3"/>
        <charset val="134"/>
        <scheme val="minor"/>
      </rPr>
      <t>潜在脆性破坏构件，可靠度指标=2.5，2.8</t>
    </r>
    <phoneticPr fontId="1" type="noConversion"/>
  </si>
  <si>
    <r>
      <t>21根构件,pbi=0.05,</t>
    </r>
    <r>
      <rPr>
        <sz val="14"/>
        <color rgb="FFFF0000"/>
        <rFont val="等线"/>
        <family val="3"/>
        <charset val="134"/>
        <scheme val="minor"/>
      </rPr>
      <t>无</t>
    </r>
    <r>
      <rPr>
        <sz val="14"/>
        <color theme="1"/>
        <rFont val="等线"/>
        <family val="3"/>
        <charset val="134"/>
        <scheme val="minor"/>
      </rPr>
      <t>潜在脆性破坏构件，可靠度指标=2.5，2.8</t>
    </r>
    <phoneticPr fontId="1" type="noConversion"/>
  </si>
  <si>
    <r>
      <t>25根构件,pbi=0.05,</t>
    </r>
    <r>
      <rPr>
        <sz val="14"/>
        <color rgb="FFFF0000"/>
        <rFont val="等线"/>
        <family val="3"/>
        <charset val="134"/>
        <scheme val="minor"/>
      </rPr>
      <t>无</t>
    </r>
    <r>
      <rPr>
        <sz val="14"/>
        <color theme="1"/>
        <rFont val="等线"/>
        <family val="3"/>
        <charset val="134"/>
        <scheme val="minor"/>
      </rPr>
      <t>潜在脆性破坏构件，可靠度指标=2.5，2.8</t>
    </r>
    <phoneticPr fontId="1" type="noConversion"/>
  </si>
  <si>
    <r>
      <t>29根构件,pbi=0.05,</t>
    </r>
    <r>
      <rPr>
        <sz val="14"/>
        <color rgb="FFFF0000"/>
        <rFont val="等线"/>
        <family val="3"/>
        <charset val="134"/>
        <scheme val="minor"/>
      </rPr>
      <t>无</t>
    </r>
    <r>
      <rPr>
        <sz val="14"/>
        <color theme="1"/>
        <rFont val="等线"/>
        <family val="3"/>
        <charset val="134"/>
        <scheme val="minor"/>
      </rPr>
      <t>潜在脆性破坏构件，可靠度指标=2.5，2.8</t>
    </r>
    <phoneticPr fontId="1" type="noConversion"/>
  </si>
  <si>
    <r>
      <t>33根构件,pbi=0.05,</t>
    </r>
    <r>
      <rPr>
        <sz val="14"/>
        <color rgb="FFFF0000"/>
        <rFont val="等线"/>
        <family val="3"/>
        <charset val="134"/>
        <scheme val="minor"/>
      </rPr>
      <t>无</t>
    </r>
    <r>
      <rPr>
        <sz val="14"/>
        <color theme="1"/>
        <rFont val="等线"/>
        <family val="3"/>
        <charset val="134"/>
        <scheme val="minor"/>
      </rPr>
      <t>潜在脆性破坏构件，可靠度指标=2.5，2.8</t>
    </r>
    <phoneticPr fontId="1" type="noConversion"/>
  </si>
  <si>
    <r>
      <t>37根构件,pbi=0.05,</t>
    </r>
    <r>
      <rPr>
        <sz val="14"/>
        <color rgb="FFFF0000"/>
        <rFont val="等线"/>
        <family val="3"/>
        <charset val="134"/>
        <scheme val="minor"/>
      </rPr>
      <t>无</t>
    </r>
    <r>
      <rPr>
        <sz val="14"/>
        <color theme="1"/>
        <rFont val="等线"/>
        <family val="3"/>
        <charset val="134"/>
        <scheme val="minor"/>
      </rPr>
      <t>潜在脆性破坏构件，可靠度指标=2.5，2.8</t>
    </r>
    <phoneticPr fontId="1" type="noConversion"/>
  </si>
  <si>
    <r>
      <t>41根构件,pbi=0.05,</t>
    </r>
    <r>
      <rPr>
        <sz val="14"/>
        <color rgb="FFFF0000"/>
        <rFont val="等线"/>
        <family val="3"/>
        <charset val="134"/>
        <scheme val="minor"/>
      </rPr>
      <t>无</t>
    </r>
    <r>
      <rPr>
        <sz val="14"/>
        <color theme="1"/>
        <rFont val="等线"/>
        <family val="3"/>
        <charset val="134"/>
        <scheme val="minor"/>
      </rPr>
      <t>潜在脆性破坏构件，可靠度指标=2.5，2.8</t>
    </r>
    <phoneticPr fontId="1" type="noConversion"/>
  </si>
  <si>
    <r>
      <t>45根构件,pbi=0.05,</t>
    </r>
    <r>
      <rPr>
        <sz val="14"/>
        <color rgb="FFFF0000"/>
        <rFont val="等线"/>
        <family val="3"/>
        <charset val="134"/>
        <scheme val="minor"/>
      </rPr>
      <t>无</t>
    </r>
    <r>
      <rPr>
        <sz val="14"/>
        <color theme="1"/>
        <rFont val="等线"/>
        <family val="3"/>
        <charset val="134"/>
        <scheme val="minor"/>
      </rPr>
      <t>潜在脆性破坏构件，可靠度指标=2.5，2.8</t>
    </r>
    <phoneticPr fontId="1" type="noConversion"/>
  </si>
  <si>
    <r>
      <t>49根构件,pbi=0.05,</t>
    </r>
    <r>
      <rPr>
        <sz val="14"/>
        <color rgb="FFFF0000"/>
        <rFont val="等线"/>
        <family val="3"/>
        <charset val="134"/>
        <scheme val="minor"/>
      </rPr>
      <t>无</t>
    </r>
    <r>
      <rPr>
        <sz val="14"/>
        <color theme="1"/>
        <rFont val="等线"/>
        <family val="3"/>
        <charset val="134"/>
        <scheme val="minor"/>
      </rPr>
      <t>潜在脆性破坏构件，可靠度指标=2.5，2.8</t>
    </r>
    <phoneticPr fontId="1" type="noConversion"/>
  </si>
  <si>
    <t>相关系数为0.1,pbi=0.05,单个潜在脆性破坏构件，可靠度指标=2.5，2.8</t>
    <phoneticPr fontId="1" type="noConversion"/>
  </si>
  <si>
    <t>9根构件,pbi=0.05,单个潜在脆性破坏构件，相关系数0.1</t>
    <phoneticPr fontId="1" type="noConversion"/>
  </si>
  <si>
    <t>17根构件,pbi=0.05,单个潜在脆性破坏构件，相关系数0.1</t>
    <phoneticPr fontId="1" type="noConversion"/>
  </si>
  <si>
    <t>25根构件,pbi=0.05,单个潜在脆性破坏构件，相关系数0.1</t>
    <phoneticPr fontId="1" type="noConversion"/>
  </si>
  <si>
    <t>33根构件,pbi=0.05,单个潜在脆性破坏构件，相关系数0.1</t>
    <phoneticPr fontId="1" type="noConversion"/>
  </si>
  <si>
    <t>41根构件,pbi=0.05,单个潜在脆性破坏构件，相关系数0.1</t>
    <phoneticPr fontId="1" type="noConversion"/>
  </si>
  <si>
    <t>49根构件,pbi=0.05,单个潜在脆性破坏构件，相关系数0.1</t>
    <phoneticPr fontId="1" type="noConversion"/>
  </si>
  <si>
    <t>9根构件,pbi=0.05,单个潜在脆性破坏构件，相关系数0.9</t>
    <phoneticPr fontId="1" type="noConversion"/>
  </si>
  <si>
    <t>17根构件,pbi=0.05,单个潜在脆性破坏构件，相关系数0.9</t>
    <phoneticPr fontId="1" type="noConversion"/>
  </si>
  <si>
    <t>25根构件,pbi=0.05,单个潜在脆性破坏构件，相关系数0.9</t>
    <phoneticPr fontId="1" type="noConversion"/>
  </si>
  <si>
    <t>33根构件,pbi=0.05,单个潜在脆性破坏构件，相关系数0.9</t>
    <phoneticPr fontId="1" type="noConversion"/>
  </si>
  <si>
    <t>41根构件,pbi=0.05,单个潜在脆性破坏构件，相关系数0.9</t>
    <phoneticPr fontId="1" type="noConversion"/>
  </si>
  <si>
    <t>49根构件,pbi=0.05,单个潜在脆性破坏构件，相关系数0.9</t>
    <phoneticPr fontId="1" type="noConversion"/>
  </si>
  <si>
    <t>11根构件,pbi=0.05,单个潜在脆性破坏构件，相关系数0.5</t>
    <phoneticPr fontId="1" type="noConversion"/>
  </si>
  <si>
    <t>12根构件,pbi=0.05,单个潜在脆性破坏构件，相关系数0.5</t>
    <phoneticPr fontId="1" type="noConversion"/>
  </si>
  <si>
    <t>13根构件,pbi=0.05,单个潜在脆性破坏构件，相关系数0.5</t>
    <phoneticPr fontId="1" type="noConversion"/>
  </si>
  <si>
    <t>14根构件,pbi=0.05,单个潜在脆性破坏构件，相关系数0.5</t>
    <phoneticPr fontId="1" type="noConversion"/>
  </si>
  <si>
    <t>15根构件,pbi=0.05,单个潜在脆性破坏构件，相关系数0.5</t>
    <phoneticPr fontId="1" type="noConversion"/>
  </si>
  <si>
    <t>16根构件,pbi=0.05,单个潜在脆性破坏构件，相关系数0.5</t>
    <phoneticPr fontId="1" type="noConversion"/>
  </si>
  <si>
    <t>17根构件,pbi=0.05,单个潜在脆性破坏构件，相关系数0.5</t>
    <phoneticPr fontId="1" type="noConversion"/>
  </si>
  <si>
    <t>12根构件,pbi=0.05,单个潜在脆性破坏构件，相关系数0.7</t>
    <phoneticPr fontId="1" type="noConversion"/>
  </si>
  <si>
    <t>相关系数为0.7,pbi=0.05,单个潜在脆性破坏构件，可靠度指标=2.0，2.5</t>
    <phoneticPr fontId="1" type="noConversion"/>
  </si>
  <si>
    <t>相关系数为0.7,pbi=0.05,单个潜在脆性破坏构件，可靠度指标=2.5，2.8</t>
    <phoneticPr fontId="1" type="noConversion"/>
  </si>
  <si>
    <t>相关系数为0.7,pbi=0.05,单个潜在脆性破坏构件，可靠度指标=1.5，2.0</t>
    <phoneticPr fontId="1" type="noConversion"/>
  </si>
  <si>
    <t>9根构件,pbi=0.05,单个潜在脆性破坏构件，可靠度指标=1.5，2.0(改）</t>
    <phoneticPr fontId="1" type="noConversion"/>
  </si>
  <si>
    <t>相关系数为0.7,pbi=0.05,单个潜在脆性破坏构件，可靠度指标=1.5，2.0(改)</t>
    <phoneticPr fontId="1" type="noConversion"/>
  </si>
  <si>
    <t>10根构件,pbi=0.05,单个潜在脆性破坏构件，相关系数0.5(改)</t>
    <phoneticPr fontId="1" type="noConversion"/>
  </si>
  <si>
    <t>14根构件,pbi=0.05,单个潜在脆性破坏构件，可靠度指标=1.5，2.0</t>
    <phoneticPr fontId="1" type="noConversion"/>
  </si>
  <si>
    <t>相关系数</t>
    <phoneticPr fontId="1" type="noConversion"/>
  </si>
  <si>
    <t>9根构件，均为塑性构件，可靠度指标为2.8</t>
    <phoneticPr fontId="1" type="noConversion"/>
  </si>
  <si>
    <t>9根构件，均为塑性构件，可靠度指标为2.0</t>
    <phoneticPr fontId="1" type="noConversion"/>
  </si>
  <si>
    <t>相关系数为0.5，可靠度指标为2.0</t>
    <phoneticPr fontId="1" type="noConversion"/>
  </si>
  <si>
    <t>相关系数为0.7，可靠度指标为2.0</t>
    <phoneticPr fontId="1" type="noConversion"/>
  </si>
  <si>
    <t>10根构件，均为塑性构件，可靠度指标为2.0</t>
    <phoneticPr fontId="1" type="noConversion"/>
  </si>
  <si>
    <t>10根构件，9个可靠度指标为2.0，1个为1.5，先于失效概率Pf=0.0668，0.9332</t>
    <phoneticPr fontId="1" type="noConversion"/>
  </si>
  <si>
    <t>相关系数为0.7，1个脆性构件，可靠度指标为1.5，其余构件可靠度指标为2.0</t>
    <phoneticPr fontId="1" type="noConversion"/>
  </si>
  <si>
    <t>10根均为塑性构件，相关系数为0.5</t>
    <phoneticPr fontId="1" type="noConversion"/>
  </si>
  <si>
    <t>10根，9根构件为塑性，1根为脆性，相关系数为0.5</t>
    <phoneticPr fontId="1" type="noConversion"/>
  </si>
  <si>
    <t>2/1.5</t>
    <phoneticPr fontId="1" type="noConversion"/>
  </si>
  <si>
    <t>2.5/2.0</t>
    <phoneticPr fontId="1" type="noConversion"/>
  </si>
  <si>
    <t>2.8/2.5</t>
    <phoneticPr fontId="1" type="noConversion"/>
  </si>
  <si>
    <t>10根，9根构件为塑性，1根为脆性，相关系数为0.5(改）</t>
    <phoneticPr fontId="1" type="noConversion"/>
  </si>
  <si>
    <t>9根构件，8个可靠度指标为2.0，1个为1.5</t>
    <phoneticPr fontId="1" type="noConversion"/>
  </si>
  <si>
    <t>9根，8根构件为塑性，1根为脆性，相关系数为0.5</t>
    <phoneticPr fontId="1" type="noConversion"/>
  </si>
  <si>
    <t>9根构件均为塑性，相关系数为0.5</t>
    <phoneticPr fontId="1" type="noConversion"/>
  </si>
  <si>
    <t>相关系数为0.7，可靠度指标为2.5</t>
    <phoneticPr fontId="1" type="noConversion"/>
  </si>
  <si>
    <t>相关系数为0.7，1个脆性构件，可靠度指标为2.0，其余构件可靠度指标为2.5</t>
    <phoneticPr fontId="1" type="noConversion"/>
  </si>
  <si>
    <t>相关系数为0.7，可靠度指标为2.8</t>
    <phoneticPr fontId="1" type="noConversion"/>
  </si>
  <si>
    <t>相关系数为0.7，1个脆性构件，可靠度指标为2.5，其余构件可靠度指标为2.8</t>
    <phoneticPr fontId="1" type="noConversion"/>
  </si>
  <si>
    <t>相关系数为0.7</t>
    <phoneticPr fontId="1" type="noConversion"/>
  </si>
  <si>
    <t>RAW</t>
    <phoneticPr fontId="1" type="noConversion"/>
  </si>
  <si>
    <t>相关系数为0.7，均为塑性</t>
    <phoneticPr fontId="1" type="noConversion"/>
  </si>
  <si>
    <t>相关系数为0.7，含1个脆性构件</t>
    <phoneticPr fontId="1" type="noConversion"/>
  </si>
  <si>
    <t>RAW塑</t>
    <phoneticPr fontId="1" type="noConversion"/>
  </si>
  <si>
    <t>RAW脆</t>
    <phoneticPr fontId="1" type="noConversion"/>
  </si>
  <si>
    <t>RAW脆/RAW塑</t>
    <phoneticPr fontId="1" type="noConversion"/>
  </si>
  <si>
    <t>RAW脆拟合</t>
    <phoneticPr fontId="1" type="noConversion"/>
  </si>
  <si>
    <t>误差值</t>
    <phoneticPr fontId="1" type="noConversion"/>
  </si>
  <si>
    <t>实例可靠度指标均值</t>
    <phoneticPr fontId="1" type="noConversion"/>
  </si>
  <si>
    <t>实例可靠度</t>
    <phoneticPr fontId="1" type="noConversion"/>
  </si>
  <si>
    <t xml:space="preserve"> </t>
    <phoneticPr fontId="1" type="noConversion"/>
  </si>
  <si>
    <t>数据(全）   相关系数为0.7</t>
    <phoneticPr fontId="1" type="noConversion"/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</si>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</sst>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1"/>
      <color rgb="FF40404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0" borderId="0" xfId="0" applyFont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5" fillId="0" borderId="0" xfId="0" applyFont="1"/>
    <xf numFmtId="0" fontId="2" fillId="0" borderId="0" xfId="0" applyFont="1"/>
    <xf numFmtId="11" fontId="0" fillId="0" borderId="0" xfId="0" applyNumberFormat="1"/>
    <xf numFmtId="176" fontId="0" fillId="0" borderId="0" xfId="0" applyNumberFormat="1"/>
    <xf numFmtId="0" fontId="5" fillId="0" borderId="0" xfId="0" applyFont="1" applyAlignment="1">
      <alignment horizontal="center"/>
    </xf>
    <xf numFmtId="11" fontId="5" fillId="0" borderId="0" xfId="0" applyNumberFormat="1" applyFont="1"/>
    <xf numFmtId="0" fontId="2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5" fillId="0" borderId="4" xfId="0" applyFont="1" applyBorder="1"/>
    <xf numFmtId="0" fontId="5" fillId="0" borderId="5" xfId="0" applyFont="1" applyBorder="1"/>
    <xf numFmtId="0" fontId="0" fillId="0" borderId="5" xfId="0" applyBorder="1"/>
    <xf numFmtId="0" fontId="5" fillId="0" borderId="6" xfId="0" applyFont="1" applyBorder="1"/>
    <xf numFmtId="0" fontId="0" fillId="0" borderId="7" xfId="0" applyBorder="1"/>
    <xf numFmtId="0" fontId="0" fillId="0" borderId="8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11" fontId="3" fillId="0" borderId="0" xfId="0" applyNumberFormat="1" applyFont="1"/>
    <xf numFmtId="11" fontId="4" fillId="0" borderId="0" xfId="0" applyNumberFormat="1" applyFont="1"/>
    <xf numFmtId="0" fontId="3" fillId="0" borderId="7" xfId="0" applyFont="1" applyBorder="1"/>
    <xf numFmtId="0" fontId="0" fillId="3" borderId="9" xfId="0" applyFill="1" applyBorder="1"/>
    <xf numFmtId="1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11" fontId="4" fillId="0" borderId="7" xfId="0" applyNumberFormat="1" applyFont="1" applyBorder="1"/>
    <xf numFmtId="0" fontId="4" fillId="0" borderId="7" xfId="0" applyFont="1" applyBorder="1"/>
    <xf numFmtId="0" fontId="7" fillId="0" borderId="0" xfId="0" applyFont="1"/>
    <xf numFmtId="0" fontId="0" fillId="0" borderId="16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2" borderId="1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3" fillId="0" borderId="5" xfId="0" applyFont="1" applyBorder="1"/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3398;&#26415;\&#24182;&#32852;&#25968;&#25454;&#25913;\&#30636;&#26102;&#22833;&#25928;&#24182;&#32852;&#31995;&#32479;&#25968;&#25454;\&#30636;&#26102;&#22833;&#25928;&#946;%20=%202.5&#65292;2.8&#30636;&#26102;&#30772;&#22351;&#24182;&#32852;&#31995;&#32479;.xlsx" TargetMode="External"/><Relationship Id="rId1" Type="http://schemas.openxmlformats.org/officeDocument/2006/relationships/externalLinkPath" Target="/&#26700;&#38754;/&#23398;&#26415;/&#24182;&#32852;&#25968;&#25454;&#25913;/&#30636;&#26102;&#22833;&#25928;&#24182;&#32852;&#31995;&#32479;&#25968;&#25454;/&#30636;&#26102;&#22833;&#25928;&#946;%20=%202.5&#65292;2.8&#30636;&#26102;&#30772;&#22351;&#24182;&#32852;&#31995;&#32479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3398;&#26415;\&#24182;&#32852;&#25968;&#25454;&#25913;\&#30456;&#32487;&#22833;&#25928;&#24182;&#32852;&#31995;&#32479;&#25968;&#25454;\&#30456;&#32487;&#22833;&#25928;&#946;%20=%202.5&#65292;2.8&#24182;&#32852;&#20844;&#24335;&#35843;&#35797;&#21103;&#26412;.xlsx" TargetMode="External"/><Relationship Id="rId1" Type="http://schemas.openxmlformats.org/officeDocument/2006/relationships/externalLinkPath" Target="/&#26700;&#38754;/&#23398;&#26415;/&#24182;&#32852;&#25968;&#25454;&#25913;/&#30456;&#32487;&#22833;&#25928;&#24182;&#32852;&#31995;&#32479;&#25968;&#25454;/&#30456;&#32487;&#22833;&#25928;&#946;%20=%202.5&#65292;2.8&#24182;&#32852;&#20844;&#24335;&#35843;&#35797;&#21103;&#2641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3398;&#26415;\&#24182;&#32852;&#25968;&#25454;&#25913;\&#30636;&#26102;&#22833;&#25928;&#24182;&#32852;&#31995;&#32479;&#25968;&#25454;\&#30636;&#26102;&#22833;&#25928;&#946;%20=%201.5&#65292;2.0&#30636;&#26102;&#30772;&#22351;&#24182;&#32852;&#31995;&#32479;.xlsx" TargetMode="External"/><Relationship Id="rId1" Type="http://schemas.openxmlformats.org/officeDocument/2006/relationships/externalLinkPath" Target="/&#26700;&#38754;/&#23398;&#26415;/&#24182;&#32852;&#25968;&#25454;&#25913;/&#30636;&#26102;&#22833;&#25928;&#24182;&#32852;&#31995;&#32479;&#25968;&#25454;/&#30636;&#26102;&#22833;&#25928;&#946;%20=%201.5&#65292;2.0&#30636;&#26102;&#30772;&#22351;&#24182;&#32852;&#31995;&#32479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3398;&#26415;\&#24182;&#32852;&#25968;&#25454;&#25913;\&#30636;&#26102;&#22833;&#25928;&#24182;&#32852;&#31995;&#32479;&#25968;&#25454;\&#30636;&#26102;&#22833;&#25928;&#946;%20=%202.0&#65292;2.5&#30636;&#26102;&#30772;&#22351;&#24182;&#32852;&#31995;&#32479;.xlsx" TargetMode="External"/><Relationship Id="rId1" Type="http://schemas.openxmlformats.org/officeDocument/2006/relationships/externalLinkPath" Target="/&#26700;&#38754;/&#23398;&#26415;/&#24182;&#32852;&#25968;&#25454;&#25913;/&#30636;&#26102;&#22833;&#25928;&#24182;&#32852;&#31995;&#32479;&#25968;&#25454;/&#30636;&#26102;&#22833;&#25928;&#946;%20=%202.0&#65292;2.5&#30636;&#26102;&#30772;&#22351;&#24182;&#32852;&#31995;&#324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根构件 "/>
      <sheetName val="6根构件 "/>
      <sheetName val="7根构件"/>
      <sheetName val="8根构件开始"/>
      <sheetName val="9根构件"/>
      <sheetName val="10根构件"/>
      <sheetName val="11根构件 "/>
      <sheetName val="12根构件"/>
      <sheetName val="13根构件"/>
      <sheetName val="14根构件"/>
      <sheetName val="15根构件 "/>
      <sheetName val="16根构件  "/>
      <sheetName val="17根构件  "/>
      <sheetName val="18根构件  "/>
      <sheetName val="19根构件"/>
      <sheetName val="20根构件"/>
      <sheetName val="21根构件 "/>
      <sheetName val="22根构件 "/>
      <sheetName val="23根构件"/>
      <sheetName val="24根构件 "/>
      <sheetName val="25根构件 "/>
      <sheetName val="26根构件"/>
      <sheetName val="27根构件"/>
      <sheetName val="28根构件"/>
      <sheetName val="29根构件 "/>
      <sheetName val="30根构件"/>
      <sheetName val="31根构件 "/>
      <sheetName val="32根构件"/>
      <sheetName val="33根构件 "/>
      <sheetName val="34根构件"/>
      <sheetName val="35根构件 "/>
      <sheetName val="36根构件 "/>
      <sheetName val="37根构件  "/>
      <sheetName val="38根构件  "/>
      <sheetName val="39根构件   "/>
      <sheetName val="40根构件  "/>
      <sheetName val="41根构件  "/>
      <sheetName val="42根构件  "/>
      <sheetName val="43根构件   "/>
      <sheetName val="44根构件 "/>
      <sheetName val="45根构件  "/>
      <sheetName val="46根构件 "/>
      <sheetName val="47根构件  "/>
      <sheetName val="48根构件 "/>
      <sheetName val="49根构件  "/>
      <sheetName val="50根构件 "/>
    </sheetNames>
    <sheetDataSet>
      <sheetData sheetId="0"/>
      <sheetData sheetId="1"/>
      <sheetData sheetId="2"/>
      <sheetData sheetId="3">
        <row r="13">
          <cell r="D13">
            <v>1.9219999999999999E-7</v>
          </cell>
          <cell r="V13">
            <v>4.8799999999999999E-6</v>
          </cell>
        </row>
        <row r="34">
          <cell r="D34">
            <v>4.0899999999999998E-5</v>
          </cell>
          <cell r="V34">
            <v>2.0460000000000001E-4</v>
          </cell>
        </row>
        <row r="46">
          <cell r="B46">
            <v>7.9999999999999996E-7</v>
          </cell>
          <cell r="T46">
            <v>3.0800000000000003E-5</v>
          </cell>
        </row>
        <row r="54">
          <cell r="D54">
            <v>8.1970000000000003E-4</v>
          </cell>
        </row>
        <row r="66">
          <cell r="B66">
            <v>3.8900000000000002E-4</v>
          </cell>
        </row>
      </sheetData>
      <sheetData sheetId="4">
        <row r="13">
          <cell r="D13">
            <v>1.9219999999999999E-7</v>
          </cell>
          <cell r="H13">
            <v>2.8319999999999999E-7</v>
          </cell>
          <cell r="V13">
            <v>4.8799999999999999E-6</v>
          </cell>
          <cell r="Z13">
            <v>4.8799999999999999E-6</v>
          </cell>
        </row>
        <row r="34">
          <cell r="D34">
            <v>4.0899999999999998E-5</v>
          </cell>
          <cell r="H34">
            <v>4.0899999999999998E-5</v>
          </cell>
          <cell r="V34">
            <v>2.0460000000000001E-4</v>
          </cell>
          <cell r="Z34">
            <v>2.0460000000000001E-4</v>
          </cell>
        </row>
        <row r="46">
          <cell r="B46">
            <v>8.9999999999999996E-7</v>
          </cell>
          <cell r="F46">
            <v>1.1000000000000001E-6</v>
          </cell>
          <cell r="T46">
            <v>2.1699999999999999E-5</v>
          </cell>
          <cell r="X46">
            <v>2.6299999999999999E-5</v>
          </cell>
        </row>
        <row r="54">
          <cell r="D54">
            <v>8.1970000000000003E-4</v>
          </cell>
        </row>
        <row r="66">
          <cell r="B66">
            <v>3.5070000000000001E-4</v>
          </cell>
          <cell r="G66">
            <v>3.8509999999999998E-4</v>
          </cell>
        </row>
      </sheetData>
      <sheetData sheetId="5">
        <row r="13">
          <cell r="D13">
            <v>1.9219999999999999E-7</v>
          </cell>
          <cell r="V13">
            <v>4.8799999999999999E-6</v>
          </cell>
          <cell r="Z13">
            <v>4.8799999999999999E-6</v>
          </cell>
        </row>
        <row r="34">
          <cell r="D34">
            <v>4.0899999999999998E-5</v>
          </cell>
          <cell r="H34">
            <v>4.0899999999999998E-5</v>
          </cell>
          <cell r="V34">
            <v>1.9269999999999999E-4</v>
          </cell>
          <cell r="Z34">
            <v>2.0460000000000001E-4</v>
          </cell>
        </row>
        <row r="46">
          <cell r="B46">
            <v>7.9999999999999996E-7</v>
          </cell>
          <cell r="F46">
            <v>6.9999999999999997E-7</v>
          </cell>
          <cell r="T46">
            <v>2.1399999999999998E-5</v>
          </cell>
          <cell r="X46">
            <v>2.4499999999999999E-5</v>
          </cell>
        </row>
        <row r="54">
          <cell r="D54">
            <v>8.0199999999999998E-4</v>
          </cell>
          <cell r="H54">
            <v>8.7049999999999996E-4</v>
          </cell>
        </row>
        <row r="66">
          <cell r="B66">
            <v>3.3530000000000002E-4</v>
          </cell>
          <cell r="G66">
            <v>3.5070000000000001E-4</v>
          </cell>
        </row>
        <row r="75">
          <cell r="G75">
            <v>1.9538499999999997E-7</v>
          </cell>
        </row>
      </sheetData>
      <sheetData sheetId="6">
        <row r="13">
          <cell r="D13">
            <v>1.9219999999999999E-7</v>
          </cell>
          <cell r="H13">
            <v>2.501E-7</v>
          </cell>
        </row>
        <row r="34">
          <cell r="D34">
            <v>4.0899999999999998E-5</v>
          </cell>
          <cell r="H34">
            <v>4.0899999999999998E-5</v>
          </cell>
        </row>
        <row r="46">
          <cell r="T46">
            <v>1.8300000000000001E-5</v>
          </cell>
          <cell r="X46">
            <v>2.2099999999999998E-5</v>
          </cell>
        </row>
        <row r="66">
          <cell r="B66">
            <v>3.121E-4</v>
          </cell>
          <cell r="G66">
            <v>3.3320000000000002E-4</v>
          </cell>
        </row>
      </sheetData>
      <sheetData sheetId="7">
        <row r="13">
          <cell r="D13">
            <v>1.9219999999999999E-7</v>
          </cell>
          <cell r="V13">
            <v>4.8799999999999999E-6</v>
          </cell>
        </row>
        <row r="34">
          <cell r="D34">
            <v>4.0899999999999998E-5</v>
          </cell>
          <cell r="V34">
            <v>1.839E-4</v>
          </cell>
        </row>
        <row r="46">
          <cell r="B46">
            <v>3.9999999999999998E-7</v>
          </cell>
          <cell r="T46">
            <v>1.45E-5</v>
          </cell>
          <cell r="X46">
            <v>1.5500000000000001E-5</v>
          </cell>
        </row>
        <row r="54">
          <cell r="D54">
            <v>7.9390000000000005E-4</v>
          </cell>
        </row>
        <row r="66">
          <cell r="B66">
            <v>2.9359999999999998E-4</v>
          </cell>
          <cell r="G66">
            <v>3.0679999999999998E-4</v>
          </cell>
        </row>
      </sheetData>
      <sheetData sheetId="8">
        <row r="13">
          <cell r="D13">
            <v>1.9219999999999999E-7</v>
          </cell>
          <cell r="H13">
            <v>2.4120000000000002E-7</v>
          </cell>
          <cell r="V13">
            <v>4.8799999999999999E-6</v>
          </cell>
          <cell r="Z13">
            <v>5.7089999999999999E-6</v>
          </cell>
        </row>
        <row r="34">
          <cell r="D34">
            <v>4.0899999999999998E-5</v>
          </cell>
          <cell r="H34">
            <v>4.0899999999999998E-5</v>
          </cell>
          <cell r="V34">
            <v>1.8230000000000001E-4</v>
          </cell>
          <cell r="Z34">
            <v>1.986E-4</v>
          </cell>
        </row>
        <row r="46">
          <cell r="B46">
            <v>2.9999999999999999E-7</v>
          </cell>
          <cell r="F46">
            <v>1.9999999999999999E-7</v>
          </cell>
          <cell r="T46">
            <v>1.3699999999999999E-5</v>
          </cell>
          <cell r="X46">
            <v>1.3200000000000001E-5</v>
          </cell>
        </row>
        <row r="54">
          <cell r="D54">
            <v>7.8870000000000003E-4</v>
          </cell>
          <cell r="H54">
            <v>8.407E-4</v>
          </cell>
        </row>
        <row r="66">
          <cell r="B66">
            <v>2.7520000000000002E-4</v>
          </cell>
          <cell r="G66">
            <v>2.8650000000000003E-4</v>
          </cell>
        </row>
      </sheetData>
      <sheetData sheetId="9">
        <row r="13">
          <cell r="D13">
            <v>1.9219999999999999E-7</v>
          </cell>
        </row>
        <row r="46">
          <cell r="T46">
            <v>1.13E-5</v>
          </cell>
          <cell r="X46">
            <v>1.2500000000000001E-5</v>
          </cell>
        </row>
        <row r="66">
          <cell r="B66">
            <v>2.6140000000000001E-4</v>
          </cell>
          <cell r="G66">
            <v>2.7989999999999997E-4</v>
          </cell>
        </row>
      </sheetData>
      <sheetData sheetId="10">
        <row r="13">
          <cell r="D13">
            <v>1.9219999999999999E-7</v>
          </cell>
          <cell r="H13">
            <v>2.347E-7</v>
          </cell>
        </row>
        <row r="46">
          <cell r="T46">
            <v>8.3999999999999992E-6</v>
          </cell>
          <cell r="X46">
            <v>1.3200000000000001E-5</v>
          </cell>
        </row>
        <row r="66">
          <cell r="B66">
            <v>2.5710000000000002E-4</v>
          </cell>
          <cell r="G66">
            <v>2.5759999999999997E-4</v>
          </cell>
        </row>
      </sheetData>
      <sheetData sheetId="11">
        <row r="13">
          <cell r="D13">
            <v>1.9219999999999999E-7</v>
          </cell>
          <cell r="V13">
            <v>4.8799999999999999E-6</v>
          </cell>
        </row>
        <row r="34">
          <cell r="D34">
            <v>4.0899999999999998E-5</v>
          </cell>
          <cell r="V34">
            <v>1.8029999999999999E-4</v>
          </cell>
        </row>
        <row r="46">
          <cell r="T46">
            <v>8.6999999999999997E-6</v>
          </cell>
          <cell r="X46">
            <v>1.01E-5</v>
          </cell>
        </row>
        <row r="54">
          <cell r="D54">
            <v>7.8019999999999999E-4</v>
          </cell>
        </row>
        <row r="66">
          <cell r="B66">
            <v>2.4499999999999999E-4</v>
          </cell>
          <cell r="G66">
            <v>2.5339999999999998E-4</v>
          </cell>
        </row>
      </sheetData>
      <sheetData sheetId="12">
        <row r="13">
          <cell r="D13">
            <v>1.9219999999999999E-7</v>
          </cell>
          <cell r="H13">
            <v>2.297E-7</v>
          </cell>
          <cell r="V13">
            <v>4.8799999999999999E-6</v>
          </cell>
          <cell r="Z13">
            <v>5.5180000000000004E-6</v>
          </cell>
        </row>
        <row r="34">
          <cell r="D34">
            <v>4.0899999999999998E-5</v>
          </cell>
          <cell r="H34">
            <v>4.0899999999999998E-5</v>
          </cell>
          <cell r="V34">
            <v>1.772E-4</v>
          </cell>
          <cell r="Z34">
            <v>1.894E-4</v>
          </cell>
        </row>
        <row r="46">
          <cell r="T46">
            <v>1.0200000000000001E-5</v>
          </cell>
          <cell r="X46">
            <v>1.0000000000000001E-5</v>
          </cell>
        </row>
        <row r="54">
          <cell r="D54">
            <v>7.7459999999999996E-4</v>
          </cell>
          <cell r="H54">
            <v>8.1280000000000002E-4</v>
          </cell>
        </row>
        <row r="66">
          <cell r="B66">
            <v>2.3220000000000001E-4</v>
          </cell>
          <cell r="G66">
            <v>2.4679999999999998E-4</v>
          </cell>
        </row>
      </sheetData>
      <sheetData sheetId="13">
        <row r="13">
          <cell r="D13">
            <v>1.9219999999999999E-7</v>
          </cell>
        </row>
        <row r="46">
          <cell r="T46">
            <v>7.5000000000000002E-6</v>
          </cell>
          <cell r="X46">
            <v>7.4000000000000003E-6</v>
          </cell>
        </row>
        <row r="66">
          <cell r="B66">
            <v>2.3139999999999999E-4</v>
          </cell>
          <cell r="G66">
            <v>2.386E-4</v>
          </cell>
        </row>
      </sheetData>
      <sheetData sheetId="14">
        <row r="13">
          <cell r="D13">
            <v>1.9219999999999999E-7</v>
          </cell>
          <cell r="H13">
            <v>2.2569999999999999E-7</v>
          </cell>
          <cell r="V13">
            <v>4.8799999999999999E-6</v>
          </cell>
        </row>
        <row r="34">
          <cell r="D34">
            <v>3.8800000000000001E-5</v>
          </cell>
          <cell r="V34">
            <v>1.739E-4</v>
          </cell>
        </row>
        <row r="46">
          <cell r="B46">
            <v>9.9999999999999995E-8</v>
          </cell>
          <cell r="T46">
            <v>6.8000000000000001E-6</v>
          </cell>
          <cell r="X46">
            <v>7.9000000000000006E-6</v>
          </cell>
        </row>
        <row r="54">
          <cell r="D54">
            <v>7.7130000000000005E-4</v>
          </cell>
        </row>
        <row r="66">
          <cell r="B66">
            <v>2.2139999999999999E-4</v>
          </cell>
          <cell r="G66">
            <v>2.187E-4</v>
          </cell>
        </row>
      </sheetData>
      <sheetData sheetId="15">
        <row r="13">
          <cell r="D13">
            <v>1.9219999999999999E-7</v>
          </cell>
          <cell r="H13">
            <v>2.2399999999999999E-7</v>
          </cell>
          <cell r="V13">
            <v>4.8799999999999999E-6</v>
          </cell>
          <cell r="Z13">
            <v>5.4240000000000001E-6</v>
          </cell>
        </row>
        <row r="34">
          <cell r="D34">
            <v>3.8009999999999997E-5</v>
          </cell>
          <cell r="H34">
            <v>4.0960000000000001E-5</v>
          </cell>
          <cell r="V34">
            <v>1.7310000000000001E-4</v>
          </cell>
          <cell r="Z34">
            <v>1.8310000000000001E-4</v>
          </cell>
        </row>
        <row r="46">
          <cell r="B46">
            <v>1.9999999999999999E-7</v>
          </cell>
          <cell r="T46">
            <v>6.6000000000000003E-6</v>
          </cell>
          <cell r="X46">
            <v>7.6000000000000001E-6</v>
          </cell>
        </row>
        <row r="54">
          <cell r="D54">
            <v>7.693E-4</v>
          </cell>
          <cell r="H54">
            <v>8.0159999999999997E-4</v>
          </cell>
        </row>
        <row r="66">
          <cell r="B66">
            <v>2.152E-4</v>
          </cell>
          <cell r="G66">
            <v>2.1489999999999999E-4</v>
          </cell>
        </row>
      </sheetData>
      <sheetData sheetId="16">
        <row r="13">
          <cell r="D13">
            <v>1.9219999999999999E-7</v>
          </cell>
          <cell r="H13">
            <v>2.2249999999999999E-7</v>
          </cell>
          <cell r="V13">
            <v>4.8799999999999999E-6</v>
          </cell>
          <cell r="Z13">
            <v>4.8799999999999999E-6</v>
          </cell>
        </row>
        <row r="34">
          <cell r="D34">
            <v>3.7410000000000003E-5</v>
          </cell>
          <cell r="H34">
            <v>4.0179999999999998E-5</v>
          </cell>
          <cell r="V34">
            <v>1.727E-4</v>
          </cell>
          <cell r="Z34">
            <v>1.8220000000000001E-4</v>
          </cell>
        </row>
        <row r="46">
          <cell r="B46">
            <v>9.9999999999999995E-8</v>
          </cell>
          <cell r="F46">
            <v>1.9999999999999999E-7</v>
          </cell>
          <cell r="T46">
            <v>4.7999999999999998E-6</v>
          </cell>
          <cell r="X46">
            <v>5.8000000000000004E-6</v>
          </cell>
        </row>
        <row r="54">
          <cell r="D54">
            <v>7.6659999999999999E-4</v>
          </cell>
          <cell r="H54">
            <v>7.9670000000000001E-4</v>
          </cell>
        </row>
        <row r="66">
          <cell r="B66">
            <v>1.983E-4</v>
          </cell>
          <cell r="G66">
            <v>2.162E-4</v>
          </cell>
        </row>
      </sheetData>
      <sheetData sheetId="17">
        <row r="13">
          <cell r="D13">
            <v>1.9219999999999999E-7</v>
          </cell>
        </row>
        <row r="46">
          <cell r="B46">
            <v>9.9999999999999995E-8</v>
          </cell>
          <cell r="T46">
            <v>5.9000000000000003E-6</v>
          </cell>
          <cell r="X46">
            <v>6.1E-6</v>
          </cell>
        </row>
        <row r="66">
          <cell r="B66">
            <v>2.0149999999999999E-4</v>
          </cell>
          <cell r="G66">
            <v>2.039E-4</v>
          </cell>
        </row>
      </sheetData>
      <sheetData sheetId="18">
        <row r="13">
          <cell r="D13">
            <v>1.9219999999999999E-7</v>
          </cell>
          <cell r="H13">
            <v>2.199E-7</v>
          </cell>
        </row>
        <row r="46">
          <cell r="T46">
            <v>4.7999999999999998E-6</v>
          </cell>
          <cell r="X46">
            <v>6.2999999999999998E-6</v>
          </cell>
        </row>
        <row r="66">
          <cell r="B66">
            <v>1.962E-4</v>
          </cell>
        </row>
      </sheetData>
      <sheetData sheetId="19">
        <row r="13">
          <cell r="D13">
            <v>1.9219999999999999E-7</v>
          </cell>
          <cell r="V13">
            <v>4.8799999999999999E-6</v>
          </cell>
        </row>
        <row r="34">
          <cell r="D34">
            <v>3.629E-5</v>
          </cell>
          <cell r="V34">
            <v>1.705E-4</v>
          </cell>
        </row>
        <row r="46">
          <cell r="T46">
            <v>5.3000000000000001E-6</v>
          </cell>
          <cell r="X46">
            <v>5.5999999999999997E-6</v>
          </cell>
        </row>
        <row r="54">
          <cell r="D54">
            <v>7.628E-4</v>
          </cell>
        </row>
        <row r="66">
          <cell r="B66">
            <v>1.9330000000000001E-4</v>
          </cell>
        </row>
      </sheetData>
      <sheetData sheetId="20">
        <row r="13">
          <cell r="D13">
            <v>1.9219999999999999E-7</v>
          </cell>
          <cell r="H13">
            <v>2.177E-7</v>
          </cell>
          <cell r="V13">
            <v>4.8799999999999999E-6</v>
          </cell>
          <cell r="Z13">
            <v>4.8799999999999999E-6</v>
          </cell>
        </row>
        <row r="34">
          <cell r="D34">
            <v>3.608E-5</v>
          </cell>
          <cell r="H34">
            <v>3.8359999999999999E-5</v>
          </cell>
          <cell r="V34">
            <v>1.695E-4</v>
          </cell>
          <cell r="Z34">
            <v>1.774E-4</v>
          </cell>
        </row>
        <row r="46">
          <cell r="T46">
            <v>3.9999999999999998E-6</v>
          </cell>
          <cell r="X46">
            <v>5.2000000000000002E-6</v>
          </cell>
        </row>
        <row r="54">
          <cell r="D54">
            <v>7.6139999999999997E-4</v>
          </cell>
          <cell r="H54">
            <v>7.8629999999999998E-4</v>
          </cell>
        </row>
        <row r="66">
          <cell r="B66">
            <v>1.8230000000000001E-4</v>
          </cell>
          <cell r="G66">
            <v>1.864E-4</v>
          </cell>
        </row>
      </sheetData>
      <sheetData sheetId="21">
        <row r="13">
          <cell r="D13">
            <v>1.9219999999999999E-7</v>
          </cell>
        </row>
        <row r="46">
          <cell r="T46">
            <v>5.5999999999999997E-6</v>
          </cell>
          <cell r="X46">
            <v>3.8999999999999999E-6</v>
          </cell>
        </row>
      </sheetData>
      <sheetData sheetId="22">
        <row r="13">
          <cell r="D13">
            <v>1.9219999999999999E-7</v>
          </cell>
          <cell r="H13">
            <v>2.1579999999999999E-7</v>
          </cell>
        </row>
        <row r="46">
          <cell r="T46">
            <v>4.0999999999999997E-6</v>
          </cell>
          <cell r="X46">
            <v>4.4000000000000002E-6</v>
          </cell>
        </row>
      </sheetData>
      <sheetData sheetId="23">
        <row r="13">
          <cell r="D13">
            <v>1.9219999999999999E-7</v>
          </cell>
          <cell r="V13">
            <v>4.8799999999999999E-6</v>
          </cell>
        </row>
        <row r="34">
          <cell r="D34">
            <v>3.5710000000000002E-5</v>
          </cell>
          <cell r="V34">
            <v>1.682E-4</v>
          </cell>
        </row>
        <row r="46">
          <cell r="T46">
            <v>3.1E-6</v>
          </cell>
          <cell r="X46">
            <v>3.7000000000000002E-6</v>
          </cell>
        </row>
        <row r="54">
          <cell r="D54">
            <v>7.584E-4</v>
          </cell>
        </row>
      </sheetData>
      <sheetData sheetId="24">
        <row r="13">
          <cell r="D13">
            <v>1.9219999999999999E-7</v>
          </cell>
          <cell r="H13">
            <v>2.1409999999999999E-7</v>
          </cell>
          <cell r="V13">
            <v>4.8799999999999999E-6</v>
          </cell>
          <cell r="Z13">
            <v>5.2560000000000002E-6</v>
          </cell>
        </row>
        <row r="34">
          <cell r="D34">
            <v>3.5649999999999999E-5</v>
          </cell>
          <cell r="H34">
            <v>3.7610000000000001E-5</v>
          </cell>
          <cell r="V34">
            <v>1.6809999999999999E-4</v>
          </cell>
          <cell r="Z34">
            <v>1.7479999999999999E-4</v>
          </cell>
        </row>
        <row r="46">
          <cell r="T46">
            <v>4.0999999999999997E-6</v>
          </cell>
          <cell r="X46">
            <v>3.4000000000000001E-6</v>
          </cell>
        </row>
        <row r="54">
          <cell r="D54">
            <v>7.5770000000000004E-4</v>
          </cell>
          <cell r="H54">
            <v>7.7899999999999996E-4</v>
          </cell>
        </row>
      </sheetData>
      <sheetData sheetId="25">
        <row r="13">
          <cell r="D13">
            <v>1.9219999999999999E-7</v>
          </cell>
          <cell r="V13">
            <v>4.8799999999999999E-6</v>
          </cell>
        </row>
        <row r="34">
          <cell r="V34">
            <v>1.6760000000000001E-4</v>
          </cell>
        </row>
        <row r="46">
          <cell r="T46">
            <v>4.5000000000000001E-6</v>
          </cell>
          <cell r="X46">
            <v>4.7999999999999998E-6</v>
          </cell>
        </row>
        <row r="54">
          <cell r="D54">
            <v>7.5770000000000004E-4</v>
          </cell>
        </row>
      </sheetData>
      <sheetData sheetId="26">
        <row r="13">
          <cell r="D13">
            <v>1.9219999999999999E-7</v>
          </cell>
          <cell r="H13">
            <v>2.1269999999999999E-7</v>
          </cell>
        </row>
        <row r="34">
          <cell r="D34">
            <v>3.5599999999999998E-5</v>
          </cell>
        </row>
        <row r="46">
          <cell r="T46">
            <v>3.0000000000000001E-6</v>
          </cell>
          <cell r="X46">
            <v>4.3000000000000003E-6</v>
          </cell>
        </row>
      </sheetData>
      <sheetData sheetId="27">
        <row r="13">
          <cell r="D13">
            <v>1.9219999999999999E-7</v>
          </cell>
          <cell r="V13">
            <v>4.8799999999999999E-6</v>
          </cell>
        </row>
        <row r="34">
          <cell r="D34">
            <v>3.5590000000000003E-5</v>
          </cell>
          <cell r="V34">
            <v>1.662E-4</v>
          </cell>
        </row>
        <row r="46">
          <cell r="T46">
            <v>3.1999999999999999E-6</v>
          </cell>
          <cell r="X46">
            <v>3.0000000000000001E-6</v>
          </cell>
        </row>
        <row r="54">
          <cell r="D54">
            <v>7.5529999999999998E-4</v>
          </cell>
        </row>
        <row r="66">
          <cell r="B66">
            <v>1.5770000000000001E-4</v>
          </cell>
        </row>
      </sheetData>
      <sheetData sheetId="28">
        <row r="13">
          <cell r="D13">
            <v>1.9219999999999999E-7</v>
          </cell>
          <cell r="H13">
            <v>1.9219999999999999E-7</v>
          </cell>
          <cell r="V13">
            <v>4.8799999999999999E-6</v>
          </cell>
          <cell r="Z13">
            <v>4.8799999999999999E-6</v>
          </cell>
        </row>
        <row r="34">
          <cell r="D34">
            <v>3.5349999999999999E-5</v>
          </cell>
          <cell r="H34">
            <v>3.6999999999999998E-5</v>
          </cell>
          <cell r="V34">
            <v>1.6579999999999999E-4</v>
          </cell>
          <cell r="Z34">
            <v>1.716E-4</v>
          </cell>
        </row>
        <row r="46">
          <cell r="T46">
            <v>2.5000000000000002E-6</v>
          </cell>
          <cell r="X46">
            <v>3.7000000000000002E-6</v>
          </cell>
        </row>
        <row r="54">
          <cell r="D54">
            <v>7.5500000000000003E-4</v>
          </cell>
          <cell r="H54">
            <v>7.7349999999999999E-4</v>
          </cell>
        </row>
        <row r="66">
          <cell r="B66">
            <v>1.5660000000000001E-4</v>
          </cell>
          <cell r="G66">
            <v>1.6330000000000001E-4</v>
          </cell>
        </row>
      </sheetData>
      <sheetData sheetId="29">
        <row r="13">
          <cell r="D13">
            <v>1.9219999999999999E-7</v>
          </cell>
        </row>
        <row r="46">
          <cell r="T46">
            <v>1.9999999999999999E-6</v>
          </cell>
          <cell r="X46">
            <v>3.7000000000000002E-6</v>
          </cell>
        </row>
      </sheetData>
      <sheetData sheetId="30">
        <row r="13">
          <cell r="D13">
            <v>1.9219999999999999E-7</v>
          </cell>
          <cell r="H13">
            <v>1.9219999999999999E-7</v>
          </cell>
        </row>
        <row r="46">
          <cell r="T46">
            <v>2.7999999999999999E-6</v>
          </cell>
          <cell r="X46">
            <v>3.9999999999999998E-6</v>
          </cell>
        </row>
      </sheetData>
      <sheetData sheetId="31">
        <row r="13">
          <cell r="D13">
            <v>1.9219999999999999E-7</v>
          </cell>
          <cell r="V13">
            <v>4.8799999999999999E-6</v>
          </cell>
        </row>
        <row r="34">
          <cell r="D34">
            <v>3.4560000000000001E-5</v>
          </cell>
          <cell r="V34">
            <v>1.6540000000000001E-4</v>
          </cell>
        </row>
        <row r="46">
          <cell r="T46">
            <v>1.5999999999999999E-6</v>
          </cell>
          <cell r="X46">
            <v>3.4999999999999999E-6</v>
          </cell>
        </row>
        <row r="54">
          <cell r="D54">
            <v>7.5299999999999998E-4</v>
          </cell>
        </row>
      </sheetData>
      <sheetData sheetId="32">
        <row r="13">
          <cell r="D13">
            <v>1.9219999999999999E-7</v>
          </cell>
          <cell r="H13">
            <v>1.9219999999999999E-7</v>
          </cell>
          <cell r="V13">
            <v>4.8799999999999999E-6</v>
          </cell>
          <cell r="Z13">
            <v>4.8799999999999999E-6</v>
          </cell>
        </row>
        <row r="34">
          <cell r="D34">
            <v>3.4379999999999999E-5</v>
          </cell>
          <cell r="H34">
            <v>3.5830000000000001E-5</v>
          </cell>
          <cell r="V34">
            <v>1.65E-4</v>
          </cell>
          <cell r="Z34">
            <v>1.7009999999999999E-4</v>
          </cell>
        </row>
        <row r="46">
          <cell r="T46">
            <v>2.5000000000000002E-6</v>
          </cell>
          <cell r="X46">
            <v>2.2000000000000001E-6</v>
          </cell>
        </row>
        <row r="54">
          <cell r="D54">
            <v>7.5299999999999998E-4</v>
          </cell>
          <cell r="H54">
            <v>7.693E-4</v>
          </cell>
        </row>
      </sheetData>
      <sheetData sheetId="33">
        <row r="13">
          <cell r="D13">
            <v>1.9219999999999999E-7</v>
          </cell>
        </row>
        <row r="46">
          <cell r="T46">
            <v>2.5000000000000002E-6</v>
          </cell>
          <cell r="X46">
            <v>2.9000000000000002E-6</v>
          </cell>
        </row>
      </sheetData>
      <sheetData sheetId="34">
        <row r="13">
          <cell r="D13">
            <v>1.9219999999999999E-7</v>
          </cell>
          <cell r="H13">
            <v>2.0849999999999999E-7</v>
          </cell>
        </row>
        <row r="46">
          <cell r="T46">
            <v>2.7E-6</v>
          </cell>
          <cell r="X46">
            <v>2.5000000000000002E-6</v>
          </cell>
        </row>
      </sheetData>
      <sheetData sheetId="35">
        <row r="13">
          <cell r="D13">
            <v>1.9219999999999999E-7</v>
          </cell>
          <cell r="V13">
            <v>4.8799999999999999E-6</v>
          </cell>
        </row>
        <row r="34">
          <cell r="D34">
            <v>3.4010000000000001E-5</v>
          </cell>
          <cell r="V34">
            <v>1.638E-4</v>
          </cell>
        </row>
        <row r="46">
          <cell r="T46">
            <v>2.0999999999999998E-6</v>
          </cell>
          <cell r="X46">
            <v>2.3999999999999999E-6</v>
          </cell>
        </row>
        <row r="54">
          <cell r="D54">
            <v>7.5120000000000004E-4</v>
          </cell>
        </row>
        <row r="66">
          <cell r="B66">
            <v>1.482E-4</v>
          </cell>
        </row>
      </sheetData>
      <sheetData sheetId="36">
        <row r="13">
          <cell r="D13">
            <v>1.9219999999999999E-7</v>
          </cell>
          <cell r="H13">
            <v>2.0769999999999999E-7</v>
          </cell>
          <cell r="V13">
            <v>4.8799999999999999E-6</v>
          </cell>
          <cell r="Z13">
            <v>5.147E-6</v>
          </cell>
        </row>
        <row r="34">
          <cell r="D34">
            <v>3.3930000000000002E-5</v>
          </cell>
          <cell r="H34">
            <v>3.523E-5</v>
          </cell>
          <cell r="V34">
            <v>1.6359999999999999E-4</v>
          </cell>
          <cell r="Z34">
            <v>1.682E-4</v>
          </cell>
        </row>
        <row r="46">
          <cell r="T46">
            <v>1.5999999999999999E-6</v>
          </cell>
          <cell r="X46">
            <v>2.0999999999999998E-6</v>
          </cell>
        </row>
        <row r="54">
          <cell r="D54">
            <v>7.5069999999999998E-4</v>
          </cell>
          <cell r="H54">
            <v>7.6579999999999997E-4</v>
          </cell>
        </row>
        <row r="66">
          <cell r="B66">
            <v>1.4019999999999999E-4</v>
          </cell>
          <cell r="G66">
            <v>1.4129999999999999E-4</v>
          </cell>
        </row>
      </sheetData>
      <sheetData sheetId="37">
        <row r="13">
          <cell r="D13">
            <v>1.9219999999999999E-7</v>
          </cell>
        </row>
        <row r="46">
          <cell r="T46">
            <v>2.2000000000000001E-6</v>
          </cell>
          <cell r="X46">
            <v>1.1000000000000001E-6</v>
          </cell>
        </row>
      </sheetData>
      <sheetData sheetId="38">
        <row r="13">
          <cell r="D13">
            <v>1.9219999999999999E-7</v>
          </cell>
          <cell r="H13">
            <v>1.9219999999999999E-7</v>
          </cell>
        </row>
        <row r="46">
          <cell r="T46">
            <v>2.6000000000000001E-6</v>
          </cell>
          <cell r="X46">
            <v>2.0999999999999998E-6</v>
          </cell>
        </row>
      </sheetData>
      <sheetData sheetId="39">
        <row r="13">
          <cell r="D13">
            <v>1.9219999999999999E-7</v>
          </cell>
          <cell r="V13">
            <v>4.8470000000000003E-6</v>
          </cell>
        </row>
        <row r="34">
          <cell r="D34">
            <v>3.3779999999999998E-5</v>
          </cell>
          <cell r="V34">
            <v>1.6320000000000001E-4</v>
          </cell>
        </row>
        <row r="46">
          <cell r="T46">
            <v>1.7999999999999999E-6</v>
          </cell>
          <cell r="X46">
            <v>1.5E-6</v>
          </cell>
        </row>
        <row r="54">
          <cell r="D54">
            <v>7.4969999999999995E-4</v>
          </cell>
        </row>
      </sheetData>
      <sheetData sheetId="40">
        <row r="13">
          <cell r="D13">
            <v>1.9219999999999999E-7</v>
          </cell>
          <cell r="H13">
            <v>1.9219999999999999E-7</v>
          </cell>
          <cell r="V13">
            <v>4.7820000000000001E-6</v>
          </cell>
          <cell r="Z13">
            <v>4.8799999999999999E-6</v>
          </cell>
        </row>
        <row r="34">
          <cell r="D34">
            <v>3.3760000000000002E-5</v>
          </cell>
          <cell r="H34">
            <v>3.4950000000000002E-5</v>
          </cell>
          <cell r="V34">
            <v>1.628E-4</v>
          </cell>
          <cell r="Z34">
            <v>1.6699999999999999E-4</v>
          </cell>
        </row>
        <row r="46">
          <cell r="T46">
            <v>1.7999999999999999E-6</v>
          </cell>
          <cell r="X46">
            <v>1.5E-6</v>
          </cell>
        </row>
        <row r="54">
          <cell r="D54">
            <v>7.4899999999999999E-4</v>
          </cell>
          <cell r="H54">
            <v>7.626E-4</v>
          </cell>
        </row>
      </sheetData>
      <sheetData sheetId="41">
        <row r="13">
          <cell r="D13">
            <v>1.9219999999999999E-7</v>
          </cell>
        </row>
        <row r="46">
          <cell r="T46">
            <v>2.3E-6</v>
          </cell>
          <cell r="X46">
            <v>2.0999999999999998E-6</v>
          </cell>
        </row>
      </sheetData>
      <sheetData sheetId="42">
        <row r="13">
          <cell r="D13">
            <v>1.9219999999999999E-7</v>
          </cell>
          <cell r="H13">
            <v>2.057E-7</v>
          </cell>
        </row>
        <row r="46">
          <cell r="T46">
            <v>2.3E-6</v>
          </cell>
          <cell r="X46">
            <v>2.3E-6</v>
          </cell>
        </row>
      </sheetData>
      <sheetData sheetId="43">
        <row r="13">
          <cell r="D13">
            <v>1.9219999999999999E-7</v>
          </cell>
          <cell r="V13">
            <v>4.6210000000000003E-6</v>
          </cell>
        </row>
        <row r="34">
          <cell r="D34">
            <v>3.366E-5</v>
          </cell>
          <cell r="V34">
            <v>1.6220000000000001E-4</v>
          </cell>
        </row>
        <row r="46">
          <cell r="T46">
            <v>1.5E-6</v>
          </cell>
          <cell r="X46">
            <v>1.1000000000000001E-6</v>
          </cell>
        </row>
        <row r="54">
          <cell r="D54">
            <v>7.4810000000000002E-4</v>
          </cell>
        </row>
        <row r="66">
          <cell r="B66">
            <v>1.2899999999999999E-4</v>
          </cell>
        </row>
      </sheetData>
      <sheetData sheetId="44">
        <row r="13">
          <cell r="D13">
            <v>1.9219999999999999E-7</v>
          </cell>
          <cell r="H13">
            <v>2.0520000000000001E-7</v>
          </cell>
          <cell r="V13">
            <v>4.5770000000000004E-6</v>
          </cell>
          <cell r="Z13">
            <v>4.7620000000000003E-6</v>
          </cell>
        </row>
        <row r="34">
          <cell r="D34">
            <v>3.3510000000000003E-5</v>
          </cell>
          <cell r="H34">
            <v>3.4570000000000003E-5</v>
          </cell>
          <cell r="V34">
            <v>1.6220000000000001E-4</v>
          </cell>
          <cell r="Z34">
            <v>1.66E-4</v>
          </cell>
        </row>
        <row r="46">
          <cell r="T46">
            <v>1.3999999999999999E-6</v>
          </cell>
          <cell r="X46">
            <v>2.0999999999999998E-6</v>
          </cell>
        </row>
        <row r="54">
          <cell r="D54">
            <v>7.4759999999999996E-4</v>
          </cell>
          <cell r="H54">
            <v>7.6009999999999999E-4</v>
          </cell>
        </row>
        <row r="66">
          <cell r="B66">
            <v>1.17E-4</v>
          </cell>
          <cell r="G66">
            <v>1.236E-4</v>
          </cell>
        </row>
      </sheetData>
      <sheetData sheetId="45">
        <row r="46">
          <cell r="T46">
            <v>1.9999999999999999E-6</v>
          </cell>
          <cell r="X46">
            <v>2.5000000000000002E-6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根构件 "/>
      <sheetName val="6根构件 "/>
      <sheetName val="7根构件"/>
      <sheetName val="8根构件 开始"/>
      <sheetName val="9根构件"/>
      <sheetName val="10根构件"/>
      <sheetName val="11根构件"/>
      <sheetName val="12根构件"/>
      <sheetName val="13根构件"/>
      <sheetName val="14根构件"/>
      <sheetName val="15根构件"/>
      <sheetName val="16根构件"/>
      <sheetName val="17根构件 "/>
      <sheetName val="18根构件 "/>
      <sheetName val="19根构件"/>
      <sheetName val="20根构件"/>
      <sheetName val="21根构件"/>
      <sheetName val="22根构件"/>
      <sheetName val="23根构件"/>
      <sheetName val="24根构件"/>
      <sheetName val="25根构件"/>
      <sheetName val="26根构件"/>
      <sheetName val="27根构件 "/>
      <sheetName val="28根构件"/>
      <sheetName val="29根构件"/>
      <sheetName val="30根构件"/>
      <sheetName val="31根构件 "/>
      <sheetName val="32根构件 "/>
      <sheetName val="33根构件"/>
      <sheetName val="34根构件"/>
      <sheetName val="35根构件"/>
      <sheetName val="36根构件 "/>
      <sheetName val="37根构件"/>
      <sheetName val="38根构件"/>
      <sheetName val="39根构件"/>
      <sheetName val="40根构件"/>
      <sheetName val="41根构件"/>
      <sheetName val="42根构件"/>
      <sheetName val="43根构件"/>
      <sheetName val="44根构件"/>
      <sheetName val="45根构件"/>
      <sheetName val="46根构件"/>
      <sheetName val="47根构件"/>
      <sheetName val="48根构件 "/>
      <sheetName val="49根构件"/>
      <sheetName val="50根构件"/>
    </sheetNames>
    <sheetDataSet>
      <sheetData sheetId="0"/>
      <sheetData sheetId="1"/>
      <sheetData sheetId="2"/>
      <sheetData sheetId="3"/>
      <sheetData sheetId="4"/>
      <sheetData sheetId="5">
        <row r="13">
          <cell r="H13">
            <v>2.5590000000000001E-7</v>
          </cell>
          <cell r="Z13">
            <v>4.8799999999999999E-6</v>
          </cell>
        </row>
        <row r="34">
          <cell r="H34">
            <v>4.0899999999999998E-5</v>
          </cell>
          <cell r="Z34">
            <v>2.0460000000000001E-4</v>
          </cell>
        </row>
        <row r="54">
          <cell r="H54">
            <v>8.7049999999999996E-4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3">
          <cell r="H13">
            <v>2.2399999999999999E-7</v>
          </cell>
          <cell r="V13">
            <v>4.8799999999999999E-6</v>
          </cell>
          <cell r="AN13">
            <v>1.9219999999999999E-7</v>
          </cell>
          <cell r="BF13">
            <v>4.8799999999999999E-6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3">
          <cell r="D13">
            <v>1.9219999999999999E-7</v>
          </cell>
          <cell r="V13">
            <v>4.8799999999999999E-6</v>
          </cell>
        </row>
        <row r="34">
          <cell r="D34">
            <v>3.5649999999999999E-5</v>
          </cell>
          <cell r="V34">
            <v>1.6809999999999999E-4</v>
          </cell>
        </row>
        <row r="54">
          <cell r="D54">
            <v>7.5770000000000004E-4</v>
          </cell>
        </row>
      </sheetData>
      <sheetData sheetId="25">
        <row r="75">
          <cell r="G75">
            <v>1.9219999999999996E-7</v>
          </cell>
        </row>
        <row r="114">
          <cell r="G114">
            <v>4.879999999999999E-6</v>
          </cell>
        </row>
        <row r="153">
          <cell r="G153">
            <v>3.5621499999999998E-5</v>
          </cell>
        </row>
        <row r="192">
          <cell r="G192">
            <v>1.6762500000000002E-4</v>
          </cell>
        </row>
        <row r="231">
          <cell r="G231">
            <v>7.5769999999999993E-4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根构件 "/>
      <sheetName val="6根构件 "/>
      <sheetName val="7根构件"/>
      <sheetName val="8根构件开始"/>
      <sheetName val="9根构件"/>
      <sheetName val="10根构件"/>
      <sheetName val="11根构件 "/>
      <sheetName val="12根构件"/>
      <sheetName val="13根构件"/>
      <sheetName val="14根构件"/>
      <sheetName val="15根构件 "/>
      <sheetName val="16根构件  "/>
      <sheetName val="17根构件  "/>
      <sheetName val="18根构件  "/>
      <sheetName val="19根构件"/>
      <sheetName val="20根构件"/>
      <sheetName val="21根构件 "/>
      <sheetName val="22根构件 "/>
      <sheetName val="23根构件"/>
      <sheetName val="24根构件 "/>
      <sheetName val="25根构件 "/>
      <sheetName val="26根构件"/>
      <sheetName val="27根构件"/>
      <sheetName val="28根构件"/>
      <sheetName val="29根构件 "/>
      <sheetName val="30根构件"/>
      <sheetName val="31根构件 "/>
      <sheetName val="32根构件"/>
      <sheetName val="33根构件 "/>
      <sheetName val="34根构件"/>
      <sheetName val="35根构件 "/>
      <sheetName val="36根构件 "/>
      <sheetName val="37根构件  "/>
      <sheetName val="38根构件  "/>
      <sheetName val="39根构件   "/>
      <sheetName val="40根构件  "/>
      <sheetName val="41根构件  "/>
      <sheetName val="42根构件  "/>
      <sheetName val="43根构件   "/>
      <sheetName val="44根构件 "/>
      <sheetName val="45根构件  "/>
      <sheetName val="46根构件 "/>
      <sheetName val="47根构件  "/>
      <sheetName val="48根构件 "/>
      <sheetName val="49根构件  "/>
      <sheetName val="50根构件 "/>
    </sheetNames>
    <sheetDataSet>
      <sheetData sheetId="0"/>
      <sheetData sheetId="1"/>
      <sheetData sheetId="2"/>
      <sheetData sheetId="3">
        <row r="13">
          <cell r="D13">
            <v>5.007E-5</v>
          </cell>
          <cell r="V13">
            <v>3.5790000000000003E-4</v>
          </cell>
        </row>
        <row r="25">
          <cell r="T25">
            <v>2.7E-6</v>
          </cell>
        </row>
        <row r="34">
          <cell r="D34">
            <v>1.4E-3</v>
          </cell>
          <cell r="V34">
            <v>3.5999999999999999E-3</v>
          </cell>
          <cell r="Z34">
            <v>3.8999999999999998E-3</v>
          </cell>
        </row>
        <row r="46">
          <cell r="B46">
            <v>1.0289999999999999E-4</v>
          </cell>
          <cell r="T46">
            <v>9.4300000000000004E-4</v>
          </cell>
        </row>
        <row r="54">
          <cell r="D54">
            <v>1.01E-2</v>
          </cell>
        </row>
        <row r="66">
          <cell r="B66">
            <v>5.7000000000000002E-3</v>
          </cell>
        </row>
      </sheetData>
      <sheetData sheetId="4">
        <row r="13">
          <cell r="D13">
            <v>5.007E-5</v>
          </cell>
          <cell r="V13">
            <v>3.5790000000000003E-4</v>
          </cell>
          <cell r="Z13">
            <v>3.5790000000000003E-4</v>
          </cell>
        </row>
        <row r="25">
          <cell r="T25">
            <v>1.5E-6</v>
          </cell>
          <cell r="X25">
            <v>2.5000000000000002E-6</v>
          </cell>
        </row>
        <row r="34">
          <cell r="D34">
            <v>1.4E-3</v>
          </cell>
          <cell r="H34">
            <v>1.4E-3</v>
          </cell>
          <cell r="V34">
            <v>3.5000000000000001E-3</v>
          </cell>
        </row>
        <row r="46">
          <cell r="B46">
            <v>7.6299999999999998E-5</v>
          </cell>
          <cell r="F46">
            <v>9.4699999999999998E-5</v>
          </cell>
          <cell r="T46">
            <v>8.0440000000000004E-4</v>
          </cell>
          <cell r="X46">
            <v>9.1020000000000001E-4</v>
          </cell>
        </row>
        <row r="54">
          <cell r="D54">
            <v>9.9000000000000008E-3</v>
          </cell>
          <cell r="H54">
            <v>1.06E-2</v>
          </cell>
        </row>
        <row r="66">
          <cell r="B66">
            <v>5.3E-3</v>
          </cell>
          <cell r="G66">
            <v>5.5999999999999999E-3</v>
          </cell>
        </row>
      </sheetData>
      <sheetData sheetId="5">
        <row r="13">
          <cell r="D13">
            <v>5.007E-5</v>
          </cell>
          <cell r="H13">
            <v>5.007E-5</v>
          </cell>
          <cell r="V13">
            <v>3.5790000000000003E-4</v>
          </cell>
          <cell r="Z13">
            <v>3.5790000000000003E-4</v>
          </cell>
        </row>
        <row r="25">
          <cell r="T25">
            <v>5.9999999999999997E-7</v>
          </cell>
          <cell r="X25">
            <v>8.9999999999999996E-7</v>
          </cell>
        </row>
        <row r="34">
          <cell r="D34">
            <v>1.2999999999999999E-3</v>
          </cell>
          <cell r="H34">
            <v>1.4E-3</v>
          </cell>
          <cell r="V34">
            <v>3.5000000000000001E-3</v>
          </cell>
          <cell r="Z34">
            <v>3.8999999999999998E-3</v>
          </cell>
        </row>
        <row r="46">
          <cell r="B46">
            <v>5.77E-5</v>
          </cell>
          <cell r="F46">
            <v>6.8499999999999998E-5</v>
          </cell>
          <cell r="T46">
            <v>6.8729999999999996E-4</v>
          </cell>
          <cell r="X46">
            <v>7.9009999999999996E-4</v>
          </cell>
        </row>
        <row r="54">
          <cell r="D54">
            <v>9.7999999999999997E-3</v>
          </cell>
          <cell r="H54">
            <v>1.0500000000000001E-2</v>
          </cell>
        </row>
        <row r="66">
          <cell r="B66">
            <v>5.0000000000000001E-3</v>
          </cell>
          <cell r="G66">
            <v>5.3E-3</v>
          </cell>
        </row>
      </sheetData>
      <sheetData sheetId="6">
        <row r="13">
          <cell r="D13">
            <v>5.007E-5</v>
          </cell>
          <cell r="H13">
            <v>5.007E-5</v>
          </cell>
          <cell r="V13">
            <v>3.5790000000000003E-4</v>
          </cell>
          <cell r="Z13">
            <v>3.5790000000000003E-4</v>
          </cell>
        </row>
        <row r="25">
          <cell r="T25">
            <v>6.9999999999999997E-7</v>
          </cell>
          <cell r="X25">
            <v>7.9999999999999996E-7</v>
          </cell>
        </row>
        <row r="34">
          <cell r="D34">
            <v>1.1999999999999999E-3</v>
          </cell>
          <cell r="H34">
            <v>1.4E-3</v>
          </cell>
          <cell r="V34">
            <v>3.5000000000000001E-3</v>
          </cell>
          <cell r="Z34">
            <v>3.8999999999999998E-3</v>
          </cell>
        </row>
        <row r="46">
          <cell r="B46">
            <v>4.6499999999999999E-5</v>
          </cell>
          <cell r="F46">
            <v>5.1499999999999998E-5</v>
          </cell>
          <cell r="T46">
            <v>6.2060000000000001E-4</v>
          </cell>
          <cell r="X46">
            <v>6.8760000000000002E-4</v>
          </cell>
        </row>
        <row r="54">
          <cell r="D54">
            <v>9.7999999999999997E-3</v>
          </cell>
          <cell r="H54">
            <v>1.03E-2</v>
          </cell>
        </row>
        <row r="66">
          <cell r="B66">
            <v>4.7999999999999996E-3</v>
          </cell>
          <cell r="G66">
            <v>5.0000000000000001E-3</v>
          </cell>
        </row>
      </sheetData>
      <sheetData sheetId="7">
        <row r="13">
          <cell r="D13">
            <v>5.007E-5</v>
          </cell>
          <cell r="H13">
            <v>5.007E-5</v>
          </cell>
          <cell r="V13">
            <v>3.5790000000000003E-4</v>
          </cell>
          <cell r="Z13">
            <v>3.5790000000000003E-4</v>
          </cell>
        </row>
        <row r="25">
          <cell r="T25">
            <v>5.9999999999999997E-7</v>
          </cell>
          <cell r="X25">
            <v>4.9999999999999998E-7</v>
          </cell>
        </row>
        <row r="34">
          <cell r="D34">
            <v>1.1999999999999999E-3</v>
          </cell>
          <cell r="H34">
            <v>1.4E-3</v>
          </cell>
          <cell r="V34">
            <v>3.3999999999999998E-3</v>
          </cell>
          <cell r="Z34">
            <v>3.8E-3</v>
          </cell>
        </row>
        <row r="46">
          <cell r="B46">
            <v>3.2299999999999999E-5</v>
          </cell>
          <cell r="F46">
            <v>4.1699999999999997E-5</v>
          </cell>
          <cell r="T46">
            <v>5.5999999999999995E-4</v>
          </cell>
          <cell r="X46">
            <v>6.0990000000000003E-4</v>
          </cell>
        </row>
        <row r="54">
          <cell r="D54">
            <v>9.7000000000000003E-3</v>
          </cell>
          <cell r="H54">
            <v>1.0200000000000001E-2</v>
          </cell>
        </row>
        <row r="66">
          <cell r="B66">
            <v>4.4999999999999997E-3</v>
          </cell>
          <cell r="G66">
            <v>4.7999999999999996E-3</v>
          </cell>
        </row>
      </sheetData>
      <sheetData sheetId="8">
        <row r="13">
          <cell r="D13">
            <v>5.007E-5</v>
          </cell>
          <cell r="H13">
            <v>5.007E-5</v>
          </cell>
          <cell r="V13">
            <v>3.5790000000000003E-4</v>
          </cell>
          <cell r="Z13">
            <v>3.5790000000000003E-4</v>
          </cell>
        </row>
        <row r="25">
          <cell r="T25">
            <v>1.9999999999999999E-7</v>
          </cell>
          <cell r="X25">
            <v>9.9999999999999995E-8</v>
          </cell>
        </row>
        <row r="34">
          <cell r="D34">
            <v>1.1999999999999999E-3</v>
          </cell>
          <cell r="H34">
            <v>1.2999999999999999E-3</v>
          </cell>
          <cell r="V34">
            <v>3.3E-3</v>
          </cell>
          <cell r="Z34">
            <v>3.7000000000000002E-3</v>
          </cell>
        </row>
        <row r="46">
          <cell r="B46">
            <v>3.0800000000000003E-5</v>
          </cell>
          <cell r="F46">
            <v>3.4499999999999998E-5</v>
          </cell>
          <cell r="T46">
            <v>4.975E-4</v>
          </cell>
          <cell r="X46">
            <v>5.421E-4</v>
          </cell>
        </row>
        <row r="54">
          <cell r="D54">
            <v>9.7000000000000003E-3</v>
          </cell>
          <cell r="H54">
            <v>1.01E-2</v>
          </cell>
        </row>
        <row r="66">
          <cell r="B66">
            <v>4.4000000000000003E-3</v>
          </cell>
          <cell r="G66">
            <v>4.5999999999999999E-3</v>
          </cell>
        </row>
      </sheetData>
      <sheetData sheetId="9">
        <row r="25">
          <cell r="T25">
            <v>9.9999999999999995E-8</v>
          </cell>
          <cell r="X25">
            <v>9.9999999999999995E-8</v>
          </cell>
        </row>
        <row r="46">
          <cell r="B46">
            <v>2.34E-5</v>
          </cell>
          <cell r="F46">
            <v>3.0700000000000001E-5</v>
          </cell>
          <cell r="T46">
            <v>4.4119999999999999E-4</v>
          </cell>
          <cell r="X46">
            <v>4.6799999999999999E-4</v>
          </cell>
        </row>
        <row r="66">
          <cell r="B66">
            <v>4.1999999999999997E-3</v>
          </cell>
          <cell r="G66">
            <v>3.385596</v>
          </cell>
        </row>
      </sheetData>
      <sheetData sheetId="10">
        <row r="46">
          <cell r="B46">
            <v>1.9400000000000001E-5</v>
          </cell>
          <cell r="F46">
            <v>2.3099999999999999E-5</v>
          </cell>
          <cell r="T46">
            <v>4.0989999999999999E-4</v>
          </cell>
          <cell r="X46">
            <v>4.3839999999999998E-4</v>
          </cell>
        </row>
      </sheetData>
      <sheetData sheetId="11">
        <row r="13">
          <cell r="D13">
            <v>5.007E-5</v>
          </cell>
          <cell r="V13">
            <v>3.2660000000000002E-4</v>
          </cell>
        </row>
        <row r="34">
          <cell r="D34">
            <v>1.1999999999999999E-3</v>
          </cell>
          <cell r="V34">
            <v>3.3E-3</v>
          </cell>
        </row>
        <row r="46">
          <cell r="B46">
            <v>1.5699999999999999E-5</v>
          </cell>
          <cell r="F46">
            <v>1.8600000000000001E-5</v>
          </cell>
          <cell r="T46">
            <v>3.8929999999999998E-4</v>
          </cell>
          <cell r="X46">
            <v>4.0230000000000002E-4</v>
          </cell>
        </row>
        <row r="54">
          <cell r="D54">
            <v>9.5999999999999992E-3</v>
          </cell>
        </row>
        <row r="66">
          <cell r="B66">
            <v>4.0000000000000001E-3</v>
          </cell>
        </row>
      </sheetData>
      <sheetData sheetId="12">
        <row r="13">
          <cell r="D13">
            <v>5.007E-5</v>
          </cell>
          <cell r="H13">
            <v>5.007E-5</v>
          </cell>
          <cell r="V13">
            <v>3.1480000000000001E-4</v>
          </cell>
          <cell r="Z13">
            <v>3.5790000000000003E-4</v>
          </cell>
        </row>
        <row r="34">
          <cell r="D34">
            <v>1.1000000000000001E-3</v>
          </cell>
          <cell r="H34">
            <v>1.2999999999999999E-3</v>
          </cell>
          <cell r="V34">
            <v>3.2000000000000002E-3</v>
          </cell>
          <cell r="Z34">
            <v>3.5000000000000001E-3</v>
          </cell>
        </row>
        <row r="46">
          <cell r="B46">
            <v>1.38E-5</v>
          </cell>
          <cell r="F46">
            <v>1.5099999999999999E-5</v>
          </cell>
          <cell r="T46">
            <v>3.5950000000000001E-4</v>
          </cell>
          <cell r="X46">
            <v>3.8039999999999998E-4</v>
          </cell>
        </row>
        <row r="54">
          <cell r="D54">
            <v>9.5999999999999992E-3</v>
          </cell>
          <cell r="H54">
            <v>9.9000000000000008E-3</v>
          </cell>
        </row>
        <row r="66">
          <cell r="B66">
            <v>3.8E-3</v>
          </cell>
          <cell r="G66">
            <v>3.8999999999999998E-3</v>
          </cell>
        </row>
      </sheetData>
      <sheetData sheetId="13">
        <row r="46">
          <cell r="B46">
            <v>1.29E-5</v>
          </cell>
          <cell r="T46">
            <v>3.2759999999999999E-4</v>
          </cell>
          <cell r="X46">
            <v>3.414E-4</v>
          </cell>
        </row>
      </sheetData>
      <sheetData sheetId="14">
        <row r="13">
          <cell r="D13">
            <v>5.007E-5</v>
          </cell>
        </row>
        <row r="46">
          <cell r="B46">
            <v>1.1600000000000001E-5</v>
          </cell>
          <cell r="T46">
            <v>3.0140000000000001E-4</v>
          </cell>
          <cell r="X46">
            <v>3.2210000000000002E-4</v>
          </cell>
        </row>
      </sheetData>
      <sheetData sheetId="15">
        <row r="13">
          <cell r="D13">
            <v>5.007E-5</v>
          </cell>
          <cell r="H13">
            <v>5.007E-5</v>
          </cell>
          <cell r="V13">
            <v>2.9530000000000002E-4</v>
          </cell>
        </row>
        <row r="34">
          <cell r="D34">
            <v>1.1000000000000001E-3</v>
          </cell>
          <cell r="V34">
            <v>3.2000000000000002E-3</v>
          </cell>
        </row>
        <row r="46">
          <cell r="B46">
            <v>1.03E-5</v>
          </cell>
          <cell r="T46">
            <v>2.9690000000000001E-4</v>
          </cell>
          <cell r="X46">
            <v>3.0929999999999998E-4</v>
          </cell>
        </row>
        <row r="54">
          <cell r="D54">
            <v>9.4999999999999998E-3</v>
          </cell>
        </row>
        <row r="66">
          <cell r="B66">
            <v>3.5999999999999999E-3</v>
          </cell>
        </row>
      </sheetData>
      <sheetData sheetId="16">
        <row r="13">
          <cell r="D13">
            <v>5.007E-5</v>
          </cell>
          <cell r="H13">
            <v>5.007E-5</v>
          </cell>
          <cell r="V13">
            <v>2.921E-4</v>
          </cell>
          <cell r="Z13">
            <v>3.2919999999999998E-4</v>
          </cell>
        </row>
        <row r="34">
          <cell r="D34">
            <v>1.1000000000000001E-3</v>
          </cell>
          <cell r="H34">
            <v>1.1999999999999999E-3</v>
          </cell>
          <cell r="V34">
            <v>3.2000000000000002E-3</v>
          </cell>
          <cell r="Z34">
            <v>3.3999999999999998E-3</v>
          </cell>
        </row>
        <row r="46">
          <cell r="B46">
            <v>9.0999999999999993E-6</v>
          </cell>
          <cell r="F46">
            <v>9.0999999999999993E-6</v>
          </cell>
          <cell r="T46">
            <v>2.8210000000000003E-4</v>
          </cell>
          <cell r="X46">
            <v>2.7980000000000002E-4</v>
          </cell>
        </row>
        <row r="54">
          <cell r="D54">
            <v>9.4999999999999998E-3</v>
          </cell>
          <cell r="H54">
            <v>9.7000000000000003E-3</v>
          </cell>
        </row>
        <row r="66">
          <cell r="B66">
            <v>3.5000000000000001E-3</v>
          </cell>
          <cell r="G66">
            <v>3.5999999999999999E-3</v>
          </cell>
        </row>
      </sheetData>
      <sheetData sheetId="17">
        <row r="46">
          <cell r="B46">
            <v>7.3000000000000004E-6</v>
          </cell>
          <cell r="T46">
            <v>2.6239999999999998E-4</v>
          </cell>
          <cell r="X46">
            <v>2.6150000000000001E-4</v>
          </cell>
        </row>
      </sheetData>
      <sheetData sheetId="18">
        <row r="46">
          <cell r="B46">
            <v>7.4000000000000003E-6</v>
          </cell>
          <cell r="T46">
            <v>2.441E-4</v>
          </cell>
          <cell r="X46">
            <v>2.5520000000000002E-4</v>
          </cell>
        </row>
      </sheetData>
      <sheetData sheetId="19">
        <row r="13">
          <cell r="D13">
            <v>5.007E-5</v>
          </cell>
          <cell r="V13">
            <v>2.8729999999999999E-4</v>
          </cell>
        </row>
        <row r="34">
          <cell r="D34">
            <v>1.1000000000000001E-3</v>
          </cell>
          <cell r="V34">
            <v>3.2000000000000002E-3</v>
          </cell>
        </row>
        <row r="46">
          <cell r="B46">
            <v>6.8000000000000001E-6</v>
          </cell>
          <cell r="T46">
            <v>2.2139999999999999E-4</v>
          </cell>
          <cell r="X46">
            <v>2.4379999999999999E-4</v>
          </cell>
        </row>
        <row r="54">
          <cell r="D54">
            <v>9.4000000000000004E-3</v>
          </cell>
        </row>
        <row r="66">
          <cell r="B66">
            <v>3.3E-3</v>
          </cell>
        </row>
      </sheetData>
      <sheetData sheetId="20">
        <row r="13">
          <cell r="D13">
            <v>5.007E-5</v>
          </cell>
          <cell r="H13">
            <v>5.007E-5</v>
          </cell>
          <cell r="V13">
            <v>2.8679999999999998E-4</v>
          </cell>
          <cell r="Z13">
            <v>3.1849999999999999E-4</v>
          </cell>
        </row>
        <row r="34">
          <cell r="D34">
            <v>1.1000000000000001E-3</v>
          </cell>
          <cell r="H34">
            <v>1.1000000000000001E-3</v>
          </cell>
          <cell r="V34">
            <v>3.0999999999999999E-3</v>
          </cell>
          <cell r="Z34">
            <v>3.3E-3</v>
          </cell>
        </row>
        <row r="46">
          <cell r="B46">
            <v>7.3000000000000004E-6</v>
          </cell>
          <cell r="F46">
            <v>6.9999999999999999E-6</v>
          </cell>
          <cell r="T46">
            <v>2.2279999999999999E-4</v>
          </cell>
          <cell r="X46">
            <v>2.3340000000000001E-4</v>
          </cell>
        </row>
        <row r="54">
          <cell r="D54">
            <v>9.4000000000000004E-3</v>
          </cell>
          <cell r="H54">
            <v>9.5999999999999992E-3</v>
          </cell>
        </row>
        <row r="66">
          <cell r="B66">
            <v>3.2000000000000002E-3</v>
          </cell>
          <cell r="G66">
            <v>3.2000000000000002E-3</v>
          </cell>
        </row>
      </sheetData>
      <sheetData sheetId="21">
        <row r="46">
          <cell r="B46">
            <v>5.9000000000000003E-6</v>
          </cell>
          <cell r="T46">
            <v>2.1369999999999999E-4</v>
          </cell>
          <cell r="X46">
            <v>2.264E-4</v>
          </cell>
        </row>
      </sheetData>
      <sheetData sheetId="22">
        <row r="46">
          <cell r="B46">
            <v>5.2000000000000002E-6</v>
          </cell>
          <cell r="T46">
            <v>1.983E-4</v>
          </cell>
          <cell r="X46">
            <v>1.953E-4</v>
          </cell>
        </row>
      </sheetData>
      <sheetData sheetId="23">
        <row r="13">
          <cell r="D13">
            <v>5.007E-5</v>
          </cell>
          <cell r="V13">
            <v>2.7900000000000001E-4</v>
          </cell>
        </row>
        <row r="34">
          <cell r="D34">
            <v>1E-3</v>
          </cell>
          <cell r="V34">
            <v>3.0999999999999999E-3</v>
          </cell>
        </row>
        <row r="46">
          <cell r="B46">
            <v>3.9999999999999998E-6</v>
          </cell>
          <cell r="T46">
            <v>1.9459999999999999E-4</v>
          </cell>
          <cell r="X46">
            <v>1.9819999999999999E-4</v>
          </cell>
        </row>
        <row r="54">
          <cell r="D54">
            <v>9.4000000000000004E-3</v>
          </cell>
        </row>
        <row r="66">
          <cell r="B66">
            <v>3.0000000000000001E-3</v>
          </cell>
        </row>
      </sheetData>
      <sheetData sheetId="24">
        <row r="13">
          <cell r="D13">
            <v>4.9200000000000003E-5</v>
          </cell>
          <cell r="H13">
            <v>5.007E-5</v>
          </cell>
          <cell r="V13">
            <v>2.7470000000000001E-4</v>
          </cell>
          <cell r="Z13">
            <v>3.2400000000000001E-4</v>
          </cell>
        </row>
        <row r="34">
          <cell r="D34">
            <v>1E-3</v>
          </cell>
          <cell r="H34">
            <v>1.1000000000000001E-3</v>
          </cell>
          <cell r="V34">
            <v>3.0999999999999999E-3</v>
          </cell>
          <cell r="Z34">
            <v>3.3E-3</v>
          </cell>
        </row>
        <row r="46">
          <cell r="B46">
            <v>4.7999999999999998E-6</v>
          </cell>
          <cell r="F46">
            <v>4.3000000000000003E-6</v>
          </cell>
          <cell r="T46">
            <v>1.8369999999999999E-4</v>
          </cell>
          <cell r="X46">
            <v>1.942E-4</v>
          </cell>
        </row>
        <row r="54">
          <cell r="D54">
            <v>9.4000000000000004E-3</v>
          </cell>
          <cell r="H54">
            <v>9.5999999999999992E-3</v>
          </cell>
        </row>
        <row r="66">
          <cell r="B66">
            <v>3.0000000000000001E-3</v>
          </cell>
          <cell r="G66">
            <v>3.0000000000000001E-3</v>
          </cell>
        </row>
      </sheetData>
      <sheetData sheetId="25">
        <row r="46">
          <cell r="B46">
            <v>4.5000000000000001E-6</v>
          </cell>
          <cell r="T46">
            <v>1.875E-4</v>
          </cell>
          <cell r="X46">
            <v>1.8440000000000001E-4</v>
          </cell>
        </row>
      </sheetData>
      <sheetData sheetId="26">
        <row r="46">
          <cell r="B46">
            <v>3.0000000000000001E-6</v>
          </cell>
          <cell r="T46">
            <v>1.707E-4</v>
          </cell>
          <cell r="X46">
            <v>1.8239999999999999E-4</v>
          </cell>
        </row>
      </sheetData>
      <sheetData sheetId="27">
        <row r="13">
          <cell r="D13">
            <v>4.3699999999999998E-5</v>
          </cell>
          <cell r="V13">
            <v>2.6640000000000002E-4</v>
          </cell>
        </row>
        <row r="34">
          <cell r="D34">
            <v>1E-3</v>
          </cell>
          <cell r="V34">
            <v>3.0999999999999999E-3</v>
          </cell>
        </row>
        <row r="46">
          <cell r="B46">
            <v>3.4000000000000001E-6</v>
          </cell>
          <cell r="T46">
            <v>1.6119999999999999E-4</v>
          </cell>
          <cell r="X46">
            <v>1.7229999999999999E-4</v>
          </cell>
        </row>
        <row r="54">
          <cell r="D54">
            <v>9.4000000000000004E-3</v>
          </cell>
        </row>
        <row r="66">
          <cell r="B66">
            <v>2.8999999999999998E-3</v>
          </cell>
        </row>
      </sheetData>
      <sheetData sheetId="28">
        <row r="13">
          <cell r="D13">
            <v>4.2339999999999998E-5</v>
          </cell>
          <cell r="H13">
            <v>4.6260000000000001E-5</v>
          </cell>
          <cell r="V13">
            <v>2.6479999999999999E-4</v>
          </cell>
          <cell r="Z13">
            <v>2.8590000000000001E-4</v>
          </cell>
        </row>
        <row r="34">
          <cell r="D34">
            <v>1E-3</v>
          </cell>
          <cell r="H34">
            <v>1.1000000000000001E-3</v>
          </cell>
          <cell r="V34">
            <v>3.0999999999999999E-3</v>
          </cell>
          <cell r="Z34">
            <v>3.2000000000000002E-3</v>
          </cell>
        </row>
        <row r="46">
          <cell r="B46">
            <v>3.1E-6</v>
          </cell>
          <cell r="F46">
            <v>3.0000000000000001E-6</v>
          </cell>
          <cell r="T46">
            <v>1.693E-4</v>
          </cell>
          <cell r="X46">
            <v>1.517E-4</v>
          </cell>
        </row>
        <row r="54">
          <cell r="D54">
            <v>9.4000000000000004E-3</v>
          </cell>
          <cell r="H54">
            <v>9.4999999999999998E-3</v>
          </cell>
        </row>
        <row r="66">
          <cell r="B66">
            <v>2.8E-3</v>
          </cell>
          <cell r="G66">
            <v>2.8E-3</v>
          </cell>
        </row>
      </sheetData>
      <sheetData sheetId="29">
        <row r="46">
          <cell r="B46">
            <v>3.4999999999999999E-6</v>
          </cell>
          <cell r="T46">
            <v>1.537E-4</v>
          </cell>
          <cell r="X46">
            <v>1.562E-4</v>
          </cell>
        </row>
      </sheetData>
      <sheetData sheetId="30">
        <row r="46">
          <cell r="B46">
            <v>1.5999999999999999E-6</v>
          </cell>
          <cell r="T46">
            <v>1.539E-4</v>
          </cell>
          <cell r="X46">
            <v>1.5249999999999999E-4</v>
          </cell>
        </row>
      </sheetData>
      <sheetData sheetId="31">
        <row r="13">
          <cell r="D13">
            <v>3.9270000000000002E-5</v>
          </cell>
          <cell r="V13">
            <v>2.6209999999999997E-4</v>
          </cell>
        </row>
        <row r="34">
          <cell r="D34">
            <v>1E-3</v>
          </cell>
          <cell r="V34">
            <v>3.0999999999999999E-3</v>
          </cell>
        </row>
        <row r="46">
          <cell r="B46">
            <v>2.0999999999999998E-6</v>
          </cell>
          <cell r="T46">
            <v>1.4889999999999999E-4</v>
          </cell>
          <cell r="X46">
            <v>1.5109999999999999E-4</v>
          </cell>
        </row>
        <row r="54">
          <cell r="D54">
            <v>9.2999999999999992E-3</v>
          </cell>
        </row>
        <row r="66">
          <cell r="B66">
            <v>2.7000000000000001E-3</v>
          </cell>
        </row>
      </sheetData>
      <sheetData sheetId="32">
        <row r="13">
          <cell r="D13">
            <v>3.8510000000000002E-5</v>
          </cell>
          <cell r="H13">
            <v>4.2049999999999999E-5</v>
          </cell>
          <cell r="V13">
            <v>2.6170000000000002E-4</v>
          </cell>
          <cell r="Z13">
            <v>2.809E-4</v>
          </cell>
        </row>
        <row r="34">
          <cell r="D34">
            <v>1E-3</v>
          </cell>
          <cell r="H34">
            <v>1.1000000000000001E-3</v>
          </cell>
          <cell r="V34">
            <v>3.0999999999999999E-3</v>
          </cell>
          <cell r="Z34">
            <v>3.2000000000000002E-3</v>
          </cell>
        </row>
        <row r="46">
          <cell r="B46">
            <v>2.6000000000000001E-6</v>
          </cell>
          <cell r="F46">
            <v>2.9000000000000002E-6</v>
          </cell>
          <cell r="T46">
            <v>1.394E-4</v>
          </cell>
          <cell r="X46">
            <v>1.4990000000000001E-4</v>
          </cell>
        </row>
        <row r="54">
          <cell r="D54">
            <v>9.2999999999999992E-3</v>
          </cell>
          <cell r="H54">
            <v>9.4999999999999998E-3</v>
          </cell>
        </row>
        <row r="66">
          <cell r="B66">
            <v>2.7000000000000001E-3</v>
          </cell>
          <cell r="G66">
            <v>2.7000000000000001E-3</v>
          </cell>
        </row>
      </sheetData>
      <sheetData sheetId="33">
        <row r="46">
          <cell r="B46">
            <v>2.3999999999999999E-6</v>
          </cell>
          <cell r="T46">
            <v>1.372E-4</v>
          </cell>
          <cell r="X46">
            <v>1.3520000000000001E-4</v>
          </cell>
        </row>
      </sheetData>
      <sheetData sheetId="34">
        <row r="46">
          <cell r="B46">
            <v>1.7999999999999999E-6</v>
          </cell>
          <cell r="T46">
            <v>1.2980000000000001E-4</v>
          </cell>
          <cell r="X46">
            <v>1.3459999999999999E-4</v>
          </cell>
        </row>
      </sheetData>
      <sheetData sheetId="35">
        <row r="13">
          <cell r="D13">
            <v>3.6779999999999997E-5</v>
          </cell>
          <cell r="V13">
            <v>2.6130000000000001E-4</v>
          </cell>
        </row>
        <row r="34">
          <cell r="D34">
            <v>1E-3</v>
          </cell>
          <cell r="V34">
            <v>3.0000000000000001E-3</v>
          </cell>
        </row>
        <row r="46">
          <cell r="B46">
            <v>1.9E-6</v>
          </cell>
          <cell r="T46">
            <v>1.3180000000000001E-4</v>
          </cell>
          <cell r="X46">
            <v>1.35E-4</v>
          </cell>
        </row>
        <row r="54">
          <cell r="D54">
            <v>9.2999999999999992E-3</v>
          </cell>
        </row>
      </sheetData>
      <sheetData sheetId="36">
        <row r="13">
          <cell r="D13">
            <v>3.6350000000000003E-5</v>
          </cell>
          <cell r="H13">
            <v>3.9619999999999997E-5</v>
          </cell>
          <cell r="V13">
            <v>2.565E-4</v>
          </cell>
          <cell r="Z13">
            <v>2.7230000000000001E-4</v>
          </cell>
        </row>
        <row r="34">
          <cell r="D34">
            <v>1E-3</v>
          </cell>
          <cell r="H34">
            <v>1E-3</v>
          </cell>
          <cell r="V34">
            <v>3.0000000000000001E-3</v>
          </cell>
          <cell r="Z34">
            <v>3.0999999999999999E-3</v>
          </cell>
        </row>
        <row r="46">
          <cell r="B46">
            <v>1.7999999999999999E-6</v>
          </cell>
          <cell r="T46">
            <v>1.247E-4</v>
          </cell>
          <cell r="X46">
            <v>1.3310000000000001E-4</v>
          </cell>
        </row>
        <row r="54">
          <cell r="D54">
            <v>9.2999999999999992E-3</v>
          </cell>
          <cell r="H54">
            <v>9.4000000000000004E-3</v>
          </cell>
        </row>
        <row r="66">
          <cell r="B66">
            <v>2.5999999999999999E-3</v>
          </cell>
        </row>
      </sheetData>
      <sheetData sheetId="37">
        <row r="46">
          <cell r="B46">
            <v>1.3E-6</v>
          </cell>
          <cell r="F46">
            <v>1.5999999999999999E-6</v>
          </cell>
          <cell r="T46">
            <v>1.183E-4</v>
          </cell>
          <cell r="X46">
            <v>1.261E-4</v>
          </cell>
        </row>
        <row r="66">
          <cell r="B66">
            <v>2.5000000000000001E-3</v>
          </cell>
          <cell r="G66">
            <v>2.5999999999999999E-3</v>
          </cell>
        </row>
      </sheetData>
      <sheetData sheetId="38">
        <row r="46">
          <cell r="B46">
            <v>1.3999999999999999E-6</v>
          </cell>
          <cell r="T46">
            <v>1.2329999999999999E-4</v>
          </cell>
          <cell r="X46">
            <v>1.225E-4</v>
          </cell>
        </row>
      </sheetData>
      <sheetData sheetId="39">
        <row r="13">
          <cell r="D13">
            <v>3.54E-5</v>
          </cell>
          <cell r="V13">
            <v>2.519E-4</v>
          </cell>
        </row>
        <row r="34">
          <cell r="D34">
            <v>1E-3</v>
          </cell>
          <cell r="V34">
            <v>3.0000000000000001E-3</v>
          </cell>
        </row>
        <row r="46">
          <cell r="B46">
            <v>2.2000000000000001E-6</v>
          </cell>
          <cell r="T46">
            <v>1.177E-4</v>
          </cell>
          <cell r="X46">
            <v>1.175E-4</v>
          </cell>
        </row>
        <row r="54">
          <cell r="D54">
            <v>9.2999999999999992E-3</v>
          </cell>
        </row>
        <row r="66">
          <cell r="B66">
            <v>2.5000000000000001E-3</v>
          </cell>
        </row>
      </sheetData>
      <sheetData sheetId="40">
        <row r="13">
          <cell r="D13">
            <v>3.5169999999999997E-5</v>
          </cell>
          <cell r="H13">
            <v>3.8229999999999998E-5</v>
          </cell>
          <cell r="V13">
            <v>2.5090000000000003E-4</v>
          </cell>
          <cell r="Z13">
            <v>2.655E-4</v>
          </cell>
        </row>
        <row r="34">
          <cell r="D34">
            <v>9.9660000000000005E-4</v>
          </cell>
          <cell r="H34">
            <v>1E-3</v>
          </cell>
          <cell r="V34">
            <v>3.0000000000000001E-3</v>
          </cell>
          <cell r="Z34">
            <v>3.0999999999999999E-3</v>
          </cell>
        </row>
        <row r="46">
          <cell r="B46">
            <v>1.7999999999999999E-6</v>
          </cell>
          <cell r="F46">
            <v>1.9999999999999999E-6</v>
          </cell>
          <cell r="T46">
            <v>1.16E-4</v>
          </cell>
          <cell r="X46">
            <v>1.178E-4</v>
          </cell>
        </row>
        <row r="54">
          <cell r="D54">
            <v>9.2999999999999992E-3</v>
          </cell>
          <cell r="H54">
            <v>9.3399999999999993E-3</v>
          </cell>
        </row>
        <row r="66">
          <cell r="B66">
            <v>2.5000000000000001E-3</v>
          </cell>
          <cell r="G66">
            <v>2.5000000000000001E-3</v>
          </cell>
        </row>
      </sheetData>
      <sheetData sheetId="41">
        <row r="46">
          <cell r="B46">
            <v>8.9999999999999996E-7</v>
          </cell>
          <cell r="T46">
            <v>1.0670000000000001E-4</v>
          </cell>
          <cell r="X46">
            <v>1.109E-4</v>
          </cell>
        </row>
      </sheetData>
      <sheetData sheetId="42">
        <row r="46">
          <cell r="B46">
            <v>1.9999999999999999E-6</v>
          </cell>
          <cell r="T46">
            <v>1.098E-4</v>
          </cell>
          <cell r="X46">
            <v>1.049E-4</v>
          </cell>
        </row>
      </sheetData>
      <sheetData sheetId="43">
        <row r="13">
          <cell r="D13">
            <v>3.4690000000000002E-5</v>
          </cell>
          <cell r="V13">
            <v>2.4909999999999998E-4</v>
          </cell>
        </row>
        <row r="34">
          <cell r="D34">
            <v>9.9050000000000006E-4</v>
          </cell>
          <cell r="V34">
            <v>3.0000000000000001E-3</v>
          </cell>
        </row>
        <row r="46">
          <cell r="B46">
            <v>1.3999999999999999E-6</v>
          </cell>
          <cell r="T46">
            <v>9.7399999999999996E-5</v>
          </cell>
          <cell r="X46">
            <v>1.077E-4</v>
          </cell>
        </row>
        <row r="54">
          <cell r="D54">
            <v>9.2999999999999992E-3</v>
          </cell>
        </row>
        <row r="66">
          <cell r="B66">
            <v>2.3999999999999998E-3</v>
          </cell>
        </row>
      </sheetData>
      <sheetData sheetId="44">
        <row r="13">
          <cell r="D13">
            <v>3.4579999999999998E-5</v>
          </cell>
          <cell r="H13">
            <v>3.7469999999999999E-5</v>
          </cell>
          <cell r="V13">
            <v>2.4889999999999998E-4</v>
          </cell>
          <cell r="Z13">
            <v>2.6249999999999998E-4</v>
          </cell>
        </row>
        <row r="34">
          <cell r="D34">
            <v>9.8970000000000004E-4</v>
          </cell>
          <cell r="H34">
            <v>9.8970000000000004E-4</v>
          </cell>
          <cell r="V34">
            <v>3.0000000000000001E-3</v>
          </cell>
          <cell r="Z34">
            <v>3.0999999999999999E-3</v>
          </cell>
        </row>
        <row r="46">
          <cell r="B46">
            <v>1.1999999999999999E-6</v>
          </cell>
          <cell r="F46">
            <v>1.3999999999999999E-6</v>
          </cell>
          <cell r="T46">
            <v>9.8499999999999995E-5</v>
          </cell>
          <cell r="X46">
            <v>1.075E-4</v>
          </cell>
        </row>
        <row r="54">
          <cell r="D54">
            <v>9.2999999999999992E-3</v>
          </cell>
          <cell r="H54">
            <v>9.4000000000000004E-3</v>
          </cell>
        </row>
        <row r="66">
          <cell r="B66">
            <v>2.3999999999999998E-3</v>
          </cell>
          <cell r="G66">
            <v>2.3999999999999998E-3</v>
          </cell>
        </row>
      </sheetData>
      <sheetData sheetId="45">
        <row r="46">
          <cell r="B46">
            <v>1.5E-6</v>
          </cell>
          <cell r="T46">
            <v>1.005E-4</v>
          </cell>
          <cell r="X46">
            <v>1.06E-4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根构件 "/>
      <sheetName val="6根构件 "/>
      <sheetName val="7根构件"/>
      <sheetName val="8根构件开始"/>
      <sheetName val="9根构件"/>
      <sheetName val="10根构件"/>
      <sheetName val="11根构件 "/>
      <sheetName val="12根构件"/>
      <sheetName val="13根构件"/>
      <sheetName val="14根构件"/>
      <sheetName val="15根构件 "/>
      <sheetName val="16根构件  "/>
      <sheetName val="17根构件  "/>
      <sheetName val="18根构件  "/>
      <sheetName val="19根构件"/>
      <sheetName val="20根构件"/>
      <sheetName val="21根构件 "/>
      <sheetName val="22根构件 "/>
      <sheetName val="23根构件"/>
      <sheetName val="24根构件 "/>
      <sheetName val="25根构件 "/>
      <sheetName val="26根构件"/>
      <sheetName val="27根构件"/>
      <sheetName val="28根构件"/>
      <sheetName val="29根构件 "/>
      <sheetName val="30根构件"/>
      <sheetName val="31根构件 "/>
      <sheetName val="32根构件"/>
      <sheetName val="33根构件 "/>
      <sheetName val="34根构件"/>
      <sheetName val="35根构件 "/>
      <sheetName val="36根构件 "/>
      <sheetName val="37根构件  "/>
      <sheetName val="38根构件  "/>
      <sheetName val="39根构件   "/>
      <sheetName val="40根构件  "/>
      <sheetName val="41根构件  "/>
      <sheetName val="42根构件  "/>
      <sheetName val="43根构件   "/>
      <sheetName val="44根构件 "/>
      <sheetName val="45根构件  "/>
      <sheetName val="46根构件 "/>
      <sheetName val="47根构件  "/>
      <sheetName val="48根构件 "/>
      <sheetName val="49根构件  "/>
      <sheetName val="50根构件 "/>
    </sheetNames>
    <sheetDataSet>
      <sheetData sheetId="0"/>
      <sheetData sheetId="1"/>
      <sheetData sheetId="2"/>
      <sheetData sheetId="3">
        <row r="13">
          <cell r="D13">
            <v>1.832E-6</v>
          </cell>
          <cell r="V13">
            <v>2.7699999999999999E-5</v>
          </cell>
        </row>
        <row r="34">
          <cell r="D34">
            <v>1.6860000000000001E-4</v>
          </cell>
          <cell r="V34">
            <v>6.6120000000000003E-4</v>
          </cell>
        </row>
        <row r="46">
          <cell r="B46">
            <v>8.3999999999999992E-6</v>
          </cell>
          <cell r="T46">
            <v>1.208E-4</v>
          </cell>
        </row>
        <row r="54">
          <cell r="D54">
            <v>2.3E-3</v>
          </cell>
        </row>
        <row r="66">
          <cell r="B66">
            <v>1.1000000000000001E-3</v>
          </cell>
        </row>
      </sheetData>
      <sheetData sheetId="4">
        <row r="13">
          <cell r="D13">
            <v>1.832E-6</v>
          </cell>
          <cell r="H13">
            <v>1.832E-6</v>
          </cell>
          <cell r="V13">
            <v>2.7699999999999999E-5</v>
          </cell>
          <cell r="Z13">
            <v>2.7699999999999999E-5</v>
          </cell>
        </row>
        <row r="34">
          <cell r="D34">
            <v>1.6860000000000001E-4</v>
          </cell>
          <cell r="H34">
            <v>1.6860000000000001E-4</v>
          </cell>
          <cell r="V34">
            <v>6.2600000000000004E-4</v>
          </cell>
          <cell r="Z34">
            <v>6.2600000000000004E-4</v>
          </cell>
        </row>
        <row r="46">
          <cell r="B46">
            <v>4.0999999999999997E-6</v>
          </cell>
          <cell r="F46">
            <v>6.4999999999999996E-6</v>
          </cell>
          <cell r="T46">
            <v>1.044E-4</v>
          </cell>
          <cell r="X46">
            <v>1.066E-4</v>
          </cell>
        </row>
        <row r="54">
          <cell r="D54">
            <v>2.2000000000000001E-3</v>
          </cell>
          <cell r="H54">
            <v>2.3999999999999998E-3</v>
          </cell>
        </row>
        <row r="66">
          <cell r="B66">
            <v>1.1000000000000001E-3</v>
          </cell>
          <cell r="G66">
            <v>1.1000000000000001E-3</v>
          </cell>
        </row>
      </sheetData>
      <sheetData sheetId="5">
        <row r="34">
          <cell r="D34">
            <v>1.6860000000000001E-4</v>
          </cell>
          <cell r="H34">
            <v>1.6860000000000001E-4</v>
          </cell>
        </row>
        <row r="46">
          <cell r="B46">
            <v>3.5999999999999998E-6</v>
          </cell>
          <cell r="F46">
            <v>3.4999999999999999E-6</v>
          </cell>
          <cell r="T46">
            <v>7.9200000000000001E-5</v>
          </cell>
          <cell r="X46">
            <v>9.3499999999999996E-5</v>
          </cell>
        </row>
      </sheetData>
      <sheetData sheetId="6">
        <row r="34">
          <cell r="D34">
            <v>1.6860000000000001E-4</v>
          </cell>
          <cell r="H34">
            <v>1.6860000000000001E-4</v>
          </cell>
        </row>
        <row r="46">
          <cell r="B46">
            <v>2.7E-6</v>
          </cell>
          <cell r="F46">
            <v>4.0999999999999997E-6</v>
          </cell>
          <cell r="T46">
            <v>7.3399999999999995E-5</v>
          </cell>
          <cell r="X46">
            <v>8.0000000000000007E-5</v>
          </cell>
        </row>
      </sheetData>
      <sheetData sheetId="7">
        <row r="13">
          <cell r="D13">
            <v>1.832E-6</v>
          </cell>
          <cell r="V13">
            <v>2.7699999999999999E-5</v>
          </cell>
        </row>
        <row r="34">
          <cell r="D34">
            <v>1.6860000000000001E-4</v>
          </cell>
          <cell r="V34">
            <v>5.9730000000000004E-4</v>
          </cell>
        </row>
        <row r="46">
          <cell r="B46">
            <v>1.5E-6</v>
          </cell>
          <cell r="F46">
            <v>2.3E-6</v>
          </cell>
          <cell r="T46">
            <v>6.3899999999999995E-5</v>
          </cell>
          <cell r="X46">
            <v>7.1799999999999997E-5</v>
          </cell>
        </row>
        <row r="54">
          <cell r="D54">
            <v>2.2000000000000001E-3</v>
          </cell>
        </row>
        <row r="66">
          <cell r="B66">
            <v>8.8159999999999996E-4</v>
          </cell>
        </row>
      </sheetData>
      <sheetData sheetId="8">
        <row r="13">
          <cell r="D13">
            <v>1.832E-6</v>
          </cell>
          <cell r="H13">
            <v>2.649E-6</v>
          </cell>
          <cell r="V13">
            <v>2.7699999999999999E-5</v>
          </cell>
          <cell r="Z13">
            <v>2.7699999999999999E-5</v>
          </cell>
        </row>
        <row r="34">
          <cell r="D34">
            <v>1.6860000000000001E-4</v>
          </cell>
          <cell r="H34">
            <v>1.6860000000000001E-4</v>
          </cell>
          <cell r="V34">
            <v>5.9639999999999997E-4</v>
          </cell>
          <cell r="Z34">
            <v>6.7190000000000001E-4</v>
          </cell>
        </row>
        <row r="46">
          <cell r="B46">
            <v>1.7999999999999999E-6</v>
          </cell>
          <cell r="F46">
            <v>1.3999999999999999E-6</v>
          </cell>
          <cell r="T46">
            <v>5.49E-5</v>
          </cell>
          <cell r="X46">
            <v>6.2700000000000006E-5</v>
          </cell>
        </row>
        <row r="54">
          <cell r="D54">
            <v>2.2000000000000001E-3</v>
          </cell>
          <cell r="H54">
            <v>2.3E-3</v>
          </cell>
        </row>
        <row r="66">
          <cell r="B66">
            <v>8.499E-4</v>
          </cell>
          <cell r="G66">
            <v>8.9360000000000004E-4</v>
          </cell>
        </row>
      </sheetData>
      <sheetData sheetId="9">
        <row r="46">
          <cell r="B46">
            <v>8.9999999999999996E-7</v>
          </cell>
          <cell r="F46">
            <v>9.9999999999999995E-7</v>
          </cell>
          <cell r="T46">
            <v>4.5800000000000002E-5</v>
          </cell>
          <cell r="X46">
            <v>5.4799999999999997E-5</v>
          </cell>
        </row>
      </sheetData>
      <sheetData sheetId="10">
        <row r="46">
          <cell r="B46">
            <v>1.1999999999999999E-6</v>
          </cell>
          <cell r="F46">
            <v>1.3999999999999999E-6</v>
          </cell>
          <cell r="T46">
            <v>4.3000000000000002E-5</v>
          </cell>
          <cell r="X46">
            <v>4.8999999999999998E-5</v>
          </cell>
        </row>
      </sheetData>
      <sheetData sheetId="11">
        <row r="13">
          <cell r="D13">
            <v>1.832E-6</v>
          </cell>
          <cell r="V13">
            <v>2.7699999999999999E-5</v>
          </cell>
        </row>
        <row r="34">
          <cell r="D34">
            <v>1.526E-4</v>
          </cell>
          <cell r="V34">
            <v>5.7229999999999998E-4</v>
          </cell>
        </row>
        <row r="46">
          <cell r="B46">
            <v>1.1000000000000001E-7</v>
          </cell>
          <cell r="F46">
            <v>6.9999999999999997E-7</v>
          </cell>
          <cell r="T46">
            <v>4.0299999999999997E-5</v>
          </cell>
          <cell r="X46">
            <v>4.74E-5</v>
          </cell>
        </row>
        <row r="54">
          <cell r="D54">
            <v>2.0999999999999999E-3</v>
          </cell>
        </row>
        <row r="66">
          <cell r="B66">
            <v>7.3720000000000003E-4</v>
          </cell>
        </row>
      </sheetData>
      <sheetData sheetId="12">
        <row r="13">
          <cell r="D13">
            <v>1.832E-6</v>
          </cell>
          <cell r="H13">
            <v>2.4600000000000002E-6</v>
          </cell>
          <cell r="V13">
            <v>2.7699999999999999E-5</v>
          </cell>
          <cell r="Z13">
            <v>2.7699999999999999E-5</v>
          </cell>
        </row>
        <row r="34">
          <cell r="D34">
            <v>1.4990000000000001E-4</v>
          </cell>
          <cell r="H34">
            <v>1.6860000000000001E-4</v>
          </cell>
          <cell r="V34">
            <v>5.689E-4</v>
          </cell>
          <cell r="Z34">
            <v>6.2500000000000001E-4</v>
          </cell>
        </row>
        <row r="46">
          <cell r="B46">
            <v>7.9999999999999996E-7</v>
          </cell>
          <cell r="F46">
            <v>4.9999999999999998E-7</v>
          </cell>
          <cell r="T46">
            <v>3.4400000000000003E-5</v>
          </cell>
          <cell r="X46">
            <v>3.8000000000000002E-5</v>
          </cell>
        </row>
        <row r="54">
          <cell r="D54">
            <v>2.0999999999999999E-3</v>
          </cell>
          <cell r="H54">
            <v>2.2000000000000001E-3</v>
          </cell>
        </row>
        <row r="66">
          <cell r="B66">
            <v>7.272E-4</v>
          </cell>
          <cell r="G66">
            <v>7.5250000000000002E-4</v>
          </cell>
        </row>
      </sheetData>
      <sheetData sheetId="13">
        <row r="46">
          <cell r="T46">
            <v>3.3300000000000003E-5</v>
          </cell>
          <cell r="X46">
            <v>3.8300000000000003E-5</v>
          </cell>
        </row>
      </sheetData>
      <sheetData sheetId="14">
        <row r="13">
          <cell r="D13">
            <v>1.832E-6</v>
          </cell>
        </row>
        <row r="46">
          <cell r="T46">
            <v>2.9600000000000001E-5</v>
          </cell>
          <cell r="X46">
            <v>3.4400000000000003E-5</v>
          </cell>
        </row>
      </sheetData>
      <sheetData sheetId="15">
        <row r="13">
          <cell r="D13">
            <v>1.832E-6</v>
          </cell>
          <cell r="H13">
            <v>2.367E-6</v>
          </cell>
          <cell r="V13">
            <v>2.7699999999999999E-5</v>
          </cell>
        </row>
        <row r="34">
          <cell r="D34">
            <v>1.46E-4</v>
          </cell>
          <cell r="V34">
            <v>5.6209999999999995E-4</v>
          </cell>
        </row>
        <row r="46">
          <cell r="T46">
            <v>3.0700000000000001E-5</v>
          </cell>
          <cell r="X46">
            <v>3.3599999999999997E-5</v>
          </cell>
        </row>
        <row r="54">
          <cell r="D54">
            <v>2.0999999999999999E-3</v>
          </cell>
        </row>
      </sheetData>
      <sheetData sheetId="16">
        <row r="13">
          <cell r="D13">
            <v>1.832E-6</v>
          </cell>
          <cell r="H13">
            <v>2.3949999999999999E-6</v>
          </cell>
          <cell r="V13">
            <v>2.7699999999999999E-5</v>
          </cell>
          <cell r="Z13">
            <v>2.7699999999999999E-5</v>
          </cell>
        </row>
        <row r="34">
          <cell r="D34">
            <v>1.4550000000000001E-4</v>
          </cell>
          <cell r="H34">
            <v>1.6249999999999999E-4</v>
          </cell>
          <cell r="V34">
            <v>5.5719999999999999E-4</v>
          </cell>
          <cell r="Z34">
            <v>6.0260000000000001E-4</v>
          </cell>
        </row>
        <row r="46">
          <cell r="T46">
            <v>2.6800000000000001E-5</v>
          </cell>
          <cell r="X46">
            <v>2.9200000000000002E-5</v>
          </cell>
        </row>
        <row r="54">
          <cell r="D54">
            <v>2.0999999999999999E-3</v>
          </cell>
          <cell r="H54">
            <v>2.2000000000000001E-3</v>
          </cell>
        </row>
      </sheetData>
      <sheetData sheetId="17">
        <row r="46">
          <cell r="T46">
            <v>2.5899999999999999E-5</v>
          </cell>
          <cell r="X46">
            <v>2.5899999999999999E-5</v>
          </cell>
        </row>
      </sheetData>
      <sheetData sheetId="18">
        <row r="46">
          <cell r="T46">
            <v>2.5599999999999999E-5</v>
          </cell>
          <cell r="X46">
            <v>2.41E-5</v>
          </cell>
        </row>
      </sheetData>
      <sheetData sheetId="19">
        <row r="13">
          <cell r="D13">
            <v>1.832E-6</v>
          </cell>
          <cell r="V13">
            <v>2.7699999999999999E-5</v>
          </cell>
        </row>
        <row r="34">
          <cell r="D34">
            <v>1.45E-4</v>
          </cell>
          <cell r="V34">
            <v>5.5179999999999997E-4</v>
          </cell>
        </row>
        <row r="46">
          <cell r="T46">
            <v>2.41E-5</v>
          </cell>
          <cell r="X46">
            <v>2.3E-5</v>
          </cell>
        </row>
        <row r="54">
          <cell r="D54">
            <v>2.0999999999999999E-3</v>
          </cell>
        </row>
        <row r="66">
          <cell r="B66">
            <v>5.9440000000000003E-4</v>
          </cell>
        </row>
      </sheetData>
      <sheetData sheetId="20">
        <row r="13">
          <cell r="D13">
            <v>1.832E-6</v>
          </cell>
          <cell r="H13">
            <v>2.261E-6</v>
          </cell>
          <cell r="V13">
            <v>2.7699999999999999E-5</v>
          </cell>
          <cell r="Z13">
            <v>2.7699999999999999E-5</v>
          </cell>
        </row>
        <row r="34">
          <cell r="D34">
            <v>1.45E-4</v>
          </cell>
          <cell r="H34">
            <v>1.572E-4</v>
          </cell>
          <cell r="V34">
            <v>5.5179999999999997E-4</v>
          </cell>
          <cell r="Z34">
            <v>5.8790000000000003E-4</v>
          </cell>
        </row>
        <row r="46">
          <cell r="T46">
            <v>1.9899999999999999E-5</v>
          </cell>
          <cell r="X46">
            <v>2.26E-5</v>
          </cell>
        </row>
        <row r="54">
          <cell r="D54">
            <v>2.0999999999999999E-3</v>
          </cell>
          <cell r="H54">
            <v>2.0999999999999999E-3</v>
          </cell>
        </row>
        <row r="66">
          <cell r="B66">
            <v>5.8029999999999996E-4</v>
          </cell>
          <cell r="G66">
            <v>5.7439999999999998E-4</v>
          </cell>
        </row>
      </sheetData>
      <sheetData sheetId="21">
        <row r="46">
          <cell r="T46">
            <v>1.88E-5</v>
          </cell>
          <cell r="X46">
            <v>2.1100000000000001E-5</v>
          </cell>
        </row>
      </sheetData>
      <sheetData sheetId="22">
        <row r="46">
          <cell r="T46">
            <v>1.8099999999999999E-5</v>
          </cell>
          <cell r="X46">
            <v>2.09E-5</v>
          </cell>
        </row>
      </sheetData>
      <sheetData sheetId="23">
        <row r="13">
          <cell r="D13">
            <v>1.832E-6</v>
          </cell>
          <cell r="V13">
            <v>2.724E-5</v>
          </cell>
        </row>
        <row r="34">
          <cell r="D34">
            <v>1.3899999999999999E-4</v>
          </cell>
          <cell r="V34">
            <v>5.4350000000000004E-4</v>
          </cell>
        </row>
        <row r="46">
          <cell r="T46">
            <v>1.8899999999999999E-5</v>
          </cell>
          <cell r="X46">
            <v>2.0100000000000001E-5</v>
          </cell>
        </row>
        <row r="54">
          <cell r="D54">
            <v>2.0999999999999999E-3</v>
          </cell>
        </row>
      </sheetData>
      <sheetData sheetId="24">
        <row r="13">
          <cell r="D13">
            <v>1.832E-6</v>
          </cell>
          <cell r="H13">
            <v>2.2029999999999999E-6</v>
          </cell>
          <cell r="V13">
            <v>2.6610000000000001E-5</v>
          </cell>
          <cell r="Z13">
            <v>2.7699999999999999E-5</v>
          </cell>
        </row>
        <row r="34">
          <cell r="D34">
            <v>1.382E-4</v>
          </cell>
          <cell r="H34">
            <v>1.4980000000000001E-4</v>
          </cell>
          <cell r="V34">
            <v>5.4259999999999996E-4</v>
          </cell>
          <cell r="Z34">
            <v>5.7359999999999996E-4</v>
          </cell>
        </row>
        <row r="46">
          <cell r="T46">
            <v>1.73E-5</v>
          </cell>
          <cell r="X46">
            <v>1.8199999999999999E-5</v>
          </cell>
        </row>
        <row r="54">
          <cell r="D54">
            <v>2.0999999999999999E-3</v>
          </cell>
          <cell r="H54">
            <v>2.0999999999999999E-3</v>
          </cell>
        </row>
      </sheetData>
      <sheetData sheetId="25">
        <row r="46">
          <cell r="T46">
            <v>1.42E-5</v>
          </cell>
          <cell r="X46">
            <v>1.77E-5</v>
          </cell>
        </row>
      </sheetData>
      <sheetData sheetId="26">
        <row r="46">
          <cell r="T46">
            <v>1.4600000000000001E-5</v>
          </cell>
          <cell r="X46">
            <v>1.6699999999999999E-5</v>
          </cell>
        </row>
      </sheetData>
      <sheetData sheetId="27">
        <row r="13">
          <cell r="D13">
            <v>1.832E-6</v>
          </cell>
          <cell r="V13">
            <v>2.5199999999999999E-5</v>
          </cell>
        </row>
        <row r="34">
          <cell r="D34">
            <v>1.3689999999999999E-4</v>
          </cell>
          <cell r="V34">
            <v>5.3919999999999999E-4</v>
          </cell>
        </row>
        <row r="46">
          <cell r="T46">
            <v>1.42E-5</v>
          </cell>
          <cell r="X46">
            <v>1.52E-5</v>
          </cell>
        </row>
        <row r="54">
          <cell r="D54">
            <v>2.0999999999999999E-3</v>
          </cell>
        </row>
        <row r="66">
          <cell r="B66">
            <v>5.0540000000000003E-4</v>
          </cell>
        </row>
      </sheetData>
      <sheetData sheetId="28">
        <row r="13">
          <cell r="D13">
            <v>1.832E-6</v>
          </cell>
          <cell r="H13">
            <v>2.1789999999999998E-6</v>
          </cell>
          <cell r="V13">
            <v>2.4859999999999999E-5</v>
          </cell>
          <cell r="Z13">
            <v>2.7370000000000001E-5</v>
          </cell>
        </row>
        <row r="34">
          <cell r="D34">
            <v>1.3669999999999999E-4</v>
          </cell>
          <cell r="H34">
            <v>1.4679999999999999E-4</v>
          </cell>
          <cell r="V34">
            <v>5.3759999999999995E-4</v>
          </cell>
          <cell r="Z34">
            <v>5.6499999999999996E-4</v>
          </cell>
        </row>
        <row r="46">
          <cell r="T46">
            <v>1.56E-5</v>
          </cell>
          <cell r="X46">
            <v>1.6399999999999999E-5</v>
          </cell>
        </row>
        <row r="54">
          <cell r="D54">
            <v>2.0999999999999999E-3</v>
          </cell>
          <cell r="H54">
            <v>2.0999999999999999E-3</v>
          </cell>
        </row>
        <row r="66">
          <cell r="B66">
            <v>5.1000000000000004E-4</v>
          </cell>
          <cell r="G66">
            <v>5.109E-4</v>
          </cell>
        </row>
      </sheetData>
      <sheetData sheetId="29">
        <row r="46">
          <cell r="T46">
            <v>1.2500000000000001E-5</v>
          </cell>
          <cell r="X46">
            <v>1.34E-5</v>
          </cell>
        </row>
      </sheetData>
      <sheetData sheetId="30">
        <row r="46">
          <cell r="T46">
            <v>1.26E-5</v>
          </cell>
          <cell r="X46">
            <v>1.45E-5</v>
          </cell>
        </row>
      </sheetData>
      <sheetData sheetId="31">
        <row r="13">
          <cell r="D13">
            <v>1.832E-6</v>
          </cell>
          <cell r="V13">
            <v>2.4090000000000001E-5</v>
          </cell>
        </row>
        <row r="34">
          <cell r="D34">
            <v>1.3579999999999999E-4</v>
          </cell>
          <cell r="V34">
            <v>5.3580000000000001E-4</v>
          </cell>
        </row>
        <row r="46">
          <cell r="T46">
            <v>1.29E-5</v>
          </cell>
          <cell r="X46">
            <v>1.29E-5</v>
          </cell>
        </row>
        <row r="54">
          <cell r="D54">
            <v>2.0999999999999999E-3</v>
          </cell>
        </row>
        <row r="66">
          <cell r="B66">
            <v>4.729E-4</v>
          </cell>
        </row>
      </sheetData>
      <sheetData sheetId="32">
        <row r="13">
          <cell r="D13">
            <v>1.832E-6</v>
          </cell>
          <cell r="H13">
            <v>1.832E-6</v>
          </cell>
          <cell r="V13">
            <v>2.4309999999999999E-5</v>
          </cell>
          <cell r="Z13">
            <v>2.6109999999999999E-5</v>
          </cell>
        </row>
        <row r="34">
          <cell r="D34">
            <v>1.35E-4</v>
          </cell>
          <cell r="H34">
            <v>1.438E-4</v>
          </cell>
          <cell r="V34">
            <v>5.3490000000000005E-4</v>
          </cell>
          <cell r="Z34">
            <v>5.5949999999999999E-4</v>
          </cell>
        </row>
        <row r="46">
          <cell r="T46">
            <v>1.2300000000000001E-5</v>
          </cell>
          <cell r="X46">
            <v>1.3499999999999999E-5</v>
          </cell>
        </row>
        <row r="54">
          <cell r="D54">
            <v>2.0999999999999999E-3</v>
          </cell>
          <cell r="H54">
            <v>2.0999999999999999E-3</v>
          </cell>
        </row>
        <row r="66">
          <cell r="B66">
            <v>4.5600000000000003E-4</v>
          </cell>
          <cell r="G66">
            <v>4.6700000000000002E-4</v>
          </cell>
        </row>
      </sheetData>
      <sheetData sheetId="33">
        <row r="46">
          <cell r="T46">
            <v>1.2500000000000001E-5</v>
          </cell>
          <cell r="X46">
            <v>1.4100000000000001E-5</v>
          </cell>
        </row>
      </sheetData>
      <sheetData sheetId="34">
        <row r="46">
          <cell r="T46">
            <v>1.13E-5</v>
          </cell>
          <cell r="X46">
            <v>1.15E-5</v>
          </cell>
        </row>
      </sheetData>
      <sheetData sheetId="35">
        <row r="13">
          <cell r="D13">
            <v>1.832E-6</v>
          </cell>
          <cell r="V13">
            <v>2.349E-5</v>
          </cell>
        </row>
        <row r="34">
          <cell r="D34">
            <v>1.3329999999999999E-4</v>
          </cell>
          <cell r="V34">
            <v>5.3149999999999996E-4</v>
          </cell>
        </row>
        <row r="46">
          <cell r="T46">
            <v>9.5999999999999996E-6</v>
          </cell>
          <cell r="X46">
            <v>1.0699999999999999E-5</v>
          </cell>
        </row>
        <row r="54">
          <cell r="D54">
            <v>2.0999999999999999E-3</v>
          </cell>
        </row>
        <row r="66">
          <cell r="B66">
            <v>4.5219999999999999E-4</v>
          </cell>
        </row>
      </sheetData>
      <sheetData sheetId="36">
        <row r="13">
          <cell r="D13">
            <v>1.832E-6</v>
          </cell>
          <cell r="H13">
            <v>2.0949999999999998E-6</v>
          </cell>
          <cell r="V13">
            <v>2.3390000000000001E-5</v>
          </cell>
          <cell r="Z13">
            <v>2.5369999999999999E-5</v>
          </cell>
        </row>
        <row r="34">
          <cell r="D34">
            <v>1.329E-4</v>
          </cell>
          <cell r="H34">
            <v>1.4080000000000001E-4</v>
          </cell>
          <cell r="V34">
            <v>5.3120000000000001E-4</v>
          </cell>
          <cell r="Z34">
            <v>5.5259999999999999E-4</v>
          </cell>
        </row>
        <row r="46">
          <cell r="T46">
            <v>8.3000000000000002E-6</v>
          </cell>
          <cell r="X46">
            <v>1.06E-5</v>
          </cell>
        </row>
        <row r="54">
          <cell r="D54">
            <v>2.0999999999999999E-3</v>
          </cell>
          <cell r="H54">
            <v>2.0999999999999999E-3</v>
          </cell>
        </row>
        <row r="66">
          <cell r="B66">
            <v>4.44E-4</v>
          </cell>
          <cell r="G66">
            <v>4.4930000000000002E-4</v>
          </cell>
        </row>
      </sheetData>
      <sheetData sheetId="37">
        <row r="46">
          <cell r="T46">
            <v>1.24E-5</v>
          </cell>
          <cell r="X46">
            <v>1.1600000000000001E-5</v>
          </cell>
        </row>
      </sheetData>
      <sheetData sheetId="38">
        <row r="46">
          <cell r="T46">
            <v>1.04E-5</v>
          </cell>
          <cell r="X46">
            <v>1.04E-5</v>
          </cell>
        </row>
      </sheetData>
      <sheetData sheetId="39">
        <row r="13">
          <cell r="D13">
            <v>1.832E-6</v>
          </cell>
          <cell r="V13">
            <v>2.317E-5</v>
          </cell>
        </row>
        <row r="34">
          <cell r="D34">
            <v>1.3239999999999999E-4</v>
          </cell>
          <cell r="V34">
            <v>5.2910000000000001E-4</v>
          </cell>
        </row>
        <row r="46">
          <cell r="T46">
            <v>1.0200000000000001E-5</v>
          </cell>
          <cell r="X46">
            <v>1.1E-5</v>
          </cell>
        </row>
        <row r="54">
          <cell r="D54">
            <v>2.0999999999999999E-3</v>
          </cell>
        </row>
      </sheetData>
      <sheetData sheetId="40">
        <row r="13">
          <cell r="D13">
            <v>1.832E-6</v>
          </cell>
          <cell r="H13">
            <v>1.832E-6</v>
          </cell>
          <cell r="V13">
            <v>2.3119999999999999E-5</v>
          </cell>
          <cell r="Z13">
            <v>2.4939999999999998E-5</v>
          </cell>
        </row>
        <row r="34">
          <cell r="D34">
            <v>1.3229999999999999E-4</v>
          </cell>
          <cell r="H34">
            <v>1.395E-4</v>
          </cell>
          <cell r="V34">
            <v>5.2829999999999999E-4</v>
          </cell>
          <cell r="Z34">
            <v>5.4790000000000004E-4</v>
          </cell>
        </row>
        <row r="46">
          <cell r="T46">
            <v>1.1399999999999999E-5</v>
          </cell>
          <cell r="X46">
            <v>9.7000000000000003E-6</v>
          </cell>
        </row>
        <row r="54">
          <cell r="D54">
            <v>2.0999999999999999E-3</v>
          </cell>
          <cell r="H54">
            <v>2.0999999999999999E-3</v>
          </cell>
        </row>
      </sheetData>
      <sheetData sheetId="41">
        <row r="46">
          <cell r="T46">
            <v>1.0200000000000001E-5</v>
          </cell>
          <cell r="X46">
            <v>1.01E-5</v>
          </cell>
        </row>
      </sheetData>
      <sheetData sheetId="42">
        <row r="46">
          <cell r="T46">
            <v>9.7999999999999993E-6</v>
          </cell>
          <cell r="X46">
            <v>1.03E-5</v>
          </cell>
        </row>
      </sheetData>
      <sheetData sheetId="43">
        <row r="13">
          <cell r="D13">
            <v>1.832E-6</v>
          </cell>
          <cell r="V13">
            <v>2.3030000000000001E-5</v>
          </cell>
        </row>
        <row r="34">
          <cell r="D34">
            <v>1.314E-4</v>
          </cell>
          <cell r="V34">
            <v>5.2760000000000003E-4</v>
          </cell>
        </row>
        <row r="46">
          <cell r="T46">
            <v>1.01E-5</v>
          </cell>
          <cell r="X46">
            <v>9.3000000000000007E-6</v>
          </cell>
        </row>
        <row r="54">
          <cell r="D54">
            <v>2.0999999999999999E-3</v>
          </cell>
        </row>
        <row r="66">
          <cell r="B66">
            <v>4.1169999999999998E-4</v>
          </cell>
        </row>
      </sheetData>
      <sheetData sheetId="44">
        <row r="13">
          <cell r="D13">
            <v>1.832E-6</v>
          </cell>
          <cell r="H13">
            <v>2.052E-6</v>
          </cell>
          <cell r="V13">
            <v>2.3010000000000002E-5</v>
          </cell>
          <cell r="Z13">
            <v>2.4680000000000001E-5</v>
          </cell>
        </row>
        <row r="34">
          <cell r="D34">
            <v>1.3100000000000001E-4</v>
          </cell>
          <cell r="H34">
            <v>1.3750000000000001E-4</v>
          </cell>
          <cell r="V34">
            <v>5.2660000000000001E-4</v>
          </cell>
          <cell r="Z34">
            <v>5.4469999999999996E-4</v>
          </cell>
        </row>
        <row r="46">
          <cell r="T46">
            <v>8.8999999999999995E-6</v>
          </cell>
          <cell r="X46">
            <v>8.1999999999999994E-6</v>
          </cell>
        </row>
        <row r="54">
          <cell r="D54">
            <v>2.0999999999999999E-3</v>
          </cell>
          <cell r="H54">
            <v>2.0999999999999999E-3</v>
          </cell>
        </row>
        <row r="66">
          <cell r="B66">
            <v>4.1060000000000003E-5</v>
          </cell>
          <cell r="G66">
            <v>4.1560000000000002E-4</v>
          </cell>
        </row>
      </sheetData>
      <sheetData sheetId="45">
        <row r="46">
          <cell r="T46">
            <v>7.7999999999999999E-6</v>
          </cell>
          <cell r="X46">
            <v>8.4999999999999999E-6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62"/>
  <sheetViews>
    <sheetView tabSelected="1" topLeftCell="A485" zoomScale="115" zoomScaleNormal="115" workbookViewId="0">
      <selection activeCell="M428" sqref="M428:M436"/>
    </sheetView>
  </sheetViews>
  <sheetFormatPr defaultRowHeight="14.25" x14ac:dyDescent="0.2"/>
  <cols>
    <col min="1" max="1" width="11.375" customWidth="1"/>
    <col min="2" max="2" width="10.875" bestFit="1" customWidth="1"/>
    <col min="4" max="4" width="12.125" customWidth="1"/>
    <col min="12" max="12" width="12.875" customWidth="1"/>
  </cols>
  <sheetData>
    <row r="1" spans="1:18" ht="18" x14ac:dyDescent="0.25">
      <c r="A1" s="2" t="s">
        <v>3</v>
      </c>
      <c r="B1" s="2"/>
      <c r="C1" s="2"/>
      <c r="D1" s="2"/>
      <c r="E1" s="2"/>
      <c r="F1" s="3"/>
      <c r="G1" s="3"/>
      <c r="H1" s="3"/>
      <c r="K1" s="6" t="s">
        <v>6</v>
      </c>
      <c r="L1" s="6"/>
      <c r="M1" s="6"/>
      <c r="N1" s="6"/>
      <c r="O1" s="6"/>
      <c r="P1" s="7"/>
      <c r="Q1" s="7"/>
      <c r="R1" s="7"/>
    </row>
    <row r="2" spans="1:18" x14ac:dyDescent="0.2">
      <c r="A2" t="s">
        <v>0</v>
      </c>
      <c r="B2" t="s">
        <v>1</v>
      </c>
      <c r="C2" s="10" t="s">
        <v>2</v>
      </c>
      <c r="D2" t="s">
        <v>13</v>
      </c>
      <c r="E2" t="s">
        <v>2</v>
      </c>
      <c r="F2" s="1"/>
      <c r="K2" s="1" t="s">
        <v>7</v>
      </c>
      <c r="L2" t="s">
        <v>1</v>
      </c>
      <c r="M2" t="s">
        <v>2</v>
      </c>
    </row>
    <row r="3" spans="1:18" x14ac:dyDescent="0.2">
      <c r="A3" s="1">
        <v>0.1</v>
      </c>
      <c r="B3" s="10">
        <f>'[1]9根构件'!$D$13/('[1]10根构件'!$G$75)</f>
        <v>0.98369885098651388</v>
      </c>
      <c r="C3" s="10"/>
      <c r="D3">
        <f>'[1]9根构件'!$D$13/(0.05*'[2]10根构件'!$H$13+0.95*'[1]10根构件'!$D$13)</f>
        <v>0.98369885098651388</v>
      </c>
      <c r="K3" s="1">
        <v>11</v>
      </c>
      <c r="L3">
        <f>'[1]10根构件'!$D$13/(0.3*'[1]11根构件 '!$H$13+0.7*'[1]11根构件 '!$D$13)</f>
        <v>0.91711599942739896</v>
      </c>
    </row>
    <row r="4" spans="1:18" x14ac:dyDescent="0.2">
      <c r="A4" s="1">
        <v>0.3</v>
      </c>
      <c r="B4" s="10">
        <f>'[1]9根构件'!$V$13/(0.05*'[1]10根构件'!$Z$13+0.95*'[1]10根构件'!$V$13)</f>
        <v>1.0000000000000002</v>
      </c>
      <c r="C4" s="10"/>
      <c r="D4">
        <f>'[1]8根构件开始'!$V$13/(0.05*'[2]10根构件'!$Z$13+0.95*'[1]10根构件'!$V$13)</f>
        <v>1.0000000000000002</v>
      </c>
      <c r="K4" s="1">
        <v>15</v>
      </c>
      <c r="L4">
        <f>'[1]14根构件'!$D$13/(0.3*'[1]15根构件 '!$H$13+0.7*'[1]15根构件 '!$D$13)</f>
        <v>0.93778970480605028</v>
      </c>
    </row>
    <row r="5" spans="1:18" x14ac:dyDescent="0.2">
      <c r="A5" s="1">
        <v>0.5</v>
      </c>
      <c r="B5" s="10">
        <f>'[1]9根构件'!$D$34/(0.95*'[1]10根构件'!$D$34+0.05*'[1]10根构件'!$H$34)</f>
        <v>1.0000000000000002</v>
      </c>
      <c r="C5" s="10"/>
      <c r="D5">
        <f>'[1]9根构件'!$D$34/(0.05*'[2]10根构件'!$H$34+0.95*'[1]10根构件'!$D$34)</f>
        <v>1.0000000000000002</v>
      </c>
      <c r="K5" s="1">
        <v>19</v>
      </c>
      <c r="L5">
        <f>'[1]18根构件  '!$D$13/(0.3*'[1]19根构件'!$H$13+0.7*'[1]19根构件'!$D$13)</f>
        <v>0.95030902348578494</v>
      </c>
    </row>
    <row r="6" spans="1:18" x14ac:dyDescent="0.2">
      <c r="A6" s="1">
        <v>0.7</v>
      </c>
      <c r="B6" s="10">
        <f>'[1]9根构件'!$V$34/(0.05*'[1]10根构件'!$Z$34+0.95*'[1]10根构件'!$V$34)</f>
        <v>1.0584857342404097</v>
      </c>
      <c r="C6" s="10"/>
      <c r="D6">
        <f>'[1]9根构件'!$V$34/(0.05*'[2]10根构件'!$Z$34+0.95*'[1]10根构件'!$V$34)</f>
        <v>1.0584857342404097</v>
      </c>
      <c r="K6" s="1">
        <v>23</v>
      </c>
      <c r="L6">
        <f>'[1]22根构件 '!$D$13/(0.3*'[1]23根构件'!$H$13+0.7*'[1]23根构件'!$D$13)</f>
        <v>0.95855568300832872</v>
      </c>
    </row>
    <row r="7" spans="1:18" x14ac:dyDescent="0.2">
      <c r="A7" s="1">
        <v>0.9</v>
      </c>
      <c r="B7" s="10">
        <f>'[1]9根构件'!$D$54/(0.05*'[1]10根构件'!$H$54+0.95*'[1]10根构件'!$D$54)</f>
        <v>1.0177235620945464</v>
      </c>
      <c r="C7" s="10"/>
      <c r="D7">
        <f>'[1]9根构件'!$D$54/(0.05*'[2]10根构件'!$H$54+0.95*'[1]10根构件'!$D$54)</f>
        <v>1.0177235620945464</v>
      </c>
      <c r="K7" s="1">
        <v>27</v>
      </c>
      <c r="L7">
        <f>'[1]26根构件'!$D$13/(0.3*'[1]27根构件'!$H$13+0.7*'[1]27根构件'!$D$13)</f>
        <v>0.9644720995584104</v>
      </c>
    </row>
    <row r="8" spans="1:18" x14ac:dyDescent="0.2">
      <c r="B8" s="10"/>
      <c r="C8" s="10"/>
      <c r="K8" s="1">
        <v>31</v>
      </c>
      <c r="L8">
        <f>'[1]30根构件'!$D$13/(0.3*'[1]31根构件 '!$H$13+0.7*'[1]31根构件 '!$D$13)</f>
        <v>0.96899420216788512</v>
      </c>
    </row>
    <row r="9" spans="1:18" x14ac:dyDescent="0.2">
      <c r="K9" s="1">
        <v>35</v>
      </c>
      <c r="L9">
        <f>'[1]34根构件'!$D$13/(0.3*'[1]35根构件 '!$H$13+0.7*'[1]35根构件 '!$D$13)</f>
        <v>1</v>
      </c>
    </row>
    <row r="10" spans="1:18" ht="18" x14ac:dyDescent="0.25">
      <c r="A10" s="2" t="s">
        <v>5</v>
      </c>
      <c r="B10" s="2"/>
      <c r="C10" s="2"/>
      <c r="D10" s="2"/>
      <c r="E10" s="2"/>
      <c r="F10" s="3"/>
      <c r="G10" s="3"/>
      <c r="H10" s="3"/>
      <c r="K10" s="1">
        <v>39</v>
      </c>
      <c r="L10">
        <f>'[1]38根构件  '!$D$13/(0.3*'[1]39根构件   '!$H$13+0.7*'[1]39根构件   '!$D$13)</f>
        <v>0.97518899994926178</v>
      </c>
    </row>
    <row r="11" spans="1:18" x14ac:dyDescent="0.2">
      <c r="A11" t="s">
        <v>0</v>
      </c>
      <c r="B11" t="s">
        <v>1</v>
      </c>
      <c r="C11" t="s">
        <v>2</v>
      </c>
      <c r="D11" t="s">
        <v>1</v>
      </c>
      <c r="E11" t="s">
        <v>2</v>
      </c>
      <c r="K11" s="1">
        <v>43</v>
      </c>
      <c r="L11">
        <f>'[1]42根构件  '!$D$13/(0.3*'[1]43根构件   '!$H$13+0.7*'[1]43根构件   '!$D$13)</f>
        <v>1</v>
      </c>
    </row>
    <row r="12" spans="1:18" x14ac:dyDescent="0.2">
      <c r="A12" s="1">
        <v>0.1</v>
      </c>
      <c r="B12">
        <f>'[1]19根构件'!$D$13/(0.3*'[1]20根构件'!$H$13+0.7*'[1]20根构件'!$D$13)</f>
        <v>0.95271141072667798</v>
      </c>
      <c r="D12">
        <f>'[1]19根构件'!$D$13/(0.7*'[1]20根构件'!$D$13+0.3*0.0062*'[2]20根构件'!$AN$13+0.3*0.9938*'[2]20根构件'!$H$13)</f>
        <v>0.95299081739301661</v>
      </c>
      <c r="K12" s="1">
        <v>47</v>
      </c>
      <c r="L12">
        <f>'[1]46根构件 '!$D$13/(0.3*'[1]47根构件  '!$H$13+0.7*'[1]47根构件  '!$D$13)</f>
        <v>0.97936305732484086</v>
      </c>
    </row>
    <row r="13" spans="1:18" x14ac:dyDescent="0.2">
      <c r="A13" s="1">
        <v>0.3</v>
      </c>
      <c r="B13">
        <f>'[1]19根构件'!$V$13/(0.3*'[1]20根构件'!$Z$13+0.7*'[1]20根构件'!$V$13)</f>
        <v>0.96763959390862953</v>
      </c>
      <c r="D13">
        <f>'[1]19根构件'!$V$13/(0.7*'[1]20根构件'!$V$13+0.3*(0.0062*'[2]20根构件'!$BF$13+0.9938*'[2]20根构件'!$V$13))</f>
        <v>1.0000000000000002</v>
      </c>
      <c r="K13" s="1"/>
    </row>
    <row r="14" spans="1:18" x14ac:dyDescent="0.2">
      <c r="A14" s="1">
        <v>0.5</v>
      </c>
      <c r="B14">
        <f>'[1]19根构件'!$D$34/(0.3*'[1]20根构件'!$H$34+0.7*'[1]20根构件'!$D$34)</f>
        <v>0.9975575266743798</v>
      </c>
    </row>
    <row r="15" spans="1:18" x14ac:dyDescent="0.2">
      <c r="A15" s="1">
        <v>0.7</v>
      </c>
      <c r="B15">
        <f>'[1]19根构件'!$V$34/(0.3*'[1]20根构件'!$Z$34+0.7*'[1]20根构件'!$V$34)</f>
        <v>0.98750709823963656</v>
      </c>
    </row>
    <row r="16" spans="1:18" x14ac:dyDescent="0.2">
      <c r="A16" s="1">
        <v>0.9</v>
      </c>
      <c r="B16">
        <f>'[1]19根构件'!$D$54/(0.3*'[1]20根构件'!$H$54+0.7*'[1]20根构件'!$D$54)</f>
        <v>0.99012824298129642</v>
      </c>
    </row>
    <row r="18" spans="1:28" ht="15" thickBot="1" x14ac:dyDescent="0.25"/>
    <row r="19" spans="1:28" ht="18.75" thickTop="1" x14ac:dyDescent="0.25">
      <c r="K19" s="25" t="s">
        <v>98</v>
      </c>
      <c r="L19" s="26"/>
      <c r="M19" s="26"/>
      <c r="N19" s="26"/>
      <c r="O19" s="26"/>
      <c r="P19" s="27"/>
      <c r="Q19" s="27"/>
      <c r="R19" s="28"/>
      <c r="T19" s="6" t="s">
        <v>28</v>
      </c>
      <c r="U19" s="6"/>
      <c r="V19" s="6"/>
      <c r="W19" s="6"/>
      <c r="X19" s="6"/>
      <c r="Y19" s="7"/>
      <c r="Z19" s="7"/>
      <c r="AA19" s="7"/>
      <c r="AB19" s="7"/>
    </row>
    <row r="20" spans="1:28" ht="18" x14ac:dyDescent="0.25">
      <c r="A20" s="2" t="s">
        <v>4</v>
      </c>
      <c r="B20" s="2"/>
      <c r="C20" s="2"/>
      <c r="D20" s="2"/>
      <c r="E20" s="2"/>
      <c r="F20" s="3"/>
      <c r="G20" s="3"/>
      <c r="H20" s="3"/>
      <c r="K20" s="29" t="s">
        <v>0</v>
      </c>
      <c r="L20" t="s">
        <v>1</v>
      </c>
      <c r="M20" t="s">
        <v>2</v>
      </c>
      <c r="N20" s="1" t="s">
        <v>43</v>
      </c>
      <c r="R20" s="21"/>
      <c r="T20" s="1" t="s">
        <v>7</v>
      </c>
      <c r="U20" t="s">
        <v>1</v>
      </c>
      <c r="V20" t="s">
        <v>2</v>
      </c>
    </row>
    <row r="21" spans="1:28" x14ac:dyDescent="0.2">
      <c r="A21" t="s">
        <v>0</v>
      </c>
      <c r="B21" t="s">
        <v>1</v>
      </c>
      <c r="C21" t="s">
        <v>2</v>
      </c>
      <c r="D21" t="s">
        <v>1</v>
      </c>
      <c r="E21" t="s">
        <v>2</v>
      </c>
      <c r="K21" s="30">
        <v>0.1</v>
      </c>
      <c r="L21">
        <f>'[3]8根构件开始'!$D$13/(0.05*'[3]8根构件开始'!$D$13+0.95*'[3]9根构件'!$D$13)</f>
        <v>1</v>
      </c>
      <c r="R21" s="21"/>
      <c r="T21" s="1">
        <v>9</v>
      </c>
      <c r="U21">
        <f>'[3]8根构件开始'!$D$13/(0.05*'[3]8根构件开始'!$D$13+0.95*'[3]9根构件'!$D$13)</f>
        <v>1</v>
      </c>
    </row>
    <row r="22" spans="1:28" x14ac:dyDescent="0.2">
      <c r="A22" s="1">
        <v>0.1</v>
      </c>
      <c r="D22">
        <f>'[2]29根构件'!$D$13/'[2]30根构件'!$G$75</f>
        <v>1.0000000000000002</v>
      </c>
      <c r="K22" s="30">
        <v>0.3</v>
      </c>
      <c r="L22">
        <f>'[3]8根构件开始'!$V$13/(0.05*'[3]9根构件'!$Z$13+0.95*'[3]9根构件'!$V$13)</f>
        <v>1.0000000000000002</v>
      </c>
      <c r="N22">
        <f>'[3]8根构件开始'!$T$25/(0.05*'[3]9根构件'!$X$25+0.95*'[3]9根构件'!$T$25)</f>
        <v>1.7419354838709677</v>
      </c>
      <c r="R22" s="21"/>
      <c r="T22" s="1">
        <v>13</v>
      </c>
      <c r="U22">
        <f>'[3]12根构件'!$D$13/(0.05*'[3]13根构件'!$H$13+0.95*'[3]13根构件'!$D$13)</f>
        <v>1</v>
      </c>
    </row>
    <row r="23" spans="1:28" x14ac:dyDescent="0.2">
      <c r="A23" s="1">
        <v>0.3</v>
      </c>
      <c r="B23" s="5"/>
      <c r="D23">
        <f>'[2]29根构件'!$V$13/'[2]30根构件'!$G$114</f>
        <v>1.0000000000000002</v>
      </c>
      <c r="K23" s="30">
        <v>0.5</v>
      </c>
      <c r="L23">
        <f>'[3]8根构件开始'!$D$34/(0.05*'[3]9根构件'!$H$34+0.95*'[3]9根构件'!$D$34)</f>
        <v>1</v>
      </c>
      <c r="N23">
        <f>'[3]8根构件开始'!$B$46/(0.05*'[3]9根构件'!$F$46+0.95*'[3]9根构件'!$B$46)</f>
        <v>1.3325563325563325</v>
      </c>
      <c r="R23" s="21"/>
      <c r="T23" s="1">
        <v>17</v>
      </c>
      <c r="U23">
        <f>'[3]16根构件  '!$D$13/(0.05*'[3]17根构件  '!$H$13+0.95*'[3]17根构件  '!$D$13)</f>
        <v>1</v>
      </c>
    </row>
    <row r="24" spans="1:28" x14ac:dyDescent="0.2">
      <c r="A24" s="1">
        <v>0.5</v>
      </c>
      <c r="B24" s="4"/>
      <c r="D24">
        <f>'[2]29根构件'!$D$34/'[2]30根构件'!$G$153</f>
        <v>1.0008000786042137</v>
      </c>
      <c r="K24" s="30">
        <v>0.7</v>
      </c>
      <c r="L24">
        <v>1</v>
      </c>
      <c r="N24">
        <f>'[3]8根构件开始'!$T$46/(0.05*'[3]9根构件'!$X$46+0.95*'[3]9根构件'!$T$46)</f>
        <v>1.1646432585310427</v>
      </c>
      <c r="R24" s="21"/>
      <c r="T24" s="1">
        <v>21</v>
      </c>
      <c r="U24">
        <f>'[3]20根构件'!$D$13/(0.05*'[3]21根构件 '!$H$13+0.95*'[3]21根构件 '!$D$13)</f>
        <v>1</v>
      </c>
    </row>
    <row r="25" spans="1:28" ht="15" thickBot="1" x14ac:dyDescent="0.25">
      <c r="A25" s="1">
        <v>0.7</v>
      </c>
      <c r="B25" s="4"/>
      <c r="D25">
        <f>'[2]29根构件'!$V$34/'[2]30根构件'!$G$192</f>
        <v>1.0028337061894108</v>
      </c>
      <c r="K25" s="31">
        <v>0.9</v>
      </c>
      <c r="L25" s="23">
        <v>1</v>
      </c>
      <c r="M25" s="23"/>
      <c r="N25" s="23">
        <f>'[3]8根构件开始'!$B$66/(0.05*'[3]9根构件'!$G$66+0.95*'[3]9根构件'!$B$66)</f>
        <v>1.0724365004703671</v>
      </c>
      <c r="O25" s="23"/>
      <c r="P25" s="23"/>
      <c r="Q25" s="23"/>
      <c r="R25" s="24"/>
      <c r="T25" s="1">
        <v>25</v>
      </c>
      <c r="U25">
        <f>'[3]24根构件 '!$D$13/(0.05*'[3]25根构件 '!$H$13+0.95*'[3]25根构件 '!$D$13)</f>
        <v>1</v>
      </c>
    </row>
    <row r="26" spans="1:28" ht="15" thickTop="1" x14ac:dyDescent="0.2">
      <c r="A26" s="1">
        <v>0.9</v>
      </c>
      <c r="B26" s="4"/>
      <c r="D26">
        <f>'[2]29根构件'!$D$54/'[2]30根构件'!$G$231</f>
        <v>1.0000000000000002</v>
      </c>
      <c r="T26" s="1">
        <v>29</v>
      </c>
      <c r="U26">
        <f>'[3]28根构件'!$D$13/(0.05*'[3]29根构件 '!$H$13+0.95*'[3]29根构件 '!$D$13)</f>
        <v>1.0167839410277497</v>
      </c>
    </row>
    <row r="27" spans="1:28" ht="15" thickBot="1" x14ac:dyDescent="0.25">
      <c r="T27" s="1">
        <v>33</v>
      </c>
      <c r="U27">
        <f>'[3]32根构件'!$D$13/(0.05*'[3]33根构件 '!$H$13+0.95*'[3]33根构件 '!$D$13)</f>
        <v>1.0273650554824147</v>
      </c>
    </row>
    <row r="28" spans="1:28" ht="19.5" thickTop="1" thickBot="1" x14ac:dyDescent="0.3">
      <c r="K28" s="25" t="s">
        <v>12</v>
      </c>
      <c r="L28" s="26"/>
      <c r="M28" s="26"/>
      <c r="N28" s="26"/>
      <c r="O28" s="26"/>
      <c r="P28" s="27"/>
      <c r="Q28" s="27"/>
      <c r="R28" s="28"/>
      <c r="T28" s="1">
        <v>37</v>
      </c>
      <c r="U28">
        <f>'[3]36根构件 '!$D$13/(0.05*'[3]37根构件  '!$H$13+0.95*'[3]37根构件  '!$D$13)</f>
        <v>1.015069661643446</v>
      </c>
    </row>
    <row r="29" spans="1:28" ht="18.75" thickTop="1" x14ac:dyDescent="0.25">
      <c r="A29" s="16" t="s">
        <v>8</v>
      </c>
      <c r="B29" s="17"/>
      <c r="C29" s="17"/>
      <c r="D29" s="17"/>
      <c r="E29" s="17"/>
      <c r="F29" s="17"/>
      <c r="G29" s="17"/>
      <c r="H29" s="18"/>
      <c r="K29" s="29" t="s">
        <v>0</v>
      </c>
      <c r="L29" t="s">
        <v>1</v>
      </c>
      <c r="M29" t="s">
        <v>2</v>
      </c>
      <c r="N29" s="1" t="s">
        <v>43</v>
      </c>
      <c r="R29" s="21"/>
      <c r="T29" s="1">
        <v>41</v>
      </c>
      <c r="U29">
        <f>'[3]40根构件  '!$D$13/(0.05*'[3]41根构件  '!$H$13+0.95*'[3]41根构件  '!$D$13)</f>
        <v>1.0072986703548001</v>
      </c>
    </row>
    <row r="30" spans="1:28" x14ac:dyDescent="0.2">
      <c r="A30" s="19" t="s">
        <v>9</v>
      </c>
      <c r="B30" s="10" t="s">
        <v>1</v>
      </c>
      <c r="C30" s="10" t="s">
        <v>2</v>
      </c>
      <c r="D30" s="14" t="s">
        <v>43</v>
      </c>
      <c r="E30" s="10"/>
      <c r="F30" s="10"/>
      <c r="G30" s="10"/>
      <c r="H30" s="20"/>
      <c r="K30" s="30">
        <v>0.1</v>
      </c>
      <c r="L30">
        <f>'[3]8根构件开始'!$D$13/(0.05*'[3]8根构件开始'!$D$13+0.95*'[3]9根构件'!$D$13)</f>
        <v>1</v>
      </c>
      <c r="R30" s="21"/>
      <c r="T30" s="1">
        <v>45</v>
      </c>
      <c r="U30">
        <f>'[3]44根构件 '!$D$13/(0.05*'[3]45根构件  '!$H$13+0.95*'[3]45根构件  '!$D$13)</f>
        <v>1.0021798827959121</v>
      </c>
    </row>
    <row r="31" spans="1:28" x14ac:dyDescent="0.2">
      <c r="A31" s="19">
        <v>2</v>
      </c>
      <c r="B31" s="10">
        <f>'[3]9根构件'!$D$34/(0.05*'[3]10根构件'!$H$34+0.95*'[3]10根构件'!$D$34)</f>
        <v>1.0727969348659003</v>
      </c>
      <c r="C31" s="10"/>
      <c r="D31" s="10">
        <f>'[3]9根构件'!$B$46/(0.05*'[3]10根构件'!$F$46+0.95*'[3]10根构件'!$B$46)</f>
        <v>1.3100961538461537</v>
      </c>
      <c r="E31" s="10"/>
      <c r="F31" s="10"/>
      <c r="G31" s="10"/>
      <c r="H31" s="20"/>
      <c r="K31" s="30">
        <v>0.3</v>
      </c>
      <c r="L31">
        <f>'[3]8根构件开始'!$V$13/(0.05*'[3]9根构件'!$Z$13+0.95*'[3]9根构件'!$V$13)</f>
        <v>1.0000000000000002</v>
      </c>
      <c r="N31">
        <f>'[3]8根构件开始'!$T$25/(0.05*'[3]9根构件'!$X$25+0.95*'[3]9根构件'!$T$25)</f>
        <v>1.7419354838709677</v>
      </c>
      <c r="R31" s="21"/>
      <c r="T31" s="1">
        <v>49</v>
      </c>
      <c r="U31">
        <f>'[3]48根构件 '!$D$13/(0.05*'[3]49根构件  '!$H$13+0.95*'[3]49根构件  '!$D$13)</f>
        <v>0.99900646517588465</v>
      </c>
    </row>
    <row r="32" spans="1:28" x14ac:dyDescent="0.2">
      <c r="A32" s="19">
        <v>2.5</v>
      </c>
      <c r="B32" s="10">
        <f>'[4]9根构件'!$D$34/(0.05*'[4]10根构件'!$H$34+0.95*'[4]10根构件'!$D$34)</f>
        <v>1</v>
      </c>
      <c r="C32" s="10"/>
      <c r="D32" s="10">
        <f>'[4]9根构件'!$B$46/(0.05*'[4]10根构件'!$F$46+0.95*'[4]10根构件'!$B$46)</f>
        <v>1.1404728789986092</v>
      </c>
      <c r="E32" s="10"/>
      <c r="F32" s="10"/>
      <c r="G32" s="10"/>
      <c r="H32" s="20"/>
      <c r="K32" s="30">
        <v>0.5</v>
      </c>
      <c r="L32">
        <f>'[3]8根构件开始'!$D$34/(0.05*'[3]9根构件'!$H$34+0.95*'[3]9根构件'!$D$34)</f>
        <v>1</v>
      </c>
      <c r="N32">
        <f>'[3]8根构件开始'!$B$46/(0.05*'[3]9根构件'!$F$46+0.95*'[3]9根构件'!$B$46)</f>
        <v>1.3325563325563325</v>
      </c>
      <c r="R32" s="21"/>
    </row>
    <row r="33" spans="1:28" x14ac:dyDescent="0.2">
      <c r="A33" s="19">
        <v>2.8</v>
      </c>
      <c r="B33" s="10">
        <f>'[1]9根构件'!$D$34/(0.95*'[1]10根构件'!$D$34+0.05*'[1]10根构件'!$H$34)</f>
        <v>1.0000000000000002</v>
      </c>
      <c r="C33" s="10"/>
      <c r="D33" s="10">
        <f>'[1]9根构件'!$B$46/(0.05*'[1]10根构件'!$F$46+0.95*'[1]10根构件'!$B$46)</f>
        <v>1.1320754716981134</v>
      </c>
      <c r="E33" s="10"/>
      <c r="F33" s="10"/>
      <c r="G33" s="10"/>
      <c r="H33" s="20"/>
      <c r="K33" s="30">
        <v>0.7</v>
      </c>
      <c r="L33">
        <f>'[3]8根构件开始'!$V$34/(0.05*'[3]8根构件开始'!$Z$34+0.95*'[3]8根构件开始'!$V$34)</f>
        <v>0.99585062240663902</v>
      </c>
      <c r="N33">
        <f>'[3]8根构件开始'!$T$46/(0.05*'[3]9根构件'!$X$46+0.95*'[3]9根构件'!$T$46)</f>
        <v>1.1646432585310427</v>
      </c>
      <c r="R33" s="21"/>
    </row>
    <row r="34" spans="1:28" ht="18.75" thickBot="1" x14ac:dyDescent="0.3">
      <c r="A34" s="19">
        <v>3</v>
      </c>
      <c r="B34">
        <v>1</v>
      </c>
      <c r="D34">
        <v>1.4084507042253518</v>
      </c>
      <c r="H34" s="21"/>
      <c r="K34" s="31">
        <v>0.9</v>
      </c>
      <c r="L34" s="23">
        <f>'[3]8根构件开始'!$D$54/(0.05*'[3]9根构件'!$H$54+0.95*'[3]9根构件'!$D$54)</f>
        <v>1.0166079516859587</v>
      </c>
      <c r="M34" s="23"/>
      <c r="N34" s="23">
        <f>'[3]8根构件开始'!$B$66/(0.05*'[3]9根构件'!$G$66+0.95*'[3]9根构件'!$B$66)</f>
        <v>1.0724365004703671</v>
      </c>
      <c r="O34" s="23"/>
      <c r="P34" s="23"/>
      <c r="Q34" s="23"/>
      <c r="R34" s="24"/>
      <c r="T34" s="6" t="s">
        <v>27</v>
      </c>
      <c r="U34" s="6"/>
      <c r="V34" s="6"/>
      <c r="W34" s="6"/>
      <c r="X34" s="6"/>
      <c r="Y34" s="7"/>
      <c r="Z34" s="7"/>
      <c r="AA34" s="7"/>
      <c r="AB34" s="7"/>
    </row>
    <row r="35" spans="1:28" ht="15.75" thickTop="1" thickBot="1" x14ac:dyDescent="0.25">
      <c r="A35" s="22">
        <v>3.2</v>
      </c>
      <c r="B35" s="23">
        <v>1.000000000000002</v>
      </c>
      <c r="C35" s="23"/>
      <c r="D35" s="23">
        <v>1.9512195121951226</v>
      </c>
      <c r="E35" s="23"/>
      <c r="F35" s="23"/>
      <c r="G35" s="23"/>
      <c r="H35" s="24"/>
      <c r="T35" s="1" t="s">
        <v>7</v>
      </c>
      <c r="U35" t="s">
        <v>1</v>
      </c>
      <c r="V35" t="s">
        <v>2</v>
      </c>
    </row>
    <row r="36" spans="1:28" ht="15" thickTop="1" x14ac:dyDescent="0.2">
      <c r="T36" s="1">
        <v>9</v>
      </c>
      <c r="U36">
        <f>'[3]8根构件开始'!$V$13/(0.05*'[3]9根构件'!$Z$13+0.95*'[3]9根构件'!$V$13)</f>
        <v>1.0000000000000002</v>
      </c>
    </row>
    <row r="37" spans="1:28" ht="18.75" thickBot="1" x14ac:dyDescent="0.3">
      <c r="K37" s="2" t="s">
        <v>11</v>
      </c>
      <c r="L37" s="2"/>
      <c r="M37" s="2"/>
      <c r="N37" s="2"/>
      <c r="O37" s="2"/>
      <c r="P37" s="3"/>
      <c r="Q37" s="3"/>
      <c r="R37" s="3"/>
      <c r="T37" s="1">
        <v>13</v>
      </c>
      <c r="U37">
        <f>'[3]12根构件'!$V$13/(0.05*'[3]13根构件'!$Z$13+0.95*'[3]13根构件'!$V$13)</f>
        <v>1.0000000000000002</v>
      </c>
    </row>
    <row r="38" spans="1:28" ht="18.75" thickTop="1" x14ac:dyDescent="0.25">
      <c r="A38" s="16" t="s">
        <v>100</v>
      </c>
      <c r="B38" s="17"/>
      <c r="C38" s="17"/>
      <c r="D38" s="17"/>
      <c r="E38" s="17"/>
      <c r="F38" s="17"/>
      <c r="G38" s="17"/>
      <c r="H38" s="18"/>
      <c r="K38" t="s">
        <v>0</v>
      </c>
      <c r="L38" t="s">
        <v>1</v>
      </c>
      <c r="M38" t="s">
        <v>2</v>
      </c>
      <c r="N38" s="1" t="s">
        <v>43</v>
      </c>
      <c r="T38" s="1">
        <v>17</v>
      </c>
      <c r="U38">
        <f>'[3]16根构件  '!$V$13/(0.05*'[3]17根构件  '!$Z$13+0.95*'[3]17根构件  '!$V$13)</f>
        <v>1.0304301872505564</v>
      </c>
    </row>
    <row r="39" spans="1:28" x14ac:dyDescent="0.2">
      <c r="A39" s="19" t="s">
        <v>9</v>
      </c>
      <c r="B39" s="10" t="s">
        <v>1</v>
      </c>
      <c r="C39" s="10" t="s">
        <v>2</v>
      </c>
      <c r="D39" s="14" t="s">
        <v>43</v>
      </c>
      <c r="E39" s="10"/>
      <c r="F39" s="10"/>
      <c r="G39" s="10"/>
      <c r="H39" s="20"/>
      <c r="K39" s="1">
        <v>0.1</v>
      </c>
      <c r="L39">
        <f>'[3]9根构件'!$D$13/(0.05*'[3]10根构件'!$H$13+0.95*'[3]10根构件'!$D$13)</f>
        <v>1</v>
      </c>
      <c r="T39" s="1">
        <v>21</v>
      </c>
      <c r="U39">
        <f>'[3]20根构件'!$V$13/(0.05*'[3]21根构件 '!$Z$13+0.95*'[3]21根构件 '!$V$13)</f>
        <v>1.0045755302682384</v>
      </c>
    </row>
    <row r="40" spans="1:28" x14ac:dyDescent="0.2">
      <c r="A40" s="19">
        <v>2</v>
      </c>
      <c r="B40" s="10">
        <f>'[3]9根构件'!$D$34/(0.05*'[3]10根构件'!$H$34+0.95*'[3]10根构件'!$D$34)</f>
        <v>1.0727969348659003</v>
      </c>
      <c r="C40" s="10"/>
      <c r="D40" s="10">
        <f>'[3]9根构件'!$B$46/(0.05*'[3]10根构件'!$F$46+0.95*'[3]10根构件'!$B$46)</f>
        <v>1.3100961538461537</v>
      </c>
      <c r="E40" s="10"/>
      <c r="F40" s="10"/>
      <c r="G40" s="10"/>
      <c r="H40" s="20"/>
      <c r="K40" s="1">
        <v>0.3</v>
      </c>
      <c r="L40">
        <f>'[3]9根构件'!$V$13/(0.05*'[3]10根构件'!$Z$13+0.95*'[3]10根构件'!$V$13)</f>
        <v>1.0000000000000002</v>
      </c>
      <c r="N40">
        <f>'[3]9根构件'!$T$25/(0.05*'[3]10根构件'!$X$25+0.95*'[3]10根构件'!$T$25)</f>
        <v>2.4390243902439028</v>
      </c>
      <c r="T40" s="1">
        <v>25</v>
      </c>
      <c r="U40">
        <f>'[3]24根构件 '!$V$13/(0.05*'[3]25根构件 '!$Z$13+0.95*'[3]25根构件 '!$V$13)</f>
        <v>0.99623766839468064</v>
      </c>
    </row>
    <row r="41" spans="1:28" x14ac:dyDescent="0.2">
      <c r="A41">
        <v>2.2000000000000002</v>
      </c>
      <c r="B41">
        <v>1</v>
      </c>
      <c r="D41">
        <v>1.205811516</v>
      </c>
      <c r="E41" s="10"/>
      <c r="F41" s="10"/>
      <c r="G41" s="10"/>
      <c r="H41" s="20"/>
      <c r="K41" s="1">
        <v>0.5</v>
      </c>
      <c r="L41">
        <f>'[3]9根构件'!$D$34/(0.05*'[3]10根构件'!$H$34+0.95*'[3]10根构件'!$D$34)</f>
        <v>1.0727969348659003</v>
      </c>
      <c r="N41">
        <f>'[3]9根构件'!$B$46/(0.05*'[3]10根构件'!$F$46+0.95*'[3]10根构件'!$B$46)</f>
        <v>1.3100961538461537</v>
      </c>
      <c r="T41" s="1">
        <v>29</v>
      </c>
      <c r="U41">
        <f>'[3]28根构件'!$V$13/(0.05*'[3]29根构件 '!$Z$13+0.95*'[3]29根构件 '!$V$13)</f>
        <v>1.0066206050547508</v>
      </c>
    </row>
    <row r="42" spans="1:28" x14ac:dyDescent="0.2">
      <c r="A42" s="19">
        <v>2.5</v>
      </c>
      <c r="B42" s="10">
        <f>'[4]9根构件'!$D$34/(0.05*'[4]10根构件'!$H$34+0.95*'[4]10根构件'!$D$34)</f>
        <v>1</v>
      </c>
      <c r="C42" s="10"/>
      <c r="D42" s="10">
        <f>'[4]9根构件'!$B$46/(0.05*'[4]10根构件'!$F$46+0.95*'[4]10根构件'!$B$46)</f>
        <v>1.1404728789986092</v>
      </c>
      <c r="E42" s="10"/>
      <c r="F42" s="10"/>
      <c r="G42" s="10"/>
      <c r="H42" s="20"/>
      <c r="K42" s="1">
        <v>0.7</v>
      </c>
      <c r="L42">
        <f>'[3]9根构件'!$V$34/(0.05*'[3]10根构件'!$Z$34+0.95*'[3]10根构件'!$V$34)</f>
        <v>0.99431818181818188</v>
      </c>
      <c r="N42">
        <f>'[3]9根构件'!$T$46/(0.05*'[3]10根构件'!$X$46+0.95*'[3]10根构件'!$T$46)</f>
        <v>1.1616890994165561</v>
      </c>
      <c r="T42" s="1">
        <v>33</v>
      </c>
      <c r="U42">
        <f>'[3]32根构件'!$V$13/(0.05*'[3]33根构件 '!$Z$13+0.95*'[3]33根构件 '!$V$13)</f>
        <v>1.0020499896560158</v>
      </c>
    </row>
    <row r="43" spans="1:28" x14ac:dyDescent="0.2">
      <c r="A43" s="19">
        <v>2.8</v>
      </c>
      <c r="B43" s="10">
        <f>'[1]9根构件'!$D$34/(0.95*'[1]10根构件'!$D$34+0.05*'[1]10根构件'!$H$34)</f>
        <v>1.0000000000000002</v>
      </c>
      <c r="C43" s="10"/>
      <c r="D43" s="10">
        <f>'[1]9根构件'!$B$46/(0.05*'[1]10根构件'!$F$46+0.95*'[1]10根构件'!$B$46)</f>
        <v>1.1320754716981134</v>
      </c>
      <c r="H43" s="21"/>
      <c r="K43" s="1">
        <v>0.9</v>
      </c>
      <c r="L43">
        <f>'[3]9根构件'!$D$54/(0.05*'[3]10根构件'!$H$54+0.95*'[3]10根构件'!$D$54)</f>
        <v>1.0066090493136759</v>
      </c>
      <c r="N43">
        <f>'[3]9根构件'!$B$66/(0.05*'[3]10根构件'!$G$66+0.95*'[3]10根构件'!$B$66)</f>
        <v>1.0568295114656032</v>
      </c>
      <c r="T43" s="1">
        <v>37</v>
      </c>
      <c r="U43">
        <f>'[3]36根构件 '!$V$13/(0.05*'[3]37根构件  '!$Z$13+0.95*'[3]37根构件  '!$V$13)</f>
        <v>0.99786796619203522</v>
      </c>
    </row>
    <row r="44" spans="1:28" x14ac:dyDescent="0.2">
      <c r="A44" s="19">
        <v>3</v>
      </c>
      <c r="B44">
        <v>1</v>
      </c>
      <c r="D44">
        <v>1.1213905242500699</v>
      </c>
      <c r="H44" s="21"/>
      <c r="T44" s="1">
        <v>41</v>
      </c>
      <c r="U44">
        <f>'[3]40根构件  '!$V$13/(0.05*'[3]41根构件  '!$Z$13+0.95*'[3]41根构件  '!$V$13)</f>
        <v>1.0155855260600877</v>
      </c>
    </row>
    <row r="45" spans="1:28" ht="15" thickBot="1" x14ac:dyDescent="0.25">
      <c r="A45" s="22">
        <v>3.2</v>
      </c>
      <c r="B45" s="23">
        <v>1.000000000000002</v>
      </c>
      <c r="C45" s="23"/>
      <c r="D45" s="23">
        <v>1.1138958507379562</v>
      </c>
      <c r="E45" s="23"/>
      <c r="F45" s="23"/>
      <c r="G45" s="23"/>
      <c r="H45" s="24"/>
      <c r="T45" s="1">
        <v>45</v>
      </c>
      <c r="U45">
        <f>'[3]44根构件 '!$V$13/(0.05*'[3]45根构件  '!$Z$13+0.95*'[3]45根构件  '!$V$13)</f>
        <v>1.0010730040138298</v>
      </c>
    </row>
    <row r="46" spans="1:28" ht="18.75" thickTop="1" x14ac:dyDescent="0.25">
      <c r="K46" s="2" t="s">
        <v>14</v>
      </c>
      <c r="L46" s="2"/>
      <c r="M46" s="2"/>
      <c r="N46" s="2"/>
      <c r="O46" s="2"/>
      <c r="P46" s="3"/>
      <c r="Q46" s="3"/>
      <c r="R46" s="3"/>
      <c r="T46" s="1">
        <v>49</v>
      </c>
      <c r="U46">
        <f>'[3]48根构件 '!$V$13/(0.05*'[3]49根构件  '!$Z$13+0.95*'[3]49根构件  '!$V$13)</f>
        <v>0.99807676897187292</v>
      </c>
    </row>
    <row r="47" spans="1:28" x14ac:dyDescent="0.2">
      <c r="K47" t="s">
        <v>0</v>
      </c>
      <c r="L47" t="s">
        <v>1</v>
      </c>
      <c r="M47" t="s">
        <v>2</v>
      </c>
      <c r="N47" s="1" t="s">
        <v>43</v>
      </c>
    </row>
    <row r="48" spans="1:28" x14ac:dyDescent="0.2">
      <c r="K48" s="1">
        <v>0.1</v>
      </c>
      <c r="L48">
        <f>'[3]10根构件'!$D$13/(0.05*'[3]11根构件 '!$H$13+0.95*'[3]11根构件 '!$D$13)</f>
        <v>1</v>
      </c>
    </row>
    <row r="49" spans="1:39" ht="18" x14ac:dyDescent="0.25">
      <c r="K49" s="1">
        <v>0.3</v>
      </c>
      <c r="L49">
        <f>'[3]10根构件'!$V$13/(0.05*'[3]11根构件 '!$Z$13+0.95*'[3]11根构件 '!$V$13)</f>
        <v>1.0000000000000002</v>
      </c>
      <c r="N49">
        <f>'[3]10根构件'!$T$25/(0.05*'[3]11根构件 '!$X$25+0.95*'[3]11根构件 '!$T$25)</f>
        <v>0.85106382978723394</v>
      </c>
      <c r="T49" s="6" t="s">
        <v>41</v>
      </c>
      <c r="U49" s="6"/>
      <c r="V49" s="6"/>
      <c r="W49" s="6"/>
      <c r="X49" s="6"/>
      <c r="Y49" s="7"/>
      <c r="Z49" s="7"/>
      <c r="AA49" s="7"/>
      <c r="AB49" s="7"/>
    </row>
    <row r="50" spans="1:39" x14ac:dyDescent="0.2">
      <c r="K50" s="1">
        <v>0.5</v>
      </c>
      <c r="L50">
        <f>'[3]10根构件'!$D$34/(0.05*'[3]11根构件 '!$H$34+0.95*'[3]11根构件 '!$D$34)</f>
        <v>1.0743801652892562</v>
      </c>
      <c r="N50">
        <f>'[3]10根构件'!$B$46/(0.05*'[3]11根构件 '!$F$46+0.95*'[3]11根构件 '!$B$46)</f>
        <v>1.2342245989304814</v>
      </c>
      <c r="T50" s="1" t="s">
        <v>7</v>
      </c>
      <c r="U50" t="s">
        <v>1</v>
      </c>
      <c r="V50" t="s">
        <v>2</v>
      </c>
    </row>
    <row r="51" spans="1:39" x14ac:dyDescent="0.2">
      <c r="K51" s="1">
        <v>0.7</v>
      </c>
      <c r="L51">
        <f>'[3]10根构件'!$V$34/(0.05*'[3]11根构件 '!$Z$34+0.95*'[3]11根构件 '!$V$34)</f>
        <v>0.99431818181818188</v>
      </c>
      <c r="N51">
        <f>'[3]10根构件'!$T$46/(0.05*'[3]11根构件 '!$X$46+0.95*'[3]11根构件 '!$T$46)</f>
        <v>1.1015305713598846</v>
      </c>
      <c r="T51" s="1">
        <v>9</v>
      </c>
      <c r="U51">
        <f>'[4]8根构件开始'!$D$13/(0.05*'[4]9根构件'!$H$13+0.95*'[4]9根构件'!$D$13)</f>
        <v>1</v>
      </c>
    </row>
    <row r="52" spans="1:39" x14ac:dyDescent="0.2">
      <c r="K52" s="1">
        <v>0.9</v>
      </c>
      <c r="L52">
        <f>'[3]10根构件'!$D$54/(0.05*'[3]11根构件 '!$H$54+0.95*'[3]11根构件 '!$D$54)</f>
        <v>0.99745547073791363</v>
      </c>
      <c r="N52">
        <f>'[3]10根构件'!$B$66/(0.05*'[3]11根构件 '!$G$66+0.95*'[3]11根构件 '!$B$66)</f>
        <v>1.0395010395010396</v>
      </c>
      <c r="T52" s="1">
        <v>13</v>
      </c>
      <c r="U52">
        <f>'[4]12根构件'!$D$13/(0.05*'[4]13根构件'!$H$13+0.95*'[4]13根构件'!$D$13)</f>
        <v>0.97818832260992616</v>
      </c>
    </row>
    <row r="53" spans="1:39" x14ac:dyDescent="0.2">
      <c r="T53" s="1">
        <v>17</v>
      </c>
      <c r="U53">
        <f>'[4]16根构件  '!$D$13/(0.05*'[4]17根构件  '!$H$13+0.95*'[4]17根构件  '!$D$13)</f>
        <v>0.98314908232263609</v>
      </c>
    </row>
    <row r="54" spans="1:39" x14ac:dyDescent="0.2">
      <c r="T54" s="1">
        <v>21</v>
      </c>
      <c r="U54">
        <f>'[4]20根构件'!$D$13/(0.05*'[4]21根构件 '!$H$13+0.95*'[4]21根构件 '!$D$13)</f>
        <v>0.98486681181625146</v>
      </c>
    </row>
    <row r="55" spans="1:39" ht="18" x14ac:dyDescent="0.25">
      <c r="K55" s="2" t="s">
        <v>15</v>
      </c>
      <c r="L55" s="2"/>
      <c r="M55" s="2"/>
      <c r="N55" s="2"/>
      <c r="O55" s="2"/>
      <c r="P55" s="3"/>
      <c r="Q55" s="3"/>
      <c r="R55" s="3"/>
      <c r="T55" s="1">
        <v>25</v>
      </c>
      <c r="U55">
        <f>'[4]24根构件 '!$D$13/(0.05*'[4]25根构件 '!$H$13+0.95*'[4]25根构件 '!$D$13)</f>
        <v>0.9884269875097792</v>
      </c>
    </row>
    <row r="56" spans="1:39" x14ac:dyDescent="0.2">
      <c r="K56" t="s">
        <v>0</v>
      </c>
      <c r="L56" t="s">
        <v>1</v>
      </c>
      <c r="M56" t="s">
        <v>2</v>
      </c>
      <c r="N56" s="1" t="s">
        <v>43</v>
      </c>
      <c r="T56" s="1">
        <v>29</v>
      </c>
      <c r="U56">
        <f>'[4]28根构件'!$D$13/(0.05*'[4]29根构件 '!$H$13+0.95*'[4]29根构件 '!$D$13)</f>
        <v>0.98997595309502595</v>
      </c>
    </row>
    <row r="57" spans="1:39" ht="18" x14ac:dyDescent="0.25">
      <c r="A57" s="8" t="s">
        <v>10</v>
      </c>
      <c r="B57" s="9"/>
      <c r="C57" s="9"/>
      <c r="D57" s="9"/>
      <c r="E57" s="9"/>
      <c r="F57" s="9"/>
      <c r="G57" s="9"/>
      <c r="H57" s="9"/>
      <c r="K57" s="1">
        <v>0.1</v>
      </c>
      <c r="L57">
        <f>'[3]11根构件 '!$D$13/(0.05*'[3]12根构件'!$H$13+0.95*'[3]12根构件'!$D$13)</f>
        <v>1</v>
      </c>
      <c r="T57" s="1">
        <v>33</v>
      </c>
      <c r="U57">
        <f>'[4]32根构件'!$D$13/(0.05*'[4]33根构件 '!$H$13+0.95*'[4]33根构件 '!$D$13)</f>
        <v>0.99061832535755812</v>
      </c>
    </row>
    <row r="58" spans="1:39" x14ac:dyDescent="0.2">
      <c r="A58" t="s">
        <v>9</v>
      </c>
      <c r="B58" t="s">
        <v>1</v>
      </c>
      <c r="C58" t="s">
        <v>2</v>
      </c>
      <c r="K58" s="1">
        <v>0.3</v>
      </c>
      <c r="L58">
        <f>'[3]11根构件 '!$V$13/(0.05*'[3]12根构件'!$Z$13+0.95*'[3]12根构件'!$V$13)</f>
        <v>1.0000000000000002</v>
      </c>
      <c r="N58">
        <f>'[3]11根构件 '!$T$25/(0.05*'[3]12根构件'!$X$25+0.95*'[3]12根构件'!$T$25)</f>
        <v>1.1764705882352942</v>
      </c>
      <c r="T58" s="1">
        <v>37</v>
      </c>
      <c r="U58">
        <f>'[4]36根构件 '!$D$13/(0.05*'[4]37根构件  '!$H$13+0.95*'[4]37根构件  '!$D$13)</f>
        <v>1</v>
      </c>
    </row>
    <row r="59" spans="1:39" x14ac:dyDescent="0.2">
      <c r="A59">
        <v>2</v>
      </c>
      <c r="B59">
        <f>'[3]19根构件'!$D$13/(0.05*'[3]20根构件'!$H$13+0.95*'[3]20根构件'!$D$13)</f>
        <v>1</v>
      </c>
      <c r="K59" s="1">
        <v>0.5</v>
      </c>
      <c r="L59">
        <f>'[3]11根构件 '!$D$34/(0.05*'[3]12根构件'!$H$34+0.95*'[3]12根构件'!$D$34)</f>
        <v>0.99173553719008267</v>
      </c>
      <c r="N59">
        <f>'[3]11根构件 '!$B$46/(0.05*'[3]12根构件'!$F$46+0.95*'[3]12根构件'!$B$46)</f>
        <v>1.4189807750991763</v>
      </c>
      <c r="T59" s="1">
        <v>41</v>
      </c>
      <c r="U59">
        <f>'[4]40根构件  '!$D$13/(0.05*'[4]41根构件  '!$H$13+0.95*'[4]41根构件  '!$D$13)</f>
        <v>0.9928732081402597</v>
      </c>
    </row>
    <row r="60" spans="1:39" x14ac:dyDescent="0.2">
      <c r="A60">
        <v>2.5</v>
      </c>
      <c r="B60">
        <f>'[4]19根构件'!$D$13/(0.05*'[4]20根构件'!$H$13+0.95*'[4]20根构件'!$D$13)</f>
        <v>0.98560860793544058</v>
      </c>
      <c r="K60" s="1">
        <v>0.7</v>
      </c>
      <c r="L60">
        <f>'[3]11根构件 '!$V$34/(0.05*'[3]12根构件'!$Z$34+0.95*'[3]12根构件'!$V$34)</f>
        <v>1.0233918128654971</v>
      </c>
      <c r="N60">
        <f>'[3]11根构件 '!$T$46/(0.05*'[3]12根构件'!$X$46+0.95*'[3]12根构件'!$T$46)</f>
        <v>1.103298695988409</v>
      </c>
      <c r="T60" s="1">
        <v>45</v>
      </c>
      <c r="U60">
        <f>'[4]44根构件 '!$D$13/(0.05*'[4]45根构件  '!$H$13+0.95*'[4]45根构件  '!$D$13)</f>
        <v>1</v>
      </c>
    </row>
    <row r="61" spans="1:39" x14ac:dyDescent="0.2">
      <c r="A61">
        <v>2.8</v>
      </c>
      <c r="B61">
        <f>'[1]19根构件'!$D$13/(0.05*'[1]20根构件'!$H$13+0.95*'[1]20根构件'!$D$13)</f>
        <v>0.99179524227256322</v>
      </c>
      <c r="K61" s="1">
        <v>0.9</v>
      </c>
      <c r="L61">
        <f>'[3]11根构件 '!$D$54/(0.05*'[3]12根构件'!$H$54+0.95*'[3]12根构件'!$D$54)</f>
        <v>1.0077120822622108</v>
      </c>
      <c r="N61">
        <f>'[3]11根构件 '!$B$66/(0.05*'[3]12根构件'!$G$66+0.95*'[3]12根构件'!$B$66)</f>
        <v>1.0631229235880399</v>
      </c>
      <c r="T61" s="1">
        <v>49</v>
      </c>
      <c r="U61">
        <f>'[4]48根构件 '!$D$13/(0.05*'[4]49根构件  '!$H$13+0.95*'[4]49根构件  '!$D$13)</f>
        <v>0.99403147042864892</v>
      </c>
    </row>
    <row r="64" spans="1:39" ht="18" x14ac:dyDescent="0.25">
      <c r="A64" s="2" t="s">
        <v>29</v>
      </c>
      <c r="B64" s="2"/>
      <c r="C64" s="2"/>
      <c r="D64" s="2"/>
      <c r="E64" s="2"/>
      <c r="F64" s="3"/>
      <c r="G64" s="3"/>
      <c r="H64" s="3"/>
      <c r="K64" s="2" t="s">
        <v>16</v>
      </c>
      <c r="L64" s="2"/>
      <c r="M64" s="2"/>
      <c r="N64" s="2"/>
      <c r="O64" s="2"/>
      <c r="P64" s="3"/>
      <c r="Q64" s="3"/>
      <c r="R64" s="3"/>
      <c r="T64" s="6" t="s">
        <v>42</v>
      </c>
      <c r="U64" s="6"/>
      <c r="V64" s="6"/>
      <c r="W64" s="6"/>
      <c r="X64" s="6"/>
      <c r="Y64" s="7"/>
      <c r="Z64" s="7"/>
      <c r="AA64" s="7"/>
      <c r="AB64" s="7"/>
      <c r="AE64" s="6" t="s">
        <v>95</v>
      </c>
      <c r="AF64" s="6"/>
      <c r="AG64" s="6"/>
      <c r="AH64" s="6"/>
      <c r="AI64" s="6"/>
      <c r="AJ64" s="7"/>
      <c r="AK64" s="7"/>
      <c r="AL64" s="7"/>
      <c r="AM64" s="7"/>
    </row>
    <row r="65" spans="1:34" x14ac:dyDescent="0.2">
      <c r="A65" t="s">
        <v>0</v>
      </c>
      <c r="B65" t="s">
        <v>1</v>
      </c>
      <c r="C65" t="s">
        <v>2</v>
      </c>
      <c r="D65" s="1" t="s">
        <v>43</v>
      </c>
      <c r="K65" t="s">
        <v>0</v>
      </c>
      <c r="L65" t="s">
        <v>1</v>
      </c>
      <c r="M65" t="s">
        <v>2</v>
      </c>
      <c r="N65" s="1" t="s">
        <v>43</v>
      </c>
      <c r="T65" s="1" t="s">
        <v>7</v>
      </c>
      <c r="U65" t="s">
        <v>1</v>
      </c>
      <c r="V65" t="s">
        <v>2</v>
      </c>
      <c r="AE65" s="1" t="s">
        <v>7</v>
      </c>
      <c r="AF65" t="s">
        <v>1</v>
      </c>
      <c r="AG65" t="s">
        <v>2</v>
      </c>
      <c r="AH65" s="1" t="s">
        <v>43</v>
      </c>
    </row>
    <row r="66" spans="1:34" x14ac:dyDescent="0.2">
      <c r="A66" s="1">
        <v>0.1</v>
      </c>
      <c r="B66">
        <f>'[4]8根构件开始'!$D$13/(0.05*'[4]9根构件'!$H$13+0.95*'[4]9根构件'!$D$13)</f>
        <v>1</v>
      </c>
      <c r="K66" s="1">
        <v>0.1</v>
      </c>
      <c r="L66">
        <f>'[3]12根构件'!$D$13/(0.05*'[3]13根构件'!$H$13+0.95*'[3]13根构件'!$D$13)</f>
        <v>1</v>
      </c>
      <c r="T66" s="1">
        <v>9</v>
      </c>
      <c r="U66">
        <f>'[4]8根构件开始'!$V$13/(0.05*'[4]9根构件'!$Z$13+0.95*'[4]9根构件'!$V$13)</f>
        <v>1</v>
      </c>
      <c r="AE66" s="1">
        <v>9</v>
      </c>
      <c r="AH66">
        <f>'[4]8根构件开始'!$T$46/(0.05*'[4]9根构件'!$X$46+0.95*'[4]9根构件'!$T$46)</f>
        <v>1.1558702516505597</v>
      </c>
    </row>
    <row r="67" spans="1:34" x14ac:dyDescent="0.2">
      <c r="A67" s="1">
        <v>0.3</v>
      </c>
      <c r="B67">
        <f>'[4]8根构件开始'!$V$13/(0.05*'[4]9根构件'!$Z$13+0.95*'[4]9根构件'!$V$13)</f>
        <v>1</v>
      </c>
      <c r="K67" s="1">
        <v>0.3</v>
      </c>
      <c r="L67">
        <f>'[3]12根构件'!$V$13/(0.05*'[3]13根构件'!$Z$13+0.95*'[3]13根构件'!$V$13)</f>
        <v>1.0000000000000002</v>
      </c>
      <c r="N67">
        <f>'[3]12根构件'!$T$25/(0.05*'[3]13根构件'!$X$25+0.95*'[3]13根构件'!$T$25)</f>
        <v>3.0769230769230771</v>
      </c>
      <c r="T67" s="1">
        <v>13</v>
      </c>
      <c r="U67">
        <f>'[4]12根构件'!$V$13/(0.05*'[4]13根构件'!$Z$13+0.95*'[4]13根构件'!$V$13)</f>
        <v>1</v>
      </c>
      <c r="AE67" s="1">
        <v>10</v>
      </c>
      <c r="AH67">
        <f>'[4]9根构件'!$T$46/(0.05*'[4]10根构件'!$X$46+0.95*'[4]10根构件'!$T$46)</f>
        <v>1.3063880372896204</v>
      </c>
    </row>
    <row r="68" spans="1:34" x14ac:dyDescent="0.2">
      <c r="A68" s="1">
        <v>0.5</v>
      </c>
      <c r="B68">
        <f>'[4]8根构件开始'!$D$34/(0.05*'[4]9根构件'!$H$34+0.95*'[4]9根构件'!$D$34)</f>
        <v>1</v>
      </c>
      <c r="D68">
        <f>'[4]8根构件开始'!$B$46/(0.05*'[4]9根构件'!$F$46+0.95*'[4]9根构件'!$B$46)</f>
        <v>1.9905213270142181</v>
      </c>
      <c r="K68" s="1">
        <v>0.5</v>
      </c>
      <c r="L68">
        <f>'[3]12根构件'!$D$34/(0.05*'[3]13根构件'!$H$34+0.95*'[3]13根构件'!$D$34)</f>
        <v>0.99585062240663902</v>
      </c>
      <c r="N68">
        <f>'[3]12根构件'!$B$46/(0.05*'[3]13根构件'!$F$46+0.95*'[3]13根构件'!$B$46)</f>
        <v>1.0424398902694851</v>
      </c>
      <c r="T68" s="1">
        <v>17</v>
      </c>
      <c r="U68">
        <f>'[4]16根构件  '!$V$13/(0.05*'[4]17根构件  '!$Z$13+0.95*'[4]17根构件  '!$V$13)</f>
        <v>1</v>
      </c>
      <c r="AE68" s="1">
        <v>11</v>
      </c>
      <c r="AH68">
        <f>'[4]10根构件'!$T$46/(0.05*'[4]11根构件 '!$X$46+0.95*'[4]11根构件 '!$T$46)</f>
        <v>1.074189610741896</v>
      </c>
    </row>
    <row r="69" spans="1:34" x14ac:dyDescent="0.2">
      <c r="A69" s="1">
        <v>0.7</v>
      </c>
      <c r="B69">
        <f>'[4]8根构件开始'!$V$34/(0.05*'[4]9根构件'!$Z$34+0.95*'[4]9根构件'!$V$34)</f>
        <v>1.0562300319488818</v>
      </c>
      <c r="D69">
        <f>'[4]8根构件开始'!$T$46/(0.05*'[4]9根构件'!$X$46+0.95*'[4]9根构件'!$T$46)</f>
        <v>1.1558702516505597</v>
      </c>
      <c r="K69" s="1">
        <v>0.7</v>
      </c>
      <c r="L69">
        <f>'[3]12根构件'!$V$34/(0.05*'[3]13根构件'!$Z$34+0.95*'[3]13根构件'!$V$34)</f>
        <v>1.0240963855421688</v>
      </c>
      <c r="N69">
        <f>'[3]12根构件'!$T$46/(0.05*'[3]13根构件'!$X$46+0.95*'[3]13根构件'!$T$46)</f>
        <v>1.1206051267684549</v>
      </c>
      <c r="T69" s="1">
        <v>21</v>
      </c>
      <c r="U69">
        <f>'[4]20根构件'!$V$13/(0.05*'[4]21根构件 '!$Z$13+0.95*'[4]21根构件 '!$V$13)</f>
        <v>1</v>
      </c>
      <c r="AE69" s="1">
        <v>12</v>
      </c>
      <c r="AH69">
        <f>'[4]11根构件 '!$T$46/(0.05*'[4]12根构件'!$X$46+0.95*'[4]12根构件'!$T$46)</f>
        <v>1.1416128781398243</v>
      </c>
    </row>
    <row r="70" spans="1:34" x14ac:dyDescent="0.2">
      <c r="A70" s="1">
        <v>0.9</v>
      </c>
      <c r="B70">
        <f>'[4]8根构件开始'!$D$54/(0.05*'[4]9根构件'!$H$54+0.95*'[4]9根构件'!$D$54)</f>
        <v>1.0407239819004526</v>
      </c>
      <c r="D70">
        <f>'[4]8根构件开始'!$B$66/(0.05*'[4]9根构件'!$G$66+0.95*'[4]9根构件'!$B$66)</f>
        <v>1.0000000000000002</v>
      </c>
      <c r="K70" s="1">
        <v>0.9</v>
      </c>
      <c r="L70">
        <f>'[3]12根构件'!$D$54/(0.05*'[3]13根构件'!$H$54+0.95*'[3]13根构件'!$D$54)</f>
        <v>0.99794238683127579</v>
      </c>
      <c r="N70">
        <f>'[3]12根构件'!$B$66/(0.05*'[3]13根构件'!$G$66+0.95*'[3]13根构件'!$B$66)</f>
        <v>1.0204081632653061</v>
      </c>
      <c r="T70" s="1">
        <v>25</v>
      </c>
      <c r="U70">
        <f>'[4]24根构件 '!$V$13/(0.05*'[4]25根构件 '!$Z$13+0.95*'[4]25根构件 '!$V$13)</f>
        <v>1</v>
      </c>
      <c r="AE70" s="1">
        <v>13</v>
      </c>
      <c r="AH70">
        <f>'[4]12根构件'!$T$46/(0.05*'[4]13根构件'!$X$46+0.95*'[4]13根构件'!$T$46)</f>
        <v>1.1557243624525229</v>
      </c>
    </row>
    <row r="71" spans="1:34" x14ac:dyDescent="0.2">
      <c r="T71" s="1">
        <v>29</v>
      </c>
      <c r="U71">
        <f>'[4]28根构件'!$V$13/(0.05*'[4]29根构件 '!$Z$13+0.95*'[4]29根构件 '!$V$13)</f>
        <v>1.0215830036190441</v>
      </c>
      <c r="AE71" s="1">
        <v>14</v>
      </c>
      <c r="AH71">
        <f>'[4]13根构件'!$T$46/(0.05*'[4]14根构件'!$X$46+0.95*'[4]14根构件'!$T$46)</f>
        <v>1.1870270270270271</v>
      </c>
    </row>
    <row r="72" spans="1:34" x14ac:dyDescent="0.2">
      <c r="T72" s="1">
        <v>33</v>
      </c>
      <c r="U72">
        <f>'[4]32根构件'!$V$13/(0.05*'[4]33根构件 '!$Z$13+0.95*'[4]33根构件 '!$V$13)</f>
        <v>1.0085849792879871</v>
      </c>
      <c r="AE72" s="1">
        <v>15</v>
      </c>
      <c r="AH72">
        <f>'[4]14根构件'!$T$46/(0.05*'[4]15根构件 '!$X$46+0.95*'[4]15根构件 '!$T$46)</f>
        <v>1.0577367205542727</v>
      </c>
    </row>
    <row r="73" spans="1:34" ht="18" x14ac:dyDescent="0.25">
      <c r="A73" s="2" t="s">
        <v>30</v>
      </c>
      <c r="B73" s="2"/>
      <c r="C73" s="2"/>
      <c r="D73" s="2"/>
      <c r="E73" s="2"/>
      <c r="F73" s="3"/>
      <c r="G73" s="3"/>
      <c r="H73" s="3"/>
      <c r="K73" s="2" t="s">
        <v>17</v>
      </c>
      <c r="L73" s="2"/>
      <c r="M73" s="2"/>
      <c r="N73" s="2"/>
      <c r="O73" s="2"/>
      <c r="P73" s="3"/>
      <c r="Q73" s="3"/>
      <c r="R73" s="3"/>
      <c r="T73" s="1">
        <v>37</v>
      </c>
      <c r="U73">
        <f>'[4]36根构件 '!$V$13/(0.05*'[4]37根构件  '!$Z$13+0.95*'[4]37根构件  '!$V$13)</f>
        <v>0.98729508196721327</v>
      </c>
      <c r="AE73" s="1">
        <v>16</v>
      </c>
      <c r="AH73">
        <f>'[4]15根构件 '!$T$46/(0.05*'[4]16根构件  '!$X$46+0.95*'[4]16根构件  '!$T$46)</f>
        <v>1.0576804821055221</v>
      </c>
    </row>
    <row r="74" spans="1:34" x14ac:dyDescent="0.2">
      <c r="A74" t="s">
        <v>0</v>
      </c>
      <c r="B74" t="s">
        <v>1</v>
      </c>
      <c r="C74" t="s">
        <v>2</v>
      </c>
      <c r="D74" s="1" t="s">
        <v>43</v>
      </c>
      <c r="K74" t="s">
        <v>0</v>
      </c>
      <c r="L74" t="s">
        <v>1</v>
      </c>
      <c r="M74" t="s">
        <v>2</v>
      </c>
      <c r="N74" s="1" t="s">
        <v>43</v>
      </c>
      <c r="T74" s="1">
        <v>41</v>
      </c>
      <c r="U74">
        <f>'[4]40根构件  '!$V$13/(0.05*'[4]41根构件  '!$Z$13+0.95*'[4]41根构件  '!$V$13)</f>
        <v>1.0000425731193323</v>
      </c>
      <c r="AE74" s="1">
        <v>17</v>
      </c>
      <c r="AH74">
        <f>'[4]17根构件  '!$T$46/(0.05*'[4]18根构件  '!$X$46+0.95*'[4]18根构件  '!$T$46)</f>
        <v>1.0253353204172877</v>
      </c>
    </row>
    <row r="75" spans="1:34" x14ac:dyDescent="0.2">
      <c r="A75" s="1">
        <v>0.1</v>
      </c>
      <c r="B75">
        <f>'[4]12根构件'!$D$13/(0.05*'[4]13根构件'!$H$13+0.95*'[4]13根构件'!$D$13)</f>
        <v>0.97818832260992616</v>
      </c>
      <c r="K75" s="1">
        <v>0.1</v>
      </c>
      <c r="L75">
        <f>'[3]16根构件  '!$D$13/(0.05*'[3]17根构件  '!$H$13+0.95*'[3]17根构件  '!$D$13)</f>
        <v>1</v>
      </c>
      <c r="T75" s="1">
        <v>45</v>
      </c>
      <c r="U75">
        <f>'[4]44根构件 '!$V$13/(0.05*'[4]45根构件  '!$Z$13+0.95*'[4]45根构件  '!$V$13)</f>
        <v>0.99823359613976137</v>
      </c>
      <c r="AE75" s="1">
        <v>18</v>
      </c>
      <c r="AH75">
        <f>'[4]17根构件  '!$T$46/(0.05*'[4]18根构件  '!$X$46+0.95*'[4]18根构件  '!$T$46)</f>
        <v>1.0253353204172877</v>
      </c>
    </row>
    <row r="76" spans="1:34" x14ac:dyDescent="0.2">
      <c r="A76" s="1">
        <v>0.3</v>
      </c>
      <c r="B76">
        <f>'[4]12根构件'!$V$13/(0.05*'[4]13根构件'!$Z$13+0.95*'[4]13根构件'!$V$13)</f>
        <v>1</v>
      </c>
      <c r="K76" s="1">
        <v>0.3</v>
      </c>
      <c r="L76">
        <f>'[3]16根构件  '!$V$13/(0.05*'[3]17根构件  '!$Z$13+0.95*'[3]17根构件  '!$V$13)</f>
        <v>1.0304301872505564</v>
      </c>
      <c r="T76" s="1">
        <v>49</v>
      </c>
      <c r="U76">
        <f>'[4]48根构件 '!$V$13/(0.05*'[4]49根构件  '!$Z$13+0.95*'[4]49根构件  '!$V$13)</f>
        <v>0.99725030852837393</v>
      </c>
      <c r="AE76" s="1">
        <v>19</v>
      </c>
      <c r="AH76">
        <f>'[4]18根构件  '!$T$46/(0.05*'[4]19根构件'!$X$46+0.95*'[4]19根构件'!$T$46)</f>
        <v>1.115951742627346</v>
      </c>
    </row>
    <row r="77" spans="1:34" x14ac:dyDescent="0.2">
      <c r="A77" s="1">
        <v>0.5</v>
      </c>
      <c r="B77">
        <f>'[4]12根构件'!$D$34/(0.05*'[4]13根构件'!$H$34+0.95*'[4]13根构件'!$D$34)</f>
        <v>1</v>
      </c>
      <c r="D77">
        <f>'[4]12根构件'!$B$46/(0.05*'[4]13根构件'!$F$46+0.95*'[4]13根构件'!$B$46)</f>
        <v>0.84269662921348321</v>
      </c>
      <c r="K77" s="1">
        <v>0.5</v>
      </c>
      <c r="L77">
        <f>'[3]16根构件  '!$D$34/(0.05*'[3]17根构件  '!$H$34+0.95*'[3]17根构件  '!$D$34)</f>
        <v>1.0810810810810811</v>
      </c>
      <c r="N77">
        <f>'[3]16根构件  '!$B$46/(0.05*'[3]17根构件  '!$F$46+0.95*'[3]17根构件  '!$B$46)</f>
        <v>1.1323476379372519</v>
      </c>
      <c r="AE77" s="1">
        <v>20</v>
      </c>
      <c r="AH77" s="4">
        <f>'[4]19根构件'!$T$46/(0.05*'[4]20根构件'!$X$46+0.95*'[4]20根构件'!$T$46)</f>
        <v>0.95963689414816022</v>
      </c>
    </row>
    <row r="78" spans="1:34" x14ac:dyDescent="0.2">
      <c r="A78" s="1">
        <v>0.7</v>
      </c>
      <c r="B78">
        <f>'[4]12根构件'!$V$34/(0.05*'[4]13根构件'!$Z$34+0.95*'[4]13根构件'!$V$34)</f>
        <v>0.9952097304952725</v>
      </c>
      <c r="D78">
        <f>'[4]12根构件'!$T$46/(0.05*'[4]13根构件'!$X$46+0.95*'[4]13根构件'!$T$46)</f>
        <v>1.1557243624525229</v>
      </c>
      <c r="K78" s="1">
        <v>0.7</v>
      </c>
      <c r="L78">
        <f>'[3]16根构件  '!$V$34/(0.05*'[3]17根构件  '!$Z$34+0.95*'[3]17根构件  '!$V$34)</f>
        <v>1.026438569206843</v>
      </c>
      <c r="N78">
        <f>'[3]16根构件  '!$T$46/(0.05*'[3]17根构件  '!$X$46+0.95*'[3]17根构件  '!$T$46)</f>
        <v>1.0797542609105657</v>
      </c>
      <c r="AE78" s="1">
        <v>21</v>
      </c>
      <c r="AH78">
        <f>'[4]20根构件'!$T$46/(0.05*'[4]21根构件 '!$X$46+0.95*'[4]21根构件 '!$T$46)</f>
        <v>1.1404160475482912</v>
      </c>
    </row>
    <row r="79" spans="1:34" ht="18" x14ac:dyDescent="0.25">
      <c r="A79" s="1">
        <v>0.9</v>
      </c>
      <c r="B79">
        <f>'[4]12根构件'!$D$54/(0.05*'[4]13根构件'!$H$54+0.95*'[4]13根构件'!$D$54)</f>
        <v>0.99773242630385495</v>
      </c>
      <c r="D79">
        <f>'[4]12根构件'!$B$66/(0.05*'[4]13根构件'!$G$66+0.95*'[4]13根构件'!$B$66)</f>
        <v>1.0346385630541555</v>
      </c>
      <c r="K79" s="1">
        <v>0.9</v>
      </c>
      <c r="L79">
        <f>'[3]16根构件  '!$D$54/(0.05*'[3]17根构件  '!$H$54+0.95*'[3]17根构件  '!$D$54)</f>
        <v>0.99843993759750382</v>
      </c>
      <c r="N79">
        <f>'[3]16根构件  '!$B$66/(0.05*'[3]17根构件  '!$G$66+0.95*'[3]17根构件  '!$B$66)</f>
        <v>1.0512483574244416</v>
      </c>
      <c r="T79" s="6" t="s">
        <v>74</v>
      </c>
      <c r="U79" s="6"/>
      <c r="V79" s="6"/>
      <c r="W79" s="6"/>
      <c r="X79" s="6"/>
      <c r="Y79" s="7"/>
      <c r="Z79" s="7"/>
      <c r="AA79" s="7"/>
      <c r="AB79" s="7"/>
      <c r="AE79" s="1">
        <v>22</v>
      </c>
      <c r="AH79">
        <f>'[4]21根构件 '!$T$46/(0.05*'[4]22根构件 '!$X$46+0.95*'[4]22根构件 '!$T$46)</f>
        <v>1.0347490347490349</v>
      </c>
    </row>
    <row r="80" spans="1:34" x14ac:dyDescent="0.2">
      <c r="T80" s="1" t="s">
        <v>7</v>
      </c>
      <c r="U80" t="s">
        <v>1</v>
      </c>
      <c r="V80" t="s">
        <v>2</v>
      </c>
      <c r="AE80" s="1">
        <v>23</v>
      </c>
      <c r="AH80">
        <f>'[4]22根构件 '!$T$46/(0.05*'[4]23根构件'!$X$46+0.95*'[4]23根构件'!$T$46)</f>
        <v>1.0146914789422137</v>
      </c>
    </row>
    <row r="81" spans="1:34" x14ac:dyDescent="0.2">
      <c r="T81" s="1">
        <v>9</v>
      </c>
      <c r="U81">
        <f>'[4]8根构件开始'!$D$13/(0.05*'[4]9根构件'!$H$13+0.95*'[4]9根构件'!$D$13)</f>
        <v>1</v>
      </c>
      <c r="AE81" s="1">
        <v>24</v>
      </c>
      <c r="AH81">
        <f>'[4]23根构件'!$T$46/(0.05*'[4]24根构件 '!$X$46+0.95*'[4]24根构件 '!$T$46)</f>
        <v>1.0646704096485755</v>
      </c>
    </row>
    <row r="82" spans="1:34" ht="18" x14ac:dyDescent="0.25">
      <c r="A82" s="2" t="s">
        <v>31</v>
      </c>
      <c r="B82" s="2"/>
      <c r="C82" s="2"/>
      <c r="D82" s="2"/>
      <c r="E82" s="2"/>
      <c r="F82" s="3"/>
      <c r="G82" s="3"/>
      <c r="H82" s="3"/>
      <c r="K82" s="2" t="s">
        <v>18</v>
      </c>
      <c r="L82" s="2"/>
      <c r="M82" s="2"/>
      <c r="N82" s="2"/>
      <c r="O82" s="2"/>
      <c r="P82" s="3"/>
      <c r="Q82" s="3"/>
      <c r="R82" s="3"/>
      <c r="T82" s="1">
        <v>13</v>
      </c>
      <c r="U82">
        <f>'[4]12根构件'!$D$13/(0.05*'[4]13根构件'!$H$13+0.95*'[4]13根构件'!$D$13)</f>
        <v>0.97818832260992616</v>
      </c>
      <c r="AE82" s="1">
        <v>25</v>
      </c>
      <c r="AH82">
        <f>'[4]24根构件 '!$T$46/(0.05*'[4]25根构件 '!$X$46+0.95*'[4]25根构件 '!$T$46)</f>
        <v>1.2028949338657349</v>
      </c>
    </row>
    <row r="83" spans="1:34" x14ac:dyDescent="0.2">
      <c r="A83" t="s">
        <v>0</v>
      </c>
      <c r="B83" t="s">
        <v>1</v>
      </c>
      <c r="C83" t="s">
        <v>2</v>
      </c>
      <c r="D83" s="1" t="s">
        <v>43</v>
      </c>
      <c r="K83" t="s">
        <v>0</v>
      </c>
      <c r="L83" t="s">
        <v>1</v>
      </c>
      <c r="M83" t="s">
        <v>2</v>
      </c>
      <c r="T83" s="1">
        <v>17</v>
      </c>
      <c r="U83">
        <f>'[4]16根构件  '!$D$13/(0.05*'[4]17根构件  '!$H$13+0.95*'[4]17根构件  '!$D$13)</f>
        <v>0.98314908232263609</v>
      </c>
      <c r="AE83" s="1">
        <v>26</v>
      </c>
      <c r="AH83">
        <f>'[4]25根构件 '!$T$46/(0.05*'[4]26根构件'!$X$46+0.95*'[4]26根构件'!$T$46)</f>
        <v>1.0520750726936294</v>
      </c>
    </row>
    <row r="84" spans="1:34" x14ac:dyDescent="0.2">
      <c r="A84" s="1">
        <v>0.1</v>
      </c>
      <c r="B84">
        <f>'[4]16根构件  '!$D$13/(0.05*'[4]17根构件  '!$H$13+0.95*'[4]17根构件  '!$D$13)</f>
        <v>0.98314908232263609</v>
      </c>
      <c r="K84" s="1">
        <v>0.1</v>
      </c>
      <c r="L84">
        <f>'[3]20根构件'!$D$13/(0.05*'[3]21根构件 '!$H$13+0.95*'[3]21根构件 '!$D$13)</f>
        <v>1</v>
      </c>
      <c r="T84" s="1">
        <v>21</v>
      </c>
      <c r="U84">
        <f>'[4]20根构件'!$D$13/(0.05*'[4]21根构件 '!$H$13+0.95*'[4]21根构件 '!$D$13)</f>
        <v>0.98486681181625146</v>
      </c>
      <c r="AE84" s="1">
        <v>27</v>
      </c>
      <c r="AH84">
        <f>'[4]26根构件'!$T$46/(0.05*'[4]27根构件'!$X$46+0.95*'[4]27根构件'!$T$46)</f>
        <v>1.0307017543859649</v>
      </c>
    </row>
    <row r="85" spans="1:34" x14ac:dyDescent="0.2">
      <c r="A85" s="1">
        <v>0.3</v>
      </c>
      <c r="B85">
        <f>'[4]16根构件  '!$V$13/(0.05*'[4]17根构件  '!$Z$13+0.95*'[4]17根构件  '!$V$13)</f>
        <v>1</v>
      </c>
      <c r="K85" s="1">
        <v>0.3</v>
      </c>
      <c r="L85">
        <f>'[3]20根构件'!$V$13/(0.05*'[3]21根构件 '!$Z$13+0.95*'[3]21根构件 '!$V$13)</f>
        <v>1.0045755302682384</v>
      </c>
      <c r="T85" s="1">
        <v>25</v>
      </c>
      <c r="U85">
        <f>'[4]24根构件 '!$D$13/(0.05*'[4]25根构件 '!$H$13+0.95*'[4]25根构件 '!$D$13)</f>
        <v>0.9884269875097792</v>
      </c>
      <c r="AE85" s="1">
        <v>28</v>
      </c>
      <c r="AH85" s="4">
        <f>'[4]27根构件'!$T$46/(0.05*'[4]28根构件'!$X$46+0.95*'[4]28根构件'!$T$46)</f>
        <v>0.95464135021097052</v>
      </c>
    </row>
    <row r="86" spans="1:34" x14ac:dyDescent="0.2">
      <c r="A86" s="1">
        <v>0.5</v>
      </c>
      <c r="B86">
        <f>'[4]16根构件  '!$D$34/(0.05*'[4]17根构件  '!$H$34+0.95*'[4]17根构件  '!$D$34)</f>
        <v>1.0117015281599098</v>
      </c>
      <c r="D86">
        <f>'[4]16根构件  '!$B$46/(0.05*'[4]17根构件  '!$F$46+0.95*'[4]17根构件  '!$B$46)</f>
        <v>0.14012738853503187</v>
      </c>
      <c r="K86" s="1">
        <v>0.5</v>
      </c>
      <c r="L86">
        <f>'[3]20根构件'!$D$34/(0.05*'[3]21根构件 '!$H$34+0.95*'[3]21根构件 '!$D$34)</f>
        <v>0.99547511312217218</v>
      </c>
      <c r="N86">
        <f>'[3]20根构件'!$B$46/(0.05*'[3]21根构件 '!$F$46+0.95*'[3]21根构件 '!$B$46)</f>
        <v>1.1318681318681318</v>
      </c>
      <c r="T86" s="1">
        <v>29</v>
      </c>
      <c r="U86">
        <f>'[4]28根构件'!$D$13/(0.05*'[4]29根构件 '!$H$13+0.95*'[4]29根构件 '!$D$13)</f>
        <v>0.98997595309502595</v>
      </c>
      <c r="AE86" s="1">
        <v>29</v>
      </c>
      <c r="AH86">
        <f>'[4]28根构件'!$T$46/(0.05*'[4]29根构件 '!$X$46+0.95*'[4]29根构件 '!$T$46)</f>
        <v>1.0896511963101758</v>
      </c>
    </row>
    <row r="87" spans="1:34" x14ac:dyDescent="0.2">
      <c r="A87" s="1">
        <v>0.7</v>
      </c>
      <c r="B87">
        <f>'[4]16根构件  '!$V$34/(0.05*'[4]17根构件  '!$Z$34+0.95*'[4]17根构件  '!$V$34)</f>
        <v>1.0010407465388618</v>
      </c>
      <c r="D87">
        <f>'[4]16根构件  '!$T$46/(0.05*'[4]17根构件  '!$X$46+0.95*'[4]17根构件  '!$T$46)</f>
        <v>1.1654135338345866</v>
      </c>
      <c r="K87" s="1">
        <v>0.7</v>
      </c>
      <c r="L87">
        <f>'[3]20根构件'!$V$34/(0.05*'[3]21根构件 '!$Z$34+0.95*'[3]21根构件 '!$V$34)</f>
        <v>0.99688473520249221</v>
      </c>
      <c r="N87">
        <f>'[3]20根构件'!$T$46/(0.05*'[3]21根构件 '!$X$46+0.95*'[3]21根构件 '!$T$46)</f>
        <v>1.0528928843732821</v>
      </c>
      <c r="T87" s="1">
        <v>33</v>
      </c>
      <c r="U87">
        <f>'[4]32根构件'!$D$13/(0.05*'[4]33根构件 '!$H$13+0.95*'[4]33根构件 '!$D$13)</f>
        <v>0.99061832535755812</v>
      </c>
      <c r="AE87" s="1">
        <v>30</v>
      </c>
      <c r="AH87">
        <f>'[4]29根构件 '!$T$46/(0.05*'[4]30根构件'!$X$46+0.95*'[4]30根构件'!$T$46)</f>
        <v>1.2034782608695651</v>
      </c>
    </row>
    <row r="88" spans="1:34" x14ac:dyDescent="0.2">
      <c r="A88" s="1">
        <v>0.9</v>
      </c>
      <c r="B88">
        <f>'[4]16根构件  '!$D$54/(0.05*'[4]17根构件  '!$H$54+0.95*'[4]17根构件  '!$D$54)</f>
        <v>0.99762470308788609</v>
      </c>
      <c r="D88">
        <f>'[4]16根构件  '!$B$66/(0.05*'[4]17根构件  '!$G$66+0.95*'[4]17根构件  '!$B$66)</f>
        <v>1.0119909673079697</v>
      </c>
      <c r="K88" s="1">
        <v>0.9</v>
      </c>
      <c r="L88">
        <f>'[3]20根构件'!$D$54/(0.05*'[3]21根构件 '!$H$54+0.95*'[3]21根构件 '!$D$54)</f>
        <v>0.9989484752891693</v>
      </c>
      <c r="N88">
        <f>'[3]20根构件'!$B$66/(0.05*'[3]21根构件 '!$G$66+0.95*'[3]21根构件 '!$B$66)</f>
        <v>1.0271041369472182</v>
      </c>
      <c r="T88" s="1">
        <v>37</v>
      </c>
      <c r="U88">
        <f>'[4]36根构件 '!$D$13/(0.05*'[4]37根构件  '!$H$13+0.95*'[4]37根构件  '!$D$13)</f>
        <v>1</v>
      </c>
      <c r="AE88" s="1">
        <v>31</v>
      </c>
      <c r="AH88" s="4">
        <f>'[4]30根构件'!$T$46/(0.05*'[4]31根构件 '!$X$46+0.95*'[4]31根构件 '!$T$46)</f>
        <v>0.96565793947636858</v>
      </c>
    </row>
    <row r="89" spans="1:34" x14ac:dyDescent="0.2">
      <c r="T89" s="1">
        <v>41</v>
      </c>
      <c r="U89">
        <f>'[4]40根构件  '!$D$13/(0.05*'[4]41根构件  '!$H$13+0.95*'[4]41根构件  '!$D$13)</f>
        <v>0.9928732081402597</v>
      </c>
      <c r="AE89" s="1">
        <v>32</v>
      </c>
      <c r="AH89">
        <f>'[4]31根构件 '!$T$46/(0.05*'[4]32根构件'!$X$46+0.95*'[4]32根构件'!$T$46)</f>
        <v>1.024561403508772</v>
      </c>
    </row>
    <row r="90" spans="1:34" x14ac:dyDescent="0.2">
      <c r="T90" s="1">
        <v>45</v>
      </c>
      <c r="U90">
        <f>'[4]44根构件 '!$D$13/(0.05*'[4]45根构件  '!$H$13+0.95*'[4]45根构件  '!$D$13)</f>
        <v>1</v>
      </c>
      <c r="AE90" s="1">
        <v>33</v>
      </c>
      <c r="AH90" s="4">
        <f>'[4]32根构件'!$T$46/(0.05*'[4]33根构件 '!$X$46+0.95*'[4]33根构件 '!$T$46)</f>
        <v>0.90792838874680304</v>
      </c>
    </row>
    <row r="91" spans="1:34" ht="18" x14ac:dyDescent="0.25">
      <c r="A91" s="2" t="s">
        <v>32</v>
      </c>
      <c r="B91" s="2"/>
      <c r="C91" s="2"/>
      <c r="D91" s="2"/>
      <c r="E91" s="2"/>
      <c r="F91" s="3"/>
      <c r="G91" s="3"/>
      <c r="H91" s="3"/>
      <c r="K91" s="2" t="s">
        <v>19</v>
      </c>
      <c r="L91" s="2"/>
      <c r="M91" s="2"/>
      <c r="N91" s="2"/>
      <c r="O91" s="2"/>
      <c r="P91" s="3"/>
      <c r="Q91" s="3"/>
      <c r="R91" s="3"/>
      <c r="T91" s="1">
        <v>49</v>
      </c>
      <c r="U91">
        <f>'[4]48根构件 '!$D$13/(0.05*'[4]49根构件  '!$H$13+0.95*'[4]49根构件  '!$D$13)</f>
        <v>0.99403147042864892</v>
      </c>
      <c r="AE91" s="1">
        <v>34</v>
      </c>
      <c r="AH91">
        <f>'[4]33根构件 '!$T$46/(0.05*'[4]34根构件'!$X$46+0.95*'[4]34根构件'!$T$46)</f>
        <v>1.2435233160621761</v>
      </c>
    </row>
    <row r="92" spans="1:34" x14ac:dyDescent="0.2">
      <c r="A92" t="s">
        <v>0</v>
      </c>
      <c r="B92" t="s">
        <v>1</v>
      </c>
      <c r="C92" t="s">
        <v>2</v>
      </c>
      <c r="K92" t="s">
        <v>0</v>
      </c>
      <c r="L92" t="s">
        <v>1</v>
      </c>
      <c r="M92" t="s">
        <v>2</v>
      </c>
      <c r="AE92" s="1">
        <v>35</v>
      </c>
      <c r="AH92" s="4">
        <f>'[4]34根构件'!$T$46/(0.05*'[4]35根构件 '!$X$46+0.95*'[4]35根构件 '!$T$46)</f>
        <v>0.98463962189838528</v>
      </c>
    </row>
    <row r="93" spans="1:34" x14ac:dyDescent="0.2">
      <c r="A93" s="1">
        <v>0.1</v>
      </c>
      <c r="B93">
        <f>'[4]20根构件'!$D$13/(0.05*'[4]21根构件 '!$H$13+0.95*'[4]21根构件 '!$D$13)</f>
        <v>0.98486681181625146</v>
      </c>
      <c r="K93" s="1">
        <v>0.1</v>
      </c>
      <c r="L93">
        <f>'[3]24根构件 '!$D$13/(0.05*'[3]25根构件 '!$H$13+0.95*'[3]25根构件 '!$D$13)</f>
        <v>1</v>
      </c>
      <c r="AE93" s="1">
        <v>36</v>
      </c>
      <c r="AH93" s="4">
        <f>'[4]35根构件 '!$T$46/(0.05*'[4]36根构件 '!$X$46+0.95*'[4]36根构件 '!$T$46)</f>
        <v>0.97674418604651159</v>
      </c>
    </row>
    <row r="94" spans="1:34" ht="18" x14ac:dyDescent="0.25">
      <c r="A94" s="1">
        <v>0.3</v>
      </c>
      <c r="B94">
        <f>'[4]20根构件'!$V$13/(0.05*'[4]21根构件 '!$Z$13+0.95*'[4]21根构件 '!$V$13)</f>
        <v>1</v>
      </c>
      <c r="K94" s="1">
        <v>0.3</v>
      </c>
      <c r="L94">
        <f>'[3]24根构件 '!$V$13/(0.05*'[3]25根构件 '!$Z$13+0.95*'[3]25根构件 '!$V$13)</f>
        <v>0.99623766839468064</v>
      </c>
      <c r="T94" s="8" t="s">
        <v>75</v>
      </c>
      <c r="U94" s="9"/>
      <c r="V94" s="9"/>
      <c r="W94" s="9"/>
      <c r="X94" s="9"/>
      <c r="Y94" s="9"/>
      <c r="Z94" s="9"/>
      <c r="AA94" s="9"/>
      <c r="AE94" s="1">
        <v>37</v>
      </c>
      <c r="AH94">
        <f>'[4]36根构件 '!$T$46/(0.05*'[4]37根构件  '!$X$46+0.95*'[4]37根构件  '!$T$46)</f>
        <v>1.0436893203883495</v>
      </c>
    </row>
    <row r="95" spans="1:34" x14ac:dyDescent="0.2">
      <c r="A95" s="1">
        <v>0.5</v>
      </c>
      <c r="B95">
        <f>'[4]20根构件'!$D$34/(0.05*'[4]21根构件 '!$H$34+0.95*'[4]21根构件 '!$D$34)</f>
        <v>0.99760847283908438</v>
      </c>
      <c r="K95" s="1">
        <v>0.5</v>
      </c>
      <c r="L95">
        <f>'[3]24根构件 '!$D$34/(0.05*'[3]25根构件 '!$H$34+0.95*'[3]25根构件 '!$D$34)</f>
        <v>1.0000000000000002</v>
      </c>
      <c r="N95">
        <f>'[3]24根构件 '!$B$46/(0.05*'[3]25根构件 '!$F$46+0.95*'[3]25根构件 '!$B$46)</f>
        <v>0.93342484557309546</v>
      </c>
      <c r="T95" t="s">
        <v>9</v>
      </c>
      <c r="U95" t="s">
        <v>1</v>
      </c>
      <c r="V95" t="s">
        <v>2</v>
      </c>
      <c r="AE95" s="1">
        <v>38</v>
      </c>
      <c r="AH95" s="4">
        <f>'[4]37根构件  '!$T$46/(0.05*'[4]38根构件  '!$X$46+0.95*'[4]38根构件  '!$T$46)</f>
        <v>0.97774244833068358</v>
      </c>
    </row>
    <row r="96" spans="1:34" x14ac:dyDescent="0.2">
      <c r="A96" s="1">
        <v>0.7</v>
      </c>
      <c r="B96">
        <f>'[4]20根构件'!$V$34/(0.05*'[4]21根构件 '!$Z$34+0.95*'[4]21根构件 '!$V$34)</f>
        <v>1.0047008776163153</v>
      </c>
      <c r="K96" s="1">
        <v>0.7</v>
      </c>
      <c r="L96">
        <f>'[3]24根构件 '!$V$34/(0.05*'[3]25根构件 '!$Z$34+0.95*'[3]25根构件 '!$V$34)</f>
        <v>1.0289389067524117</v>
      </c>
      <c r="N96">
        <f>'[3]24根构件 '!$T$46/(0.05*'[3]25根构件 '!$X$46+0.95*'[3]25根构件 '!$T$46)</f>
        <v>0.99135807997134284</v>
      </c>
      <c r="T96">
        <v>2</v>
      </c>
      <c r="U96">
        <f>'[3]8根构件开始'!$D$13/(0.05*'[3]8根构件开始'!$D$13+0.95*'[3]9根构件'!$D$13)</f>
        <v>1</v>
      </c>
      <c r="AE96" s="1">
        <v>39</v>
      </c>
      <c r="AH96">
        <f>'[4]38根构件  '!$T$46/(0.05*'[4]39根构件   '!$X$46+0.95*'[4]39根构件   '!$T$46)</f>
        <v>1.1052166224580018</v>
      </c>
    </row>
    <row r="97" spans="1:39" x14ac:dyDescent="0.2">
      <c r="A97" s="1">
        <v>0.9</v>
      </c>
      <c r="B97">
        <f>'[4]20根构件'!$D$54/(0.05*'[4]21根构件 '!$H$54+0.95*'[4]21根构件 '!$D$54)</f>
        <v>0.99762470308788609</v>
      </c>
      <c r="K97" s="1">
        <v>0.9</v>
      </c>
      <c r="L97">
        <f>'[3]24根构件 '!$D$54/(0.05*'[3]25根构件 '!$H$54+0.95*'[3]25根构件 '!$D$54)</f>
        <v>0.99893730074388953</v>
      </c>
      <c r="N97">
        <f>'[3]24根构件 '!$B$66/(0.05*'[3]25根构件 '!$G$66+0.95*'[3]25根构件 '!$B$66)</f>
        <v>1.03125</v>
      </c>
      <c r="T97">
        <v>2.5</v>
      </c>
      <c r="U97">
        <f>'[4]8根构件开始'!$D$13/(0.05*'[4]9根构件'!$H$13+0.95*'[4]9根构件'!$D$13)</f>
        <v>1</v>
      </c>
      <c r="AE97" s="1">
        <v>40</v>
      </c>
      <c r="AH97">
        <f>'[4]39根构件   '!$T$46/(0.05*'[4]40根构件  '!$X$46+0.95*'[4]40根构件  '!$T$46)</f>
        <v>1.1703780424650443</v>
      </c>
    </row>
    <row r="98" spans="1:39" x14ac:dyDescent="0.2">
      <c r="T98">
        <v>2.8</v>
      </c>
      <c r="U98">
        <f>'[1]8根构件开始'!$D$13/(0.05*'[1]9根构件'!$H$13+0.95*'[1]9根构件'!$D$13)</f>
        <v>0.97687420584498108</v>
      </c>
      <c r="AE98" s="1">
        <v>41</v>
      </c>
      <c r="AH98">
        <f>'[4]40根构件  '!$T$46/(0.05*'[4]41根构件  '!$X$46+0.95*'[4]41根构件  '!$T$46)</f>
        <v>1.1408199643493762</v>
      </c>
    </row>
    <row r="99" spans="1:39" x14ac:dyDescent="0.2">
      <c r="AE99" s="1">
        <v>42</v>
      </c>
      <c r="AH99" s="4">
        <f>'[4]41根构件  '!$T$46/(0.05*'[4]42根构件  '!$X$46+0.95*'[4]42根构件  '!$T$46)</f>
        <v>0.67152103559870557</v>
      </c>
    </row>
    <row r="100" spans="1:39" ht="18" x14ac:dyDescent="0.25">
      <c r="A100" s="2" t="s">
        <v>33</v>
      </c>
      <c r="B100" s="2"/>
      <c r="C100" s="2"/>
      <c r="D100" s="2"/>
      <c r="E100" s="2"/>
      <c r="F100" s="3"/>
      <c r="G100" s="3"/>
      <c r="H100" s="3"/>
      <c r="K100" s="2" t="s">
        <v>20</v>
      </c>
      <c r="L100" s="2"/>
      <c r="M100" s="2"/>
      <c r="N100" s="2"/>
      <c r="O100" s="2"/>
      <c r="P100" s="3"/>
      <c r="Q100" s="3"/>
      <c r="R100" s="3"/>
      <c r="AE100" s="1">
        <v>43</v>
      </c>
      <c r="AH100">
        <f>'[4]42根构件  '!$T$46/(0.05*'[4]43根构件   '!$X$46+0.95*'[4]43根构件   '!$T$46)</f>
        <v>1.1923076923076923</v>
      </c>
    </row>
    <row r="101" spans="1:39" ht="18" x14ac:dyDescent="0.25">
      <c r="A101" t="s">
        <v>0</v>
      </c>
      <c r="B101" t="s">
        <v>1</v>
      </c>
      <c r="C101" t="s">
        <v>2</v>
      </c>
      <c r="K101" t="s">
        <v>0</v>
      </c>
      <c r="L101" t="s">
        <v>1</v>
      </c>
      <c r="M101" t="s">
        <v>2</v>
      </c>
      <c r="T101" s="8" t="s">
        <v>76</v>
      </c>
      <c r="U101" s="9"/>
      <c r="V101" s="9"/>
      <c r="W101" s="9"/>
      <c r="X101" s="9"/>
      <c r="Y101" s="9"/>
      <c r="Z101" s="9"/>
      <c r="AA101" s="9"/>
      <c r="AE101" s="1">
        <v>44</v>
      </c>
      <c r="AH101">
        <f>'[4]43根构件   '!$T$46/(0.05*'[4]44根构件 '!$X$46+0.95*'[4]44根构件 '!$T$46)</f>
        <v>1.015625</v>
      </c>
    </row>
    <row r="102" spans="1:39" x14ac:dyDescent="0.2">
      <c r="A102" s="1">
        <v>0.1</v>
      </c>
      <c r="B102">
        <f>'[4]24根构件 '!$D$13/(0.05*'[4]25根构件 '!$H$13+0.95*'[4]25根构件 '!$D$13)</f>
        <v>0.9884269875097792</v>
      </c>
      <c r="K102" s="1">
        <v>0.1</v>
      </c>
      <c r="L102">
        <f>'[3]28根构件'!$D$13/(0.05*'[3]29根构件 '!$H$13+0.95*'[3]29根构件 '!$D$13)</f>
        <v>1.0167839410277497</v>
      </c>
      <c r="T102" t="s">
        <v>9</v>
      </c>
      <c r="U102" t="s">
        <v>1</v>
      </c>
      <c r="V102" t="s">
        <v>2</v>
      </c>
      <c r="AE102" s="1">
        <v>45</v>
      </c>
      <c r="AH102" s="4">
        <f>'[4]44根构件 '!$T$46/(0.05*'[4]45根构件  '!$X$46+0.95*'[4]45根构件  '!$T$46)</f>
        <v>0.90145824127264707</v>
      </c>
    </row>
    <row r="103" spans="1:39" x14ac:dyDescent="0.2">
      <c r="A103" s="1">
        <v>0.3</v>
      </c>
      <c r="B103">
        <f>'[4]24根构件 '!$V$13/(0.05*'[4]25根构件 '!$Z$13+0.95*'[4]25根构件 '!$V$13)</f>
        <v>1</v>
      </c>
      <c r="K103" s="1">
        <v>0.3</v>
      </c>
      <c r="L103">
        <f>'[3]28根构件'!$V$13/(0.05*'[3]29根构件 '!$Z$13+0.95*'[3]29根构件 '!$V$13)</f>
        <v>1.0066206050547508</v>
      </c>
      <c r="T103">
        <v>2</v>
      </c>
      <c r="U103">
        <f>'[3]16根构件  '!$D$13/(0.05*'[3]17根构件  '!$H$13+0.95*'[3]17根构件  '!$D$13)</f>
        <v>1</v>
      </c>
      <c r="AE103" s="1">
        <v>46</v>
      </c>
      <c r="AH103">
        <f>'[4]45根构件  '!$T$46/(0.05*'[4]46根构件 '!$X$46+0.95*'[4]46根构件 '!$T$46)</f>
        <v>1.1181951937224128</v>
      </c>
    </row>
    <row r="104" spans="1:39" x14ac:dyDescent="0.2">
      <c r="A104" s="1">
        <v>0.5</v>
      </c>
      <c r="B104">
        <f>'[4]24根构件 '!$D$34/(0.05*'[4]25根构件 '!$H$34+0.95*'[4]25根构件 '!$D$34)</f>
        <v>0.99581072728521403</v>
      </c>
      <c r="K104" s="1">
        <v>0.5</v>
      </c>
      <c r="L104">
        <f>'[3]28根构件'!$D$34/(0.05*'[3]29根构件 '!$H$34+0.95*'[3]29根构件 '!$D$34)</f>
        <v>0.99502487562189057</v>
      </c>
      <c r="N104">
        <f>'[3]28根构件'!$B$46/(0.05*'[3]29根构件 '!$F$46+0.95*'[3]29根构件 '!$B$46)</f>
        <v>0.83769633507853414</v>
      </c>
      <c r="T104">
        <v>2.5</v>
      </c>
      <c r="U104">
        <f>'[4]16根构件  '!$D$13/(0.05*'[4]17根构件  '!$H$13+0.95*'[4]17根构件  '!$D$13)</f>
        <v>0.98314908232263609</v>
      </c>
      <c r="AE104" s="1">
        <v>47</v>
      </c>
      <c r="AH104">
        <f>'[4]46根构件 '!$T$46/(0.05*'[4]47根构件  '!$X$46+0.95*'[4]47根构件  '!$T$46)</f>
        <v>1.0381679389312979</v>
      </c>
    </row>
    <row r="105" spans="1:39" x14ac:dyDescent="0.2">
      <c r="A105" s="1">
        <v>0.7</v>
      </c>
      <c r="B105">
        <f>'[4]24根构件 '!$V$34/(0.05*'[4]25根构件 '!$Z$34+0.95*'[4]25根构件 '!$V$34)</f>
        <v>0.99673955256906999</v>
      </c>
      <c r="K105" s="1">
        <v>0.7</v>
      </c>
      <c r="L105">
        <f>'[3]28根构件'!$V$34/(0.05*'[3]29根构件 '!$Z$34+0.95*'[3]29根构件 '!$V$34)</f>
        <v>0.99678456591639875</v>
      </c>
      <c r="N105">
        <f>'[3]28根构件'!$T$46/(0.05*'[3]29根构件 '!$X$46+0.95*'[3]29根构件 '!$T$46)</f>
        <v>1.0563170036639977</v>
      </c>
      <c r="T105">
        <v>2.8</v>
      </c>
      <c r="U105">
        <f>'[1]16根构件  '!$D$13/(0.05*'[1]17根构件  '!$H$13+0.95*'[1]17根构件  '!$D$13)</f>
        <v>0.99033878655159102</v>
      </c>
      <c r="AE105" s="1">
        <v>48</v>
      </c>
      <c r="AH105" s="4">
        <f>'[4]47根构件  '!$T$46/(0.05*'[4]48根构件 '!$X$46+0.95*'[4]48根构件 '!$T$46)</f>
        <v>0.97415506958250508</v>
      </c>
    </row>
    <row r="106" spans="1:39" x14ac:dyDescent="0.2">
      <c r="A106" s="1">
        <v>0.9</v>
      </c>
      <c r="B106">
        <f>'[4]24根构件 '!$D$54/(0.05*'[4]25根构件 '!$H$54+0.95*'[4]25根构件 '!$D$54)</f>
        <v>1</v>
      </c>
      <c r="D106">
        <f>'[4]24根构件 '!$B$66/(0.05*'[4]25根构件 '!$G$66+0.95*'[4]25根构件 '!$B$66)</f>
        <v>1.0248187515624869</v>
      </c>
      <c r="K106" s="1">
        <v>0.9</v>
      </c>
      <c r="L106">
        <f>'[3]28根构件'!$D$54/(0.05*'[3]29根构件 '!$H$54+0.95*'[3]29根构件 '!$D$54)</f>
        <v>0.99893730074388953</v>
      </c>
      <c r="N106">
        <f>'[3]28根构件'!$B$66/(0.05*'[3]29根构件 '!$G$66+0.95*'[3]29根构件 '!$B$66)</f>
        <v>1</v>
      </c>
      <c r="AE106" s="1">
        <v>49</v>
      </c>
      <c r="AH106">
        <f>'[4]48根构件 '!$T$46/(0.05*'[4]49根构件  '!$X$46+0.95*'[4]49根构件  '!$T$46)</f>
        <v>1.1393119007332206</v>
      </c>
    </row>
    <row r="107" spans="1:39" x14ac:dyDescent="0.2">
      <c r="AE107" s="1">
        <v>50</v>
      </c>
      <c r="AH107">
        <f>'[4]49根构件  '!$T$46/(0.05*'[4]50根构件 '!$X$46+0.95*'[4]50根构件 '!$T$46)</f>
        <v>1.1359285258455649</v>
      </c>
    </row>
    <row r="108" spans="1:39" ht="18" x14ac:dyDescent="0.25">
      <c r="T108" s="8" t="s">
        <v>77</v>
      </c>
      <c r="U108" s="9"/>
      <c r="V108" s="9"/>
      <c r="W108" s="9"/>
      <c r="X108" s="9"/>
      <c r="Y108" s="9"/>
      <c r="Z108" s="9"/>
      <c r="AA108" s="9"/>
    </row>
    <row r="109" spans="1:39" ht="18" x14ac:dyDescent="0.25">
      <c r="A109" s="2" t="s">
        <v>34</v>
      </c>
      <c r="B109" s="2"/>
      <c r="C109" s="2"/>
      <c r="D109" s="2"/>
      <c r="E109" s="2"/>
      <c r="F109" s="3"/>
      <c r="G109" s="3"/>
      <c r="H109" s="3"/>
      <c r="K109" s="2" t="s">
        <v>21</v>
      </c>
      <c r="L109" s="2"/>
      <c r="M109" s="2"/>
      <c r="N109" s="2"/>
      <c r="O109" s="2"/>
      <c r="P109" s="3"/>
      <c r="Q109" s="3"/>
      <c r="R109" s="3"/>
      <c r="T109" t="s">
        <v>9</v>
      </c>
      <c r="U109" t="s">
        <v>1</v>
      </c>
      <c r="V109" t="s">
        <v>2</v>
      </c>
    </row>
    <row r="110" spans="1:39" ht="18" x14ac:dyDescent="0.25">
      <c r="A110" t="s">
        <v>0</v>
      </c>
      <c r="B110" t="s">
        <v>1</v>
      </c>
      <c r="C110" t="s">
        <v>2</v>
      </c>
      <c r="K110" t="s">
        <v>0</v>
      </c>
      <c r="L110" t="s">
        <v>1</v>
      </c>
      <c r="M110" t="s">
        <v>2</v>
      </c>
      <c r="T110">
        <v>2</v>
      </c>
      <c r="U110">
        <f>'[3]24根构件 '!$D$13/(0.05*'[3]25根构件 '!$H$13+0.95*'[3]25根构件 '!$D$13)</f>
        <v>1</v>
      </c>
      <c r="AE110" s="6" t="s">
        <v>96</v>
      </c>
      <c r="AF110" s="6"/>
      <c r="AG110" s="6"/>
      <c r="AH110" s="6"/>
      <c r="AI110" s="6"/>
      <c r="AJ110" s="7"/>
      <c r="AK110" s="7"/>
      <c r="AL110" s="7"/>
      <c r="AM110" s="7"/>
    </row>
    <row r="111" spans="1:39" x14ac:dyDescent="0.2">
      <c r="A111" s="1">
        <v>0.1</v>
      </c>
      <c r="B111">
        <f>'[4]28根构件'!$D$13/(0.05*'[4]29根构件 '!$H$13+0.95*'[4]29根构件 '!$D$13)</f>
        <v>0.98997595309502595</v>
      </c>
      <c r="K111" s="1">
        <v>0.1</v>
      </c>
      <c r="L111">
        <f>'[3]32根构件'!$D$13/(0.05*'[3]33根构件 '!$H$13+0.95*'[3]33根构件 '!$D$13)</f>
        <v>1.0273650554824147</v>
      </c>
      <c r="T111">
        <v>2.5</v>
      </c>
      <c r="U111">
        <f>'[4]24根构件 '!$D$13/(0.05*'[4]25根构件 '!$H$13+0.95*'[4]25根构件 '!$D$13)</f>
        <v>0.9884269875097792</v>
      </c>
      <c r="AE111" s="1" t="s">
        <v>7</v>
      </c>
      <c r="AF111" t="s">
        <v>1</v>
      </c>
      <c r="AG111" t="s">
        <v>2</v>
      </c>
      <c r="AH111" s="1" t="s">
        <v>43</v>
      </c>
    </row>
    <row r="112" spans="1:39" x14ac:dyDescent="0.2">
      <c r="A112" s="1">
        <v>0.3</v>
      </c>
      <c r="B112">
        <f>'[4]28根构件'!$V$13/(0.05*'[4]29根构件 '!$Z$13+0.95*'[4]29根构件 '!$V$13)</f>
        <v>1.0215830036190441</v>
      </c>
      <c r="K112" s="1">
        <v>0.3</v>
      </c>
      <c r="L112">
        <f>'[3]32根构件'!$V$13/(0.05*'[3]33根构件 '!$Z$13+0.95*'[3]33根构件 '!$V$13)</f>
        <v>1.0020499896560158</v>
      </c>
      <c r="T112">
        <v>2.8</v>
      </c>
      <c r="U112">
        <f>'[1]24根构件 '!$D$13/(0.05*'[1]25根构件 '!$H$13+0.95*'[1]25根构件 '!$D$13)</f>
        <v>0.99341000129215662</v>
      </c>
      <c r="AE112" s="1">
        <v>9</v>
      </c>
      <c r="AH112">
        <f>'[1]8根构件开始'!$T$46/(0.05*'[1]9根构件'!$X$46+0.95*'[1]9根构件'!$T$46)</f>
        <v>1.4044687642498863</v>
      </c>
      <c r="AI112">
        <f>'[1]8根构件开始'!$T$46/(0.05*'[1]9根构件'!$X$46+0.95*'[1]9根构件'!$T$46)</f>
        <v>1.4044687642498863</v>
      </c>
      <c r="AJ112">
        <f>'[1]8根构件开始'!$T$46/(0.05*'[1]9根构件'!$X$46+0.95*'[1]9根构件'!$T$46)</f>
        <v>1.4044687642498863</v>
      </c>
    </row>
    <row r="113" spans="1:36" x14ac:dyDescent="0.2">
      <c r="A113" s="1">
        <v>0.5</v>
      </c>
      <c r="B113">
        <f>'[4]28根构件'!$D$34/(0.05*'[4]29根构件 '!$H$34+0.95*'[4]29根构件 '!$D$34)</f>
        <v>1.0015852428303791</v>
      </c>
      <c r="K113" s="1">
        <v>0.5</v>
      </c>
      <c r="L113">
        <f>'[3]32根构件'!$D$34/(0.05*'[3]33根构件 '!$H$34+0.95*'[3]33根构件 '!$D$34)</f>
        <v>0.99502487562189057</v>
      </c>
      <c r="N113">
        <f>'[3]32根构件'!$B$46/(0.05*'[3]33根构件 '!$F$46+0.95*'[3]33根构件 '!$B$46)</f>
        <v>1.0985460420032311</v>
      </c>
      <c r="AE113" s="1">
        <v>10</v>
      </c>
      <c r="AH113">
        <f>'[1]9根构件'!$T$46/(0.05*'[1]10根构件'!$X$46+0.95*'[1]10根构件'!$T$46)</f>
        <v>1.0067269774994203</v>
      </c>
    </row>
    <row r="114" spans="1:36" x14ac:dyDescent="0.2">
      <c r="A114" s="1">
        <v>0.7</v>
      </c>
      <c r="B114">
        <f>'[4]28根构件'!$V$34/(0.05*'[4]29根构件 '!$Z$34+0.95*'[4]29根构件 '!$V$34)</f>
        <v>0.99880547643113127</v>
      </c>
      <c r="K114" s="1">
        <v>0.7</v>
      </c>
      <c r="L114">
        <f>'[3]32根构件'!$V$34/(0.05*'[3]33根构件 '!$Z$34+0.95*'[3]33根构件 '!$V$34)</f>
        <v>0.99838969404186806</v>
      </c>
      <c r="N114">
        <f>'[3]32根构件'!$T$46/(0.05*'[3]33根构件 '!$X$46+0.95*'[3]33根构件 '!$T$46)</f>
        <v>0.95713098206863789</v>
      </c>
      <c r="AE114" s="1">
        <v>11</v>
      </c>
      <c r="AH114">
        <f>'[1]10根构件'!$T$46/(0.05*'[1]11根构件 '!$X$46+0.95*'[1]11根构件 '!$T$46)</f>
        <v>1.1573823688480258</v>
      </c>
      <c r="AI114" s="12"/>
    </row>
    <row r="115" spans="1:36" ht="18" x14ac:dyDescent="0.25">
      <c r="A115" s="1">
        <v>0.9</v>
      </c>
      <c r="B115">
        <f>'[4]28根构件'!$D$54/(0.05*'[4]29根构件 '!$H$54+0.95*'[4]29根构件 '!$D$54)</f>
        <v>1</v>
      </c>
      <c r="K115" s="1">
        <v>0.9</v>
      </c>
      <c r="L115">
        <f>'[3]32根构件'!$D$54/(0.05*'[3]33根构件 '!$H$54+0.95*'[3]33根构件 '!$D$54)</f>
        <v>0.99946836788942051</v>
      </c>
      <c r="N115">
        <f>'[3]32根构件'!$B$66/(0.05*'[3]33根构件 '!$G$66+0.95*'[3]33根构件 '!$B$66)</f>
        <v>1.0357142857142856</v>
      </c>
      <c r="T115" s="8" t="s">
        <v>78</v>
      </c>
      <c r="U115" s="9"/>
      <c r="V115" s="9"/>
      <c r="W115" s="9"/>
      <c r="X115" s="9"/>
      <c r="Y115" s="9"/>
      <c r="Z115" s="9"/>
      <c r="AA115" s="9"/>
      <c r="AE115" s="1">
        <v>12</v>
      </c>
      <c r="AH115">
        <f>'[1]11根构件 '!$T$46/(0.05*'[1]12根构件'!$X$46+0.95*'[1]12根构件'!$T$46)</f>
        <v>1.2577319587628868</v>
      </c>
    </row>
    <row r="116" spans="1:36" x14ac:dyDescent="0.2">
      <c r="T116" t="s">
        <v>9</v>
      </c>
      <c r="U116" t="s">
        <v>1</v>
      </c>
      <c r="V116" t="s">
        <v>2</v>
      </c>
      <c r="AE116" s="1">
        <v>13</v>
      </c>
      <c r="AH116">
        <f>'[1]12根构件'!$T$46/(0.05*'[1]13根构件'!$X$46+0.95*'[1]13根构件'!$T$46)</f>
        <v>1.0603290676416821</v>
      </c>
      <c r="AI116" s="12"/>
    </row>
    <row r="117" spans="1:36" x14ac:dyDescent="0.2">
      <c r="T117">
        <v>2</v>
      </c>
      <c r="U117">
        <f>'[3]32根构件'!$D$13/(0.05*'[3]33根构件 '!$H$13+0.95*'[3]33根构件 '!$D$13)</f>
        <v>1.0273650554824147</v>
      </c>
      <c r="AE117" s="1">
        <v>14</v>
      </c>
      <c r="AH117">
        <f>'[1]13根构件'!$T$46/(0.05*'[1]14根构件'!$X$46+0.95*'[1]14根构件'!$T$46)</f>
        <v>1.2059859154929577</v>
      </c>
      <c r="AI117" s="12"/>
    </row>
    <row r="118" spans="1:36" ht="18" x14ac:dyDescent="0.25">
      <c r="A118" s="2" t="s">
        <v>35</v>
      </c>
      <c r="B118" s="2"/>
      <c r="C118" s="2"/>
      <c r="D118" s="2"/>
      <c r="E118" s="2"/>
      <c r="F118" s="3"/>
      <c r="G118" s="3"/>
      <c r="H118" s="3"/>
      <c r="K118" s="2" t="s">
        <v>22</v>
      </c>
      <c r="L118" s="2"/>
      <c r="M118" s="2"/>
      <c r="N118" s="2"/>
      <c r="O118" s="2"/>
      <c r="P118" s="3"/>
      <c r="Q118" s="3"/>
      <c r="R118" s="3"/>
      <c r="T118">
        <v>2.5</v>
      </c>
      <c r="U118">
        <f>'[4]32根构件'!$D$13/(0.05*'[4]33根构件 '!$H$13+0.95*'[4]33根构件 '!$D$13)</f>
        <v>0.99061832535755812</v>
      </c>
      <c r="AE118" s="1">
        <v>15</v>
      </c>
      <c r="AH118">
        <f>'[1]14根构件'!$T$46/(0.05*'[1]15根构件 '!$X$46+0.95*'[1]15根构件 '!$T$46)</f>
        <v>1.3078703703703707</v>
      </c>
      <c r="AJ118">
        <f>'[1]14根构件'!$T$46/(0.05*'[1]15根构件 '!$X$46+0.95*'[1]15根构件 '!$T$46)</f>
        <v>1.3078703703703707</v>
      </c>
    </row>
    <row r="119" spans="1:36" x14ac:dyDescent="0.2">
      <c r="A119" t="s">
        <v>0</v>
      </c>
      <c r="B119" t="s">
        <v>1</v>
      </c>
      <c r="C119" t="s">
        <v>2</v>
      </c>
      <c r="K119" t="s">
        <v>0</v>
      </c>
      <c r="L119" t="s">
        <v>1</v>
      </c>
      <c r="M119" t="s">
        <v>2</v>
      </c>
      <c r="T119">
        <v>2.8</v>
      </c>
      <c r="U119">
        <f>'[1]32根构件'!$D$13/(0.05*'[1]33根构件 '!$H$13+0.95*'[1]33根构件 '!$D$13)</f>
        <v>1.0000000000000002</v>
      </c>
      <c r="AE119" s="1">
        <v>16</v>
      </c>
      <c r="AH119" s="4">
        <f>'[1]15根构件 '!$T$46/(0.05*'[1]16根构件  '!$X$46+0.95*'[1]16根构件  '!$T$46)</f>
        <v>0.95781071835803877</v>
      </c>
    </row>
    <row r="120" spans="1:36" x14ac:dyDescent="0.2">
      <c r="A120" s="1">
        <v>0.1</v>
      </c>
      <c r="B120">
        <f>'[4]32根构件'!$D$13/(0.05*'[4]33根构件 '!$H$13+0.95*'[4]33根构件 '!$D$13)</f>
        <v>0.99061832535755812</v>
      </c>
      <c r="K120" s="1">
        <v>0.1</v>
      </c>
      <c r="L120">
        <f>'[3]36根构件 '!$D$13/(0.05*'[3]37根构件  '!$H$13+0.95*'[3]37根构件  '!$D$13)</f>
        <v>1.015069661643446</v>
      </c>
      <c r="AE120" s="1">
        <v>17</v>
      </c>
      <c r="AH120" s="4">
        <f>'[1]16根构件  '!$T$46/(0.05*'[1]17根构件  '!$X$46+0.95*'[1]17根构件  '!$T$46)</f>
        <v>0.85377821393523057</v>
      </c>
    </row>
    <row r="121" spans="1:36" x14ac:dyDescent="0.2">
      <c r="A121" s="1">
        <v>0.3</v>
      </c>
      <c r="B121">
        <f>'[4]32根构件'!$V$13/(0.05*'[4]33根构件 '!$Z$13+0.95*'[4]33根构件 '!$V$13)</f>
        <v>1.0085849792879871</v>
      </c>
      <c r="K121" s="1">
        <v>0.3</v>
      </c>
      <c r="L121">
        <f>'[3]36根构件 '!$V$13/(0.05*'[3]37根构件  '!$Z$13+0.95*'[3]37根构件  '!$V$13)</f>
        <v>0.99786796619203522</v>
      </c>
      <c r="AE121" s="1">
        <v>18</v>
      </c>
      <c r="AH121">
        <f>'[1]17根构件  '!$T$46/(0.05*'[1]18根构件  '!$X$46+0.95*'[1]18根构件  '!$T$46)</f>
        <v>1.3609072715143431</v>
      </c>
      <c r="AI121">
        <f>'[1]17根构件  '!$T$46/(0.05*'[1]18根构件  '!$X$46+0.95*'[1]18根构件  '!$T$46)</f>
        <v>1.3609072715143431</v>
      </c>
    </row>
    <row r="122" spans="1:36" ht="18" x14ac:dyDescent="0.25">
      <c r="A122" s="1">
        <v>0.5</v>
      </c>
      <c r="B122">
        <f>'[4]32根构件'!$D$34/(0.05*'[4]33根构件 '!$H$34+0.95*'[4]33根构件 '!$D$34)</f>
        <v>0.99777704894136532</v>
      </c>
      <c r="K122" s="1">
        <v>0.5</v>
      </c>
      <c r="L122">
        <f>'[3]36根构件 '!$D$34/(0.05*'[3]37根构件  '!$H$34+0.95*'[3]37根构件  '!$D$34)</f>
        <v>0.99502487562189057</v>
      </c>
      <c r="N122">
        <f>'[3]36根构件 '!$B$46/(0.05*'[3]37根构件  '!$F$46+0.95*'[3]37根构件  '!$B$46)</f>
        <v>0.80305927342256211</v>
      </c>
      <c r="T122" s="8" t="s">
        <v>79</v>
      </c>
      <c r="U122" s="9"/>
      <c r="V122" s="9"/>
      <c r="W122" s="9"/>
      <c r="X122" s="9"/>
      <c r="Y122" s="9"/>
      <c r="Z122" s="9"/>
      <c r="AA122" s="9"/>
      <c r="AE122" s="1">
        <v>19</v>
      </c>
      <c r="AH122">
        <f>'[1]18根构件  '!$T$46/(0.05*'[1]19根构件'!$X$46+0.95*'[1]19根构件'!$T$46)</f>
        <v>1.0940919037199126</v>
      </c>
    </row>
    <row r="123" spans="1:36" x14ac:dyDescent="0.2">
      <c r="A123" s="1">
        <v>0.7</v>
      </c>
      <c r="B123">
        <f>'[4]32根构件'!$V$34/(0.05*'[4]33根构件 '!$Z$34+0.95*'[4]33根构件 '!$V$34)</f>
        <v>1.0004267398927587</v>
      </c>
      <c r="K123" s="1">
        <v>0.7</v>
      </c>
      <c r="L123">
        <f>'[3]36根构件 '!$V$34/(0.05*'[3]37根构件  '!$Z$34+0.95*'[3]37根构件  '!$V$34)</f>
        <v>0.99838969404186806</v>
      </c>
      <c r="N123">
        <f>'[3]36根构件 '!$T$46/(0.05*'[3]37根构件  '!$X$46+0.95*'[3]37根构件  '!$T$46)</f>
        <v>1.064141504377345</v>
      </c>
      <c r="T123" t="s">
        <v>9</v>
      </c>
      <c r="U123" t="s">
        <v>1</v>
      </c>
      <c r="V123" t="s">
        <v>2</v>
      </c>
      <c r="AE123" s="1">
        <v>20</v>
      </c>
      <c r="AH123" s="5">
        <f>'[1]19根构件'!$T$46/(0.05*'[1]20根构件'!$X$46+0.95*'[1]20根构件'!$T$46)</f>
        <v>1.0225563909774436</v>
      </c>
    </row>
    <row r="124" spans="1:36" x14ac:dyDescent="0.2">
      <c r="A124" s="1">
        <v>0.9</v>
      </c>
      <c r="B124">
        <f>'[4]32根构件'!$D$54/(0.05*'[4]33根构件 '!$H$54+0.95*'[4]33根构件 '!$D$54)</f>
        <v>1</v>
      </c>
      <c r="D124">
        <f>'[4]32根构件'!$B$66/(0.05*'[4]33根构件 '!$G$66+0.95*'[4]33根构件 '!$B$66)</f>
        <v>0.99089296042506059</v>
      </c>
      <c r="K124" s="1">
        <v>0.9</v>
      </c>
      <c r="L124">
        <f>'[3]36根构件 '!$D$54/(0.05*'[3]37根构件  '!$H$54+0.95*'[3]37根构件  '!$D$54)</f>
        <v>0.9989258861439313</v>
      </c>
      <c r="N124">
        <f>'[3]36根构件 '!$B$66/(0.05*'[3]37根构件  '!$G$66+0.95*'[3]37根构件  '!$B$66)</f>
        <v>1</v>
      </c>
      <c r="T124">
        <v>2</v>
      </c>
      <c r="U124">
        <f>'[3]40根构件  '!$D$13/(0.05*'[3]41根构件  '!$H$13+0.95*'[3]41根构件  '!$D$13)</f>
        <v>1.0072986703548001</v>
      </c>
      <c r="AE124" s="1">
        <v>21</v>
      </c>
      <c r="AH124">
        <f>'[1]20根构件'!$T$46/(0.05*'[1]21根构件 '!$X$46+0.95*'[1]21根构件 '!$T$46)</f>
        <v>1.3608247422680415</v>
      </c>
    </row>
    <row r="125" spans="1:36" x14ac:dyDescent="0.2">
      <c r="T125">
        <v>2.5</v>
      </c>
      <c r="U125">
        <f>'[4]40根构件  '!$D$13/(0.05*'[4]41根构件  '!$H$13+0.95*'[4]41根构件  '!$D$13)</f>
        <v>0.9928732081402597</v>
      </c>
      <c r="AE125" s="1">
        <v>22</v>
      </c>
      <c r="AH125" s="4">
        <f>'[1]21根构件 '!$T$46/(0.05*'[1]22根构件 '!$X$46+0.95*'[1]22根构件 '!$T$46)</f>
        <v>0.81218274111675137</v>
      </c>
    </row>
    <row r="126" spans="1:36" x14ac:dyDescent="0.2">
      <c r="T126">
        <v>2.8</v>
      </c>
      <c r="U126">
        <f>'[1]40根构件  '!$D$13/(0.05*'[1]41根构件  '!$H$13+0.95*'[1]41根构件  '!$D$13)</f>
        <v>0.99598393574297195</v>
      </c>
      <c r="AE126" s="1">
        <v>23</v>
      </c>
      <c r="AH126">
        <f>'[1]22根构件 '!$T$46/(0.05*'[1]23根构件'!$X$46+0.95*'[1]23根构件'!$T$46)</f>
        <v>1.2102564102564104</v>
      </c>
      <c r="AJ126">
        <f>'[1]22根构件 '!$T$46/(0.05*'[1]23根构件'!$X$46+0.95*'[1]23根构件'!$T$46)</f>
        <v>1.2102564102564104</v>
      </c>
    </row>
    <row r="127" spans="1:36" ht="18" x14ac:dyDescent="0.25">
      <c r="A127" s="2" t="s">
        <v>36</v>
      </c>
      <c r="B127" s="2"/>
      <c r="C127" s="2"/>
      <c r="D127" s="2"/>
      <c r="E127" s="2"/>
      <c r="F127" s="3"/>
      <c r="G127" s="3"/>
      <c r="H127" s="3"/>
      <c r="K127" s="2" t="s">
        <v>23</v>
      </c>
      <c r="L127" s="2"/>
      <c r="M127" s="2"/>
      <c r="N127" s="2"/>
      <c r="O127" s="2"/>
      <c r="P127" s="3"/>
      <c r="Q127" s="3"/>
      <c r="R127" s="3"/>
      <c r="AE127" s="1">
        <v>24</v>
      </c>
      <c r="AH127" s="4">
        <f>'[1]23根构件'!$T$46/(0.05*'[1]24根构件 '!$X$46+0.95*'[1]24根构件 '!$T$46)</f>
        <v>0.90310442144872993</v>
      </c>
    </row>
    <row r="128" spans="1:36" x14ac:dyDescent="0.2">
      <c r="A128" t="s">
        <v>0</v>
      </c>
      <c r="B128" t="s">
        <v>1</v>
      </c>
      <c r="C128" t="s">
        <v>2</v>
      </c>
      <c r="K128" t="s">
        <v>0</v>
      </c>
      <c r="L128" t="s">
        <v>1</v>
      </c>
      <c r="M128" t="s">
        <v>2</v>
      </c>
      <c r="AE128" s="1">
        <v>25</v>
      </c>
      <c r="AH128">
        <f>'[1]24根构件 '!$T$46/(0.05*'[1]25根构件 '!$X$46+0.95*'[1]25根构件 '!$T$46)</f>
        <v>1.305418719211823</v>
      </c>
    </row>
    <row r="129" spans="1:35" ht="18" x14ac:dyDescent="0.25">
      <c r="A129" s="1">
        <v>0.1</v>
      </c>
      <c r="B129">
        <f>'[4]36根构件 '!$D$13/(0.05*'[4]37根构件  '!$H$13+0.95*'[4]37根构件  '!$D$13)</f>
        <v>1</v>
      </c>
      <c r="K129" s="1">
        <v>0.1</v>
      </c>
      <c r="L129">
        <f>'[3]40根构件  '!$D$13/(0.05*'[3]41根构件  '!$H$13+0.95*'[3]41根构件  '!$D$13)</f>
        <v>1.0072986703548001</v>
      </c>
      <c r="T129" s="8" t="s">
        <v>80</v>
      </c>
      <c r="U129" s="9"/>
      <c r="V129" s="9"/>
      <c r="W129" s="9"/>
      <c r="X129" s="9"/>
      <c r="Y129" s="9"/>
      <c r="Z129" s="9"/>
      <c r="AA129" s="9"/>
      <c r="AE129" s="1">
        <v>26</v>
      </c>
      <c r="AH129" s="4">
        <f>'[1]25根构件 '!$T$46/(0.05*'[1]26根构件'!$X$46+0.95*'[1]26根构件'!$T$46)</f>
        <v>0.72529465095194923</v>
      </c>
    </row>
    <row r="130" spans="1:35" x14ac:dyDescent="0.2">
      <c r="A130" s="1">
        <v>0.3</v>
      </c>
      <c r="B130">
        <f>'[4]36根构件 '!$V$13/(0.05*'[4]37根构件  '!$Z$13+0.95*'[4]37根构件  '!$V$13)</f>
        <v>0.98729508196721327</v>
      </c>
      <c r="K130" s="1">
        <v>0.3</v>
      </c>
      <c r="L130">
        <f>'[3]40根构件  '!$V$13/(0.05*'[3]41根构件  '!$Z$13+0.95*'[3]41根构件  '!$V$13)</f>
        <v>1.0155855260600877</v>
      </c>
      <c r="T130" t="s">
        <v>9</v>
      </c>
      <c r="U130" t="s">
        <v>1</v>
      </c>
      <c r="V130" t="s">
        <v>2</v>
      </c>
      <c r="AE130" s="1">
        <v>27</v>
      </c>
      <c r="AH130">
        <f>'[1]26根构件'!$T$46/(0.05*'[1]27根构件'!$X$46+0.95*'[1]27根构件'!$T$46)</f>
        <v>1.3608748481166468</v>
      </c>
    </row>
    <row r="131" spans="1:35" x14ac:dyDescent="0.2">
      <c r="A131" s="1">
        <v>0.5</v>
      </c>
      <c r="B131">
        <f>'[4]36根构件 '!$D$34/(0.05*'[4]37根构件  '!$H$34+0.95*'[4]37根构件  '!$D$34)</f>
        <v>1.0026580035440047</v>
      </c>
      <c r="K131" s="1">
        <v>0.5</v>
      </c>
      <c r="L131">
        <f>'[3]40根构件  '!$D$34/(0.05*'[3]41根构件  '!$H$34+0.95*'[3]41根构件  '!$D$34)</f>
        <v>1</v>
      </c>
      <c r="N131">
        <f>'[3]41根构件  '!$B$46/(0.05*'[3]42根构件  '!$F$46+0.95*'[3]42根构件  '!$B$46)</f>
        <v>1.3688212927756651</v>
      </c>
      <c r="T131">
        <v>2</v>
      </c>
      <c r="U131">
        <f>'[3]48根构件 '!$D$13/(0.05*'[3]49根构件  '!$H$13+0.95*'[3]49根构件  '!$D$13)</f>
        <v>0.99900646517588465</v>
      </c>
      <c r="AE131" s="1">
        <v>28</v>
      </c>
      <c r="AH131" s="5">
        <f>'[1]27根构件'!$T$46/(0.05*'[1]28根构件'!$X$46+0.95*'[1]28根构件'!$T$46)</f>
        <v>1.3099041533546327</v>
      </c>
      <c r="AI131" s="5">
        <f>'[1]27根构件'!$T$46/(0.05*'[1]28根构件'!$X$46+0.95*'[1]28根构件'!$T$46)</f>
        <v>1.3099041533546327</v>
      </c>
    </row>
    <row r="132" spans="1:35" x14ac:dyDescent="0.2">
      <c r="A132" s="1">
        <v>0.7</v>
      </c>
      <c r="B132">
        <f>'[4]36根构件 '!$V$34/(0.05*'[4]37根构件  '!$Z$34+0.95*'[4]37根构件  '!$V$34)</f>
        <v>0.99938447764534721</v>
      </c>
      <c r="K132" s="1">
        <v>0.7</v>
      </c>
      <c r="L132">
        <f>'[3]40根构件  '!$V$34/(0.05*'[3]41根构件  '!$Z$34+0.95*'[3]41根构件  '!$V$34)</f>
        <v>0.99833610648918458</v>
      </c>
      <c r="N132">
        <f>'[3]41根构件  '!$T$46/(0.05*'[3]42根构件  '!$X$46+0.95*'[3]42根构件  '!$T$46)</f>
        <v>1.0506361108770748</v>
      </c>
      <c r="T132">
        <v>2.5</v>
      </c>
      <c r="U132">
        <f>'[4]48根构件 '!$D$13/(0.05*'[4]49根构件  '!$H$13+0.95*'[4]49根构件  '!$D$13)</f>
        <v>0.99403147042864892</v>
      </c>
      <c r="AE132" s="1">
        <v>29</v>
      </c>
      <c r="AH132" s="4">
        <f>'[1]28根构件'!$T$46/(0.05*'[1]29根构件 '!$X$46+0.95*'[1]29根构件 '!$T$46)</f>
        <v>0.76260762607626087</v>
      </c>
    </row>
    <row r="133" spans="1:35" x14ac:dyDescent="0.2">
      <c r="A133" s="1">
        <v>0.9</v>
      </c>
      <c r="B133">
        <f>'[4]36根构件 '!$D$54/(0.05*'[4]37根构件  '!$H$54+0.95*'[4]37根构件  '!$D$54)</f>
        <v>1</v>
      </c>
      <c r="D133">
        <f>'[4]36根构件 '!$B$66/(0.05*'[4]37根构件  '!$G$66+0.95*'[4]37根构件  '!$B$66)</f>
        <v>1.0358120687766947</v>
      </c>
      <c r="K133" s="1">
        <v>0.9</v>
      </c>
      <c r="L133">
        <f>'[3]40根构件  '!$D$54/(0.05*'[3]41根构件  '!$H$54+0.95*'[3]41根构件  '!$D$54)</f>
        <v>0.99946265448683502</v>
      </c>
      <c r="N133">
        <f>'[3]41根构件  '!$B$66/(0.05*'[3]42根构件  '!$G$66+0.95*'[3]42根构件  '!$B$66)</f>
        <v>1.0379241516966069</v>
      </c>
      <c r="T133">
        <v>2.8</v>
      </c>
      <c r="U133">
        <f>'[1]48根构件 '!$D$13/(0.05*'[1]49根构件  '!$H$13+0.95*'[1]49根构件  '!$D$13)</f>
        <v>0.99662950479647394</v>
      </c>
      <c r="AE133" s="1">
        <v>30</v>
      </c>
      <c r="AH133" s="4">
        <f>'[1]29根构件 '!$T$46/(0.05*'[1]30根构件'!$X$46+0.95*'[1]30根构件'!$T$46)</f>
        <v>0.9080841638981173</v>
      </c>
    </row>
    <row r="134" spans="1:35" x14ac:dyDescent="0.2">
      <c r="AE134" s="1">
        <v>31</v>
      </c>
      <c r="AH134" s="5">
        <f>'[1]30根构件'!$T$46/(0.05*'[1]31根构件 '!$X$46+0.95*'[1]31根构件 '!$T$46)</f>
        <v>1.4681892332789561</v>
      </c>
    </row>
    <row r="135" spans="1:35" x14ac:dyDescent="0.2">
      <c r="AE135" s="1">
        <v>32</v>
      </c>
      <c r="AH135" s="4">
        <f>'[1]31根构件 '!$T$46/(0.05*'[1]32根构件'!$X$46+0.95*'[1]32根构件'!$T$46)</f>
        <v>0.94043887147335437</v>
      </c>
    </row>
    <row r="136" spans="1:35" ht="18" x14ac:dyDescent="0.25">
      <c r="A136" s="2" t="s">
        <v>37</v>
      </c>
      <c r="B136" s="2"/>
      <c r="C136" s="2"/>
      <c r="D136" s="2"/>
      <c r="E136" s="2"/>
      <c r="F136" s="3"/>
      <c r="G136" s="3"/>
      <c r="H136" s="3"/>
      <c r="K136" s="2" t="s">
        <v>24</v>
      </c>
      <c r="L136" s="2"/>
      <c r="M136" s="2"/>
      <c r="N136" s="2"/>
      <c r="O136" s="2"/>
      <c r="P136" s="3"/>
      <c r="Q136" s="3"/>
      <c r="R136" s="3"/>
      <c r="AE136" s="1">
        <v>33</v>
      </c>
      <c r="AH136">
        <f>'[1]32根构件'!$T$46/(0.05*'[1]33根构件 '!$X$46+0.95*'[1]33根构件 '!$T$46)</f>
        <v>1.25</v>
      </c>
    </row>
    <row r="137" spans="1:35" x14ac:dyDescent="0.2">
      <c r="A137" t="s">
        <v>0</v>
      </c>
      <c r="B137" t="s">
        <v>1</v>
      </c>
      <c r="C137" t="s">
        <v>2</v>
      </c>
      <c r="K137" t="s">
        <v>0</v>
      </c>
      <c r="L137" t="s">
        <v>1</v>
      </c>
      <c r="M137" t="s">
        <v>2</v>
      </c>
      <c r="AE137" s="1">
        <v>34</v>
      </c>
      <c r="AH137">
        <f>'[1]33根构件 '!$T$46/(0.05*'[1]34根构件'!$X$46+0.95*'[1]34根构件'!$T$46)</f>
        <v>1.1990407673860912</v>
      </c>
    </row>
    <row r="138" spans="1:35" x14ac:dyDescent="0.2">
      <c r="A138" s="1">
        <v>0.1</v>
      </c>
      <c r="B138">
        <f>'[4]40根构件  '!$D$13/(0.05*'[4]41根构件  '!$H$13+0.95*'[4]41根构件  '!$D$13)</f>
        <v>0.9928732081402597</v>
      </c>
      <c r="K138" s="1">
        <v>0.1</v>
      </c>
      <c r="L138">
        <f>'[3]44根构件 '!$D$13/(0.05*'[3]45根构件  '!$H$13+0.95*'[3]45根构件  '!$D$13)</f>
        <v>1.0021798827959121</v>
      </c>
      <c r="AE138" s="1">
        <v>35</v>
      </c>
      <c r="AH138" s="4">
        <f>'[1]34根构件'!$T$46/(0.05*'[1]35根构件 '!$X$46+0.95*'[1]35根构件 '!$T$46)</f>
        <v>0.69930069930069938</v>
      </c>
    </row>
    <row r="139" spans="1:35" x14ac:dyDescent="0.2">
      <c r="A139" s="1">
        <v>0.3</v>
      </c>
      <c r="B139">
        <f>'[4]40根构件  '!$V$13/(0.05*'[4]41根构件  '!$Z$13+0.95*'[4]41根构件  '!$V$13)</f>
        <v>1.0000425731193323</v>
      </c>
      <c r="K139" s="1">
        <v>0.3</v>
      </c>
      <c r="L139">
        <f>'[3]44根构件 '!$V$13/(0.05*'[3]45根构件  '!$Z$13+0.95*'[3]45根构件  '!$V$13)</f>
        <v>1.0010730040138298</v>
      </c>
      <c r="AE139" s="1">
        <v>36</v>
      </c>
      <c r="AH139">
        <f>'[1]35根构件 '!$T$46/(0.05*'[1]36根构件 '!$X$46+0.95*'[1]36根构件 '!$T$46)</f>
        <v>1.6519174041297935</v>
      </c>
    </row>
    <row r="140" spans="1:35" x14ac:dyDescent="0.2">
      <c r="A140" s="1">
        <v>0.5</v>
      </c>
      <c r="B140">
        <f>'[4]40根构件  '!$D$34/(0.05*'[4]41根构件  '!$H$34+0.95*'[4]41根构件  '!$D$34)</f>
        <v>1.0000375107843502</v>
      </c>
      <c r="K140" s="1">
        <v>0.5</v>
      </c>
      <c r="L140">
        <f>'[3]44根构件 '!$D$34/(0.05*'[3]45根构件  '!$H$34+0.95*'[3]45根构件  '!$D$34)</f>
        <v>1.0032404667074653</v>
      </c>
      <c r="N140">
        <f>'[3]44根构件 '!$B$46/(0.05*'[3]45根构件  '!$F$46+0.95*'[3]45根构件  '!$B$46)</f>
        <v>1.2154696132596685</v>
      </c>
      <c r="AE140" s="1">
        <v>37</v>
      </c>
      <c r="AH140" s="4">
        <f>'[1]36根构件 '!$T$46/(0.05*'[1]37根构件  '!$X$46+0.95*'[1]37根构件  '!$T$46)</f>
        <v>0.64386317907444668</v>
      </c>
    </row>
    <row r="141" spans="1:35" ht="18" x14ac:dyDescent="0.25">
      <c r="A141" s="1">
        <v>0.7</v>
      </c>
      <c r="B141">
        <f>'[4]40根构件  '!$V$34/(0.05*'[4]41根构件  '!$Z$34+0.95*'[4]41根构件  '!$V$34)</f>
        <v>0.99855336577301002</v>
      </c>
      <c r="K141" s="1">
        <v>0.7</v>
      </c>
      <c r="L141">
        <f>'[3]44根构件 '!$V$34/(0.05*'[3]45根构件  '!$Z$34+0.95*'[3]45根构件  '!$V$34)</f>
        <v>0.99833610648918458</v>
      </c>
      <c r="N141">
        <f>'[3]44根构件 '!$T$46/(0.05*'[3]45根构件  '!$X$46+0.95*'[3]45根构件  '!$T$46)</f>
        <v>1.0138685502627272</v>
      </c>
      <c r="T141" s="8" t="s">
        <v>81</v>
      </c>
      <c r="U141" s="9"/>
      <c r="V141" s="9"/>
      <c r="W141" s="9"/>
      <c r="X141" s="9"/>
      <c r="Y141" s="9"/>
      <c r="Z141" s="9"/>
      <c r="AA141" s="9"/>
      <c r="AE141" s="1">
        <v>38</v>
      </c>
      <c r="AH141" s="4">
        <f>'[1]37根构件  '!$T$46/(0.05*'[1]38根构件  '!$X$46+0.95*'[1]38根构件  '!$T$46)</f>
        <v>0.99206349206349209</v>
      </c>
    </row>
    <row r="142" spans="1:35" x14ac:dyDescent="0.2">
      <c r="A142" s="1">
        <v>0.9</v>
      </c>
      <c r="B142">
        <f>'[4]40根构件  '!$D$54/(0.05*'[4]41根构件  '!$H$54+0.95*'[4]41根构件  '!$D$54)</f>
        <v>1</v>
      </c>
      <c r="D142">
        <f>'[4]40根构件  '!$B$66/(0.05*'[4]41根构件  '!$G$66+0.95*'[4]41根构件  '!$B$66)</f>
        <v>1.0178609613631504</v>
      </c>
      <c r="K142" s="1">
        <v>0.9</v>
      </c>
      <c r="L142">
        <f>'[3]44根构件 '!$D$54/(0.05*'[3]45根构件  '!$H$54+0.95*'[3]45根构件  '!$D$54)</f>
        <v>0.99978499247473662</v>
      </c>
      <c r="N142">
        <f>'[3]44根构件 '!$B$66/(0.05*'[3]45根构件  '!$G$66+0.95*'[3]45根构件  '!$B$66)</f>
        <v>1</v>
      </c>
      <c r="T142" t="s">
        <v>9</v>
      </c>
      <c r="U142" t="s">
        <v>1</v>
      </c>
      <c r="V142" t="s">
        <v>2</v>
      </c>
      <c r="W142" t="s">
        <v>43</v>
      </c>
      <c r="AE142" s="1">
        <v>39</v>
      </c>
      <c r="AH142" s="4">
        <f>'[1]38根构件  '!$T$46/(0.05*'[1]39根构件   '!$X$46+0.95*'[1]39根构件   '!$T$46)</f>
        <v>0.92936802973977695</v>
      </c>
    </row>
    <row r="143" spans="1:35" x14ac:dyDescent="0.2">
      <c r="T143">
        <v>2</v>
      </c>
      <c r="U143">
        <f>'[3]8根构件开始'!$D$54/(0.05*'[3]9根构件'!$H$54+0.95*'[3]9根构件'!$D$54)</f>
        <v>1.0166079516859587</v>
      </c>
      <c r="W143">
        <f>'[3]8根构件开始'!$B$66/(0.05*'[3]9根构件'!$G$66+0.95*'[3]9根构件'!$B$66)</f>
        <v>1.0724365004703671</v>
      </c>
      <c r="AE143" s="1">
        <v>40</v>
      </c>
      <c r="AH143">
        <f>'[1]39根构件   '!$T$46/(0.05*'[1]40根构件  '!$X$46+0.95*'[1]40根构件  '!$T$46)</f>
        <v>1.2765957446808514</v>
      </c>
    </row>
    <row r="144" spans="1:35" x14ac:dyDescent="0.2">
      <c r="T144">
        <v>2.5</v>
      </c>
      <c r="U144">
        <f>'[4]8根构件开始'!$D$54/(0.05*'[4]9根构件'!$H$54+0.95*'[4]9根构件'!$D$54)</f>
        <v>1.0407239819004526</v>
      </c>
      <c r="W144">
        <f>'[4]8根构件开始'!$B$66/(0.05*'[4]9根构件'!$G$66+0.95*'[4]9根构件'!$B$66)</f>
        <v>1.0000000000000002</v>
      </c>
      <c r="AE144" s="1">
        <v>41</v>
      </c>
      <c r="AH144">
        <f>'[1]40根构件  '!$T$46/(0.05*'[1]41根构件  '!$X$46+0.95*'[1]41根构件  '!$T$46)</f>
        <v>1.2923076923076922</v>
      </c>
    </row>
    <row r="145" spans="1:39" ht="18" x14ac:dyDescent="0.25">
      <c r="A145" s="2" t="s">
        <v>38</v>
      </c>
      <c r="B145" s="2"/>
      <c r="C145" s="2"/>
      <c r="D145" s="2"/>
      <c r="E145" s="2"/>
      <c r="F145" s="3"/>
      <c r="G145" s="3"/>
      <c r="H145" s="3"/>
      <c r="K145" s="2" t="s">
        <v>25</v>
      </c>
      <c r="L145" s="2"/>
      <c r="M145" s="2"/>
      <c r="N145" s="2"/>
      <c r="O145" s="2"/>
      <c r="P145" s="3"/>
      <c r="Q145" s="3"/>
      <c r="R145" s="3"/>
      <c r="T145">
        <v>2.8</v>
      </c>
      <c r="U145">
        <f>'[1]8根构件开始'!$D$54/(0.05*'[1]10根构件'!$H$54+0.95*'[1]10根构件'!$D$54)</f>
        <v>1.0177235620945464</v>
      </c>
      <c r="W145">
        <f>'[1]8根构件开始'!$B$66/(0.05*'[1]9根构件'!$G$66+0.95*'[1]9根构件'!$B$66)</f>
        <v>1.1037966063220022</v>
      </c>
      <c r="AE145" s="1">
        <v>42</v>
      </c>
      <c r="AH145" s="4">
        <f>'[1]41根构件  '!$T$46/(0.05*'[1]42根构件  '!$X$46+0.95*'[1]42根构件  '!$T$46)</f>
        <v>0.74592074592074598</v>
      </c>
    </row>
    <row r="146" spans="1:39" x14ac:dyDescent="0.2">
      <c r="A146" t="s">
        <v>0</v>
      </c>
      <c r="B146" t="s">
        <v>1</v>
      </c>
      <c r="C146" t="s">
        <v>2</v>
      </c>
      <c r="K146" t="s">
        <v>0</v>
      </c>
      <c r="L146" t="s">
        <v>1</v>
      </c>
      <c r="M146" t="s">
        <v>2</v>
      </c>
      <c r="AE146" s="1">
        <v>43</v>
      </c>
      <c r="AH146" s="4">
        <f>'[1]42根构件  '!$T$46/(0.05*'[1]43根构件   '!$X$46+0.95*'[1]43根构件   '!$T$46)</f>
        <v>0.85436893203883502</v>
      </c>
    </row>
    <row r="147" spans="1:39" x14ac:dyDescent="0.2">
      <c r="A147" s="1">
        <v>0.1</v>
      </c>
      <c r="B147">
        <f>'[4]44根构件 '!$D$13/(0.05*'[4]45根构件  '!$H$13+0.95*'[4]45根构件  '!$D$13)</f>
        <v>1</v>
      </c>
      <c r="K147" s="1">
        <v>0.1</v>
      </c>
      <c r="L147">
        <f>'[3]48根构件 '!$D$13/(0.05*'[3]49根构件  '!$H$13+0.95*'[3]49根构件  '!$D$13)</f>
        <v>0.99900646517588465</v>
      </c>
      <c r="AE147" s="1">
        <v>44</v>
      </c>
      <c r="AH147">
        <f>'[1]43根构件   '!$T$46/(0.05*'[1]44根构件 '!$X$46+0.95*'[1]44根构件 '!$T$46)</f>
        <v>1.4565826330532214</v>
      </c>
    </row>
    <row r="148" spans="1:39" ht="18" x14ac:dyDescent="0.25">
      <c r="A148" s="1">
        <v>0.3</v>
      </c>
      <c r="B148">
        <f>'[4]44根构件 '!$V$13/(0.05*'[4]45根构件  '!$Z$13+0.95*'[4]45根构件  '!$V$13)</f>
        <v>0.99823359613976137</v>
      </c>
      <c r="K148" s="1">
        <v>0.3</v>
      </c>
      <c r="L148">
        <f>'[3]48根构件 '!$V$13/(0.05*'[3]49根构件  '!$Z$13+0.95*'[3]49根构件  '!$V$13)</f>
        <v>0.99807676897187292</v>
      </c>
      <c r="T148" s="8" t="s">
        <v>82</v>
      </c>
      <c r="U148" s="9"/>
      <c r="V148" s="9"/>
      <c r="W148" s="9"/>
      <c r="X148" s="9"/>
      <c r="Y148" s="9"/>
      <c r="Z148" s="9"/>
      <c r="AA148" s="9"/>
      <c r="AE148" s="1">
        <v>45</v>
      </c>
      <c r="AH148" s="5">
        <f>'[1]44根构件 '!$T$46/(0.05*'[1]45根构件  '!$X$46+0.95*'[1]45根构件  '!$T$46)</f>
        <v>1.0084033613445378</v>
      </c>
    </row>
    <row r="149" spans="1:39" x14ac:dyDescent="0.2">
      <c r="A149" s="1">
        <v>0.5</v>
      </c>
      <c r="B149">
        <f>'[4]44根构件 '!$D$34/(0.05*'[4]45根构件  '!$H$34+0.95*'[4]45根构件  '!$D$34)</f>
        <v>0.99804010251771469</v>
      </c>
      <c r="K149" s="1">
        <v>0.5</v>
      </c>
      <c r="L149">
        <f>'[3]48根构件 '!$D$34/(0.05*'[3]49根构件  '!$H$34+0.95*'[3]49根构件  '!$D$34)</f>
        <v>1.0008083257552793</v>
      </c>
      <c r="N149">
        <f>'[3]48根构件 '!$B$46/(0.05*'[3]49根构件  '!$F$46+0.95*'[3]49根构件  '!$B$46)</f>
        <v>1.1570247933884299</v>
      </c>
      <c r="T149" t="s">
        <v>9</v>
      </c>
      <c r="U149" t="s">
        <v>1</v>
      </c>
      <c r="V149" t="s">
        <v>2</v>
      </c>
      <c r="W149" t="s">
        <v>43</v>
      </c>
      <c r="AE149" s="1">
        <v>46</v>
      </c>
      <c r="AH149" s="4">
        <f>'[1]45根构件  '!$T$46/(0.05*'[1]46根构件 '!$X$46+0.95*'[1]46根构件 '!$T$46)</f>
        <v>0.7860262008733625</v>
      </c>
    </row>
    <row r="150" spans="1:39" x14ac:dyDescent="0.2">
      <c r="A150" s="1">
        <v>0.7</v>
      </c>
      <c r="B150">
        <f>'[4]44根构件 '!$V$34/(0.05*'[4]45根构件  '!$Z$34+0.95*'[4]45根构件  '!$V$34)</f>
        <v>0.99965991535671095</v>
      </c>
      <c r="K150" s="1">
        <v>0.7</v>
      </c>
      <c r="L150">
        <f>'[3]48根构件 '!$V$34/(0.05*'[3]49根构件  '!$Z$34+0.95*'[3]49根构件  '!$V$34)</f>
        <v>0.99833610648918458</v>
      </c>
      <c r="N150">
        <f>'[3]48根构件 '!$T$46/(0.05*'[3]49根构件  '!$X$46+0.95*'[3]49根构件  '!$T$46)</f>
        <v>0.98433552299140981</v>
      </c>
      <c r="T150">
        <v>2</v>
      </c>
      <c r="U150">
        <f>'[3]16根构件  '!$D$54/(0.05*'[3]17根构件  '!$H$54+0.95*'[3]17根构件  '!$D$54)</f>
        <v>0.99843993759750382</v>
      </c>
      <c r="W150">
        <f>'[3]16根构件  '!$B$66/(0.05*'[3]17根构件  '!$G$66+0.95*'[3]17根构件  '!$B$66)</f>
        <v>1.0512483574244416</v>
      </c>
      <c r="AE150" s="1">
        <v>47</v>
      </c>
      <c r="AH150">
        <f>'[1]46根构件 '!$T$46/(0.05*'[1]47根构件  '!$X$46+0.95*'[1]47根构件  '!$T$46)</f>
        <v>1</v>
      </c>
    </row>
    <row r="151" spans="1:39" x14ac:dyDescent="0.2">
      <c r="A151" s="1">
        <v>0.9</v>
      </c>
      <c r="B151">
        <f>'[4]44根构件 '!$D$54/(0.05*'[4]45根构件  '!$H$54+0.95*'[4]45根构件  '!$D$54)</f>
        <v>1</v>
      </c>
      <c r="K151" s="1">
        <v>0.9</v>
      </c>
      <c r="L151">
        <f>'[3]48根构件 '!$D$54/(0.05*'[3]49根构件  '!$H$54+0.95*'[3]49根构件  '!$D$54)</f>
        <v>0.99946265448683502</v>
      </c>
      <c r="N151">
        <f>'[3]48根构件 '!$B$66/(0.05*'[3]49根构件  '!$G$66+0.95*'[3]49根构件  '!$B$66)</f>
        <v>1</v>
      </c>
      <c r="T151">
        <v>2.5</v>
      </c>
      <c r="U151">
        <f>'[4]16根构件  '!$D$54/(0.05*'[4]17根构件  '!$H$54+0.95*'[4]17根构件  '!$D$54)</f>
        <v>0.99762470308788609</v>
      </c>
      <c r="W151">
        <f>'[4]16根构件  '!$B$66/(0.05*'[4]17根构件  '!$G$66+0.95*'[4]17根构件  '!$B$66)</f>
        <v>1.0119909673079697</v>
      </c>
      <c r="AE151" s="1">
        <v>48</v>
      </c>
      <c r="AH151" s="5">
        <f>'[1]47根构件  '!$T$46/(0.05*'[1]48根构件 '!$X$46+0.95*'[1]48根构件 '!$T$46)</f>
        <v>1.5540540540540542</v>
      </c>
    </row>
    <row r="152" spans="1:39" x14ac:dyDescent="0.2">
      <c r="T152">
        <v>2.8</v>
      </c>
      <c r="U152">
        <f>'[1]16根构件  '!$D$54/(0.05*'[1]17根构件  '!$H$54+0.95*'[1]17根构件  '!$D$54)</f>
        <v>1.0047520315256726</v>
      </c>
      <c r="W152">
        <f>'[1]16根构件  '!$B$66/(0.05*'[1]17根构件  '!$G$66+0.95*'[1]17根构件  '!$B$66)</f>
        <v>1.0518181427896793</v>
      </c>
      <c r="AE152" s="1">
        <v>49</v>
      </c>
      <c r="AH152">
        <f>'[1]48根构件 '!$T$46/(0.05*'[1]49根构件  '!$X$46+0.95*'[1]49根构件  '!$T$46)</f>
        <v>1.0452961672473868</v>
      </c>
    </row>
    <row r="153" spans="1:39" x14ac:dyDescent="0.2">
      <c r="AE153" s="1">
        <v>50</v>
      </c>
      <c r="AH153">
        <f>'[1]49根构件  '!$T$46/(0.05*'[1]50根构件 '!$X$46+0.95*'[1]50根构件 '!$T$46)</f>
        <v>0.6913580246913581</v>
      </c>
    </row>
    <row r="154" spans="1:39" ht="18" x14ac:dyDescent="0.25">
      <c r="A154" s="2" t="s">
        <v>39</v>
      </c>
      <c r="B154" s="2"/>
      <c r="C154" s="2"/>
      <c r="D154" s="2"/>
      <c r="E154" s="2"/>
      <c r="F154" s="3"/>
      <c r="G154" s="3"/>
      <c r="H154" s="3"/>
      <c r="K154" s="2" t="s">
        <v>101</v>
      </c>
      <c r="L154" s="2"/>
      <c r="M154" s="2"/>
      <c r="N154" s="2"/>
      <c r="O154" s="2"/>
      <c r="P154" s="3"/>
      <c r="Q154" s="3"/>
      <c r="R154" s="3"/>
    </row>
    <row r="155" spans="1:39" ht="14.1" customHeight="1" x14ac:dyDescent="0.25">
      <c r="A155" t="s">
        <v>0</v>
      </c>
      <c r="B155" t="s">
        <v>1</v>
      </c>
      <c r="C155" t="s">
        <v>2</v>
      </c>
      <c r="K155" t="s">
        <v>0</v>
      </c>
      <c r="L155" t="s">
        <v>1</v>
      </c>
      <c r="M155" t="s">
        <v>2</v>
      </c>
      <c r="N155" s="1" t="s">
        <v>43</v>
      </c>
      <c r="T155" s="8" t="s">
        <v>83</v>
      </c>
      <c r="U155" s="9"/>
      <c r="V155" s="9"/>
      <c r="W155" s="9"/>
      <c r="X155" s="9"/>
      <c r="Y155" s="9"/>
      <c r="Z155" s="9"/>
      <c r="AA155" s="9"/>
    </row>
    <row r="156" spans="1:39" ht="15" thickBot="1" x14ac:dyDescent="0.25">
      <c r="A156" s="1">
        <v>0.1</v>
      </c>
      <c r="B156">
        <f>'[4]48根构件 '!$D$13/(0.05*'[4]49根构件  '!$H$13+0.95*'[4]49根构件  '!$D$13)</f>
        <v>0.99403147042864892</v>
      </c>
      <c r="K156" s="1">
        <v>0.1</v>
      </c>
      <c r="T156" t="s">
        <v>9</v>
      </c>
      <c r="U156" t="s">
        <v>1</v>
      </c>
      <c r="V156" t="s">
        <v>2</v>
      </c>
      <c r="W156" t="s">
        <v>43</v>
      </c>
    </row>
    <row r="157" spans="1:39" ht="18.75" thickTop="1" x14ac:dyDescent="0.25">
      <c r="A157" s="1">
        <v>0.3</v>
      </c>
      <c r="B157">
        <f>'[4]48根构件 '!$V$13/(0.05*'[4]49根构件  '!$Z$13+0.95*'[4]49根构件  '!$V$13)</f>
        <v>0.99725030852837393</v>
      </c>
      <c r="K157" s="1">
        <v>0.3</v>
      </c>
      <c r="N157">
        <f>'[3]13根构件'!$T$25/(0.05*'[3]14根构件'!$X$25+0.95*'[3]14根构件'!$T$25)</f>
        <v>2</v>
      </c>
      <c r="T157">
        <v>2</v>
      </c>
      <c r="U157">
        <f>'[3]24根构件 '!$D$54/(0.05*'[3]25根构件 '!$H$54+0.95*'[3]25根构件 '!$D$54)</f>
        <v>0.99893730074388953</v>
      </c>
      <c r="W157">
        <f>'[3]24根构件 '!$B$66/(0.05*'[3]25根构件 '!$G$66+0.95*'[3]25根构件 '!$B$66)</f>
        <v>1.03125</v>
      </c>
      <c r="AE157" s="32" t="s">
        <v>97</v>
      </c>
      <c r="AF157" s="33"/>
      <c r="AG157" s="33"/>
      <c r="AH157" s="33"/>
      <c r="AI157" s="33"/>
      <c r="AJ157" s="34"/>
      <c r="AK157" s="34"/>
      <c r="AL157" s="34"/>
      <c r="AM157" s="35"/>
    </row>
    <row r="158" spans="1:39" x14ac:dyDescent="0.2">
      <c r="A158" s="1">
        <v>0.5</v>
      </c>
      <c r="B158">
        <f>'[4]48根构件 '!$D$34/(0.05*'[4]49根构件  '!$H$34+0.95*'[4]49根构件  '!$D$34)</f>
        <v>1.0005711022272985</v>
      </c>
      <c r="K158" s="1">
        <v>0.5</v>
      </c>
      <c r="N158">
        <f>'[3]13根构件'!$B$46/(0.05*'[3]14根构件'!$F$46+0.95*'[3]14根构件'!$B$46)</f>
        <v>1.2960235640648012</v>
      </c>
      <c r="T158">
        <v>2.5</v>
      </c>
      <c r="U158">
        <f>'[4]24根构件 '!$D$54/(0.05*'[4]25根构件 '!$H$54+0.95*'[4]25根构件 '!$D$54)</f>
        <v>1</v>
      </c>
      <c r="W158">
        <f>'[4]24根构件 '!$B$66/(0.05*'[4]25根构件 '!$G$66+0.95*'[4]25根构件 '!$B$66)</f>
        <v>1.0248187515624869</v>
      </c>
      <c r="AE158" s="30" t="s">
        <v>7</v>
      </c>
      <c r="AF158" t="s">
        <v>1</v>
      </c>
      <c r="AG158" t="s">
        <v>2</v>
      </c>
      <c r="AH158" s="1" t="s">
        <v>43</v>
      </c>
      <c r="AM158" s="21"/>
    </row>
    <row r="159" spans="1:39" x14ac:dyDescent="0.2">
      <c r="A159" s="1">
        <v>0.7</v>
      </c>
      <c r="B159">
        <f>'[4]48根构件 '!$V$34/(0.05*'[4]49根构件  '!$Z$34+0.95*'[4]49根构件  '!$V$34)</f>
        <v>1.0001800930796865</v>
      </c>
      <c r="K159" s="1">
        <v>0.7</v>
      </c>
      <c r="N159">
        <f>'[3]13根构件'!$T$46/(0.05*'[3]14根构件'!$X$46+0.95*'[3]14根构件'!$T$46)</f>
        <v>1.1241921634202559</v>
      </c>
      <c r="T159">
        <v>2.8</v>
      </c>
      <c r="U159">
        <f>'[1]24根构件 '!$D$54/(0.05*'[1]25根构件 '!$H$54+0.95*'[1]25根构件 '!$D$54)</f>
        <v>1.000203240039599</v>
      </c>
      <c r="W159">
        <f>'[1]24根构件 '!$B$66/(0.05*'[1]25根构件 '!$G$66+0.95*'[1]25根构件 '!$B$66)</f>
        <v>1.0591490644091943</v>
      </c>
      <c r="AE159" s="30">
        <v>9</v>
      </c>
      <c r="AH159">
        <f>'[3]8根构件开始'!$T$46/(0.05*'[3]9根构件'!$X$46+0.95*'[3]9根构件'!$T$46)</f>
        <v>1.1646432585310427</v>
      </c>
      <c r="AM159" s="21"/>
    </row>
    <row r="160" spans="1:39" x14ac:dyDescent="0.2">
      <c r="A160" s="1">
        <v>0.9</v>
      </c>
      <c r="B160">
        <f>'[4]48根构件 '!$D$54/(0.05*'[4]49根构件  '!$H$54+0.95*'[4]49根构件  '!$D$54)</f>
        <v>1</v>
      </c>
      <c r="D160">
        <f>'[4]48根构件 '!$B$66/(0.05*'[4]49根构件  '!$G$66+0.95*'[4]49根构件  '!$B$66)</f>
        <v>6.8861123655644194</v>
      </c>
      <c r="K160" s="1">
        <v>0.9</v>
      </c>
      <c r="N160">
        <f>'[3]13根构件'!$B$66/(0.05*'[3]14根构件'!$G$66+0.95*'[3]14根构件'!$B$66)</f>
        <v>2.5393923234170064E-2</v>
      </c>
      <c r="AE160" s="30">
        <v>10</v>
      </c>
      <c r="AH160">
        <f>'[3]9根构件'!$T$46/(0.05*'[3]10根构件'!$X$46+0.95*'[3]10根构件'!$T$46)</f>
        <v>1.1616890994165561</v>
      </c>
      <c r="AM160" s="21"/>
    </row>
    <row r="161" spans="1:39" x14ac:dyDescent="0.2">
      <c r="AE161" s="30">
        <v>11</v>
      </c>
      <c r="AH161">
        <f>'[3]10根构件'!$T$46/(0.05*'[3]11根构件 '!$X$46+0.95*'[3]11根构件 '!$T$46)</f>
        <v>1.1015305713598846</v>
      </c>
      <c r="AM161" s="21"/>
    </row>
    <row r="162" spans="1:39" ht="18" x14ac:dyDescent="0.25">
      <c r="T162" s="8" t="s">
        <v>84</v>
      </c>
      <c r="U162" s="9"/>
      <c r="V162" s="9"/>
      <c r="W162" s="9"/>
      <c r="X162" s="9"/>
      <c r="Y162" s="9"/>
      <c r="Z162" s="9"/>
      <c r="AA162" s="9"/>
      <c r="AE162" s="30">
        <v>12</v>
      </c>
      <c r="AH162">
        <f>'[3]11根构件 '!$T$46/(0.05*'[3]12根构件'!$X$46+0.95*'[3]12根构件'!$T$46)</f>
        <v>1.103298695988409</v>
      </c>
      <c r="AM162" s="21"/>
    </row>
    <row r="163" spans="1:39" ht="18" x14ac:dyDescent="0.25">
      <c r="K163" s="2"/>
      <c r="L163" s="2"/>
      <c r="M163" s="2"/>
      <c r="N163" s="2"/>
      <c r="O163" s="2"/>
      <c r="P163" s="3"/>
      <c r="Q163" s="3"/>
      <c r="R163" s="3"/>
      <c r="T163" t="s">
        <v>9</v>
      </c>
      <c r="U163" t="s">
        <v>1</v>
      </c>
      <c r="V163" t="s">
        <v>2</v>
      </c>
      <c r="W163" t="s">
        <v>43</v>
      </c>
      <c r="AE163" s="30">
        <v>13</v>
      </c>
      <c r="AH163">
        <f>'[3]12根构件'!$T$46/(0.05*'[3]13根构件'!$X$46+0.95*'[3]13根构件'!$T$46)</f>
        <v>1.1206051267684549</v>
      </c>
      <c r="AM163" s="21"/>
    </row>
    <row r="164" spans="1:39" x14ac:dyDescent="0.2">
      <c r="N164" s="1"/>
      <c r="T164">
        <v>2</v>
      </c>
      <c r="U164">
        <f>'[3]32根构件'!$D$54/(0.05*'[3]33根构件 '!$H$54+0.95*'[3]33根构件 '!$D$54)</f>
        <v>0.99946836788942051</v>
      </c>
      <c r="W164">
        <f>'[3]32根构件'!$B$66/(0.05*'[3]33根构件 '!$G$66+0.95*'[3]33根构件 '!$B$66)</f>
        <v>1.0357142857142856</v>
      </c>
      <c r="AE164" s="30">
        <v>14</v>
      </c>
      <c r="AH164">
        <f>'[3]13根构件'!$T$46/(0.05*'[3]14根构件'!$X$46+0.95*'[3]14根构件'!$T$46)</f>
        <v>1.1241921634202559</v>
      </c>
      <c r="AI164">
        <f>(AH159+AH160+AH161+AH162+AH163+AH164)/6</f>
        <v>1.1293264859141006</v>
      </c>
      <c r="AM164" s="21"/>
    </row>
    <row r="165" spans="1:39" x14ac:dyDescent="0.2">
      <c r="K165" s="1"/>
      <c r="T165">
        <v>2.5</v>
      </c>
      <c r="U165">
        <f>'[4]32根构件'!$D$54/(0.05*'[4]33根构件 '!$H$54+0.95*'[4]33根构件 '!$D$54)</f>
        <v>1</v>
      </c>
      <c r="W165">
        <f>'[4]32根构件'!$B$66/(0.05*'[4]33根构件 '!$G$66+0.95*'[4]33根构件 '!$B$66)</f>
        <v>0.99089296042506059</v>
      </c>
      <c r="AE165" s="30">
        <v>15</v>
      </c>
      <c r="AH165">
        <f>'[3]14根构件'!$T$46/(0.05*'[3]15根构件 '!$X$46+0.95*'[3]15根构件 '!$T$46)</f>
        <v>1.0726311311007113</v>
      </c>
      <c r="AM165" s="21"/>
    </row>
    <row r="166" spans="1:39" x14ac:dyDescent="0.2">
      <c r="K166" s="1"/>
      <c r="N166" s="12"/>
      <c r="T166">
        <v>2.8</v>
      </c>
      <c r="U166">
        <f>'[1]32根构件'!$D$54/(0.05*'[1]33根构件 '!$H$54+0.95*'[1]33根构件 '!$D$54)</f>
        <v>0.99917319839931218</v>
      </c>
      <c r="W166">
        <f>'[1]32根构件'!$B$66:$B$66/(0.05*'[1]33根构件 '!$G$66+0.95*'[1]33根构件 '!$B$66)</f>
        <v>1.0048746296237296</v>
      </c>
      <c r="AE166" s="30">
        <v>16</v>
      </c>
      <c r="AH166">
        <f>'[3]15根构件 '!$T$46/(0.05*'[3]16根构件  '!$X$46+0.95*'[3]16根构件  '!$T$46)</f>
        <v>1.0511604051801513</v>
      </c>
      <c r="AM166" s="21"/>
    </row>
    <row r="167" spans="1:39" x14ac:dyDescent="0.2">
      <c r="K167" s="1"/>
      <c r="N167" s="12"/>
      <c r="AE167" s="30">
        <v>17</v>
      </c>
      <c r="AH167">
        <f>'[3]16根构件  '!$T$46/(0.05*'[3]17根构件  '!$X$46+0.95*'[3]17根构件  '!$T$46)</f>
        <v>1.0797542609105657</v>
      </c>
      <c r="AM167" s="21"/>
    </row>
    <row r="168" spans="1:39" x14ac:dyDescent="0.2">
      <c r="K168" s="1"/>
      <c r="AE168" s="30">
        <v>18</v>
      </c>
      <c r="AH168">
        <f>'[3]17根构件  '!$T$46/(0.05*'[3]18根构件  '!$X$46+0.95*'[3]18根构件  '!$T$46)</f>
        <v>1.0950683846599045</v>
      </c>
      <c r="AM168" s="21"/>
    </row>
    <row r="169" spans="1:39" ht="18" x14ac:dyDescent="0.25">
      <c r="A169" s="6" t="s">
        <v>44</v>
      </c>
      <c r="B169" s="6"/>
      <c r="C169" s="6"/>
      <c r="D169" s="6"/>
      <c r="E169" s="6"/>
      <c r="F169" s="7"/>
      <c r="G169" s="7"/>
      <c r="H169" s="7"/>
      <c r="K169" s="1"/>
      <c r="T169" s="8" t="s">
        <v>85</v>
      </c>
      <c r="U169" s="9"/>
      <c r="V169" s="9"/>
      <c r="W169" s="9"/>
      <c r="X169" s="9"/>
      <c r="Y169" s="9"/>
      <c r="Z169" s="9"/>
      <c r="AA169" s="9"/>
      <c r="AE169" s="30">
        <v>19</v>
      </c>
      <c r="AH169">
        <f>'[3]18根构件  '!$T$46/(0.05*'[3]19根构件'!$X$46+0.95*'[3]19根构件'!$T$46)</f>
        <v>1.0832079620414303</v>
      </c>
      <c r="AM169" s="21"/>
    </row>
    <row r="170" spans="1:39" x14ac:dyDescent="0.2">
      <c r="A170" s="1" t="s">
        <v>7</v>
      </c>
      <c r="B170" s="1" t="s">
        <v>43</v>
      </c>
      <c r="T170" t="s">
        <v>9</v>
      </c>
      <c r="U170" t="s">
        <v>1</v>
      </c>
      <c r="V170" t="s">
        <v>2</v>
      </c>
      <c r="W170" t="s">
        <v>43</v>
      </c>
      <c r="AE170" s="30">
        <v>20</v>
      </c>
      <c r="AH170" s="5">
        <f>'[3]19根构件'!$T$46/(0.05*'[3]20根构件'!$X$46+0.95*'[3]20根构件'!$T$46)</f>
        <v>1.0130411400914225</v>
      </c>
      <c r="AI170">
        <f>(AH165+AH166+AH167+AH168+AH169+AH170)/6</f>
        <v>1.0658105473306976</v>
      </c>
      <c r="AM170" s="21"/>
    </row>
    <row r="171" spans="1:39" x14ac:dyDescent="0.2">
      <c r="A171" s="1">
        <v>10</v>
      </c>
      <c r="B171">
        <f>'[1]9根构件'!$B$66/(0.05*'[1]10根构件'!$G$66+0.95*'[1]10根构件'!$B$66)</f>
        <v>1.0435325973755467</v>
      </c>
      <c r="T171">
        <v>2</v>
      </c>
      <c r="U171">
        <f>'[3]40根构件  '!$D$54/(0.05*'[3]41根构件  '!$H$54+0.95*'[3]41根构件  '!$D$54)</f>
        <v>0.99946265448683502</v>
      </c>
      <c r="W171">
        <f>'[3]41根构件  '!$B$66/(0.05*'[3]42根构件  '!$G$66+0.95*'[3]42根构件  '!$B$66)</f>
        <v>1.0379241516966069</v>
      </c>
      <c r="AE171" s="30">
        <v>21</v>
      </c>
      <c r="AH171">
        <f>'[3]20根构件'!$T$46/(0.05*'[3]21根构件 '!$X$46+0.95*'[3]21根构件 '!$T$46)</f>
        <v>1.0528928843732821</v>
      </c>
      <c r="AM171" s="21"/>
    </row>
    <row r="172" spans="1:39" x14ac:dyDescent="0.2">
      <c r="A172" s="1">
        <v>11</v>
      </c>
      <c r="B172">
        <f>'[1]10根构件'!$B$66/(0.05*'[1]11根构件 '!$G$66+0.95*'[1]11根构件 '!$B$66)</f>
        <v>1.0707157797256952</v>
      </c>
      <c r="T172">
        <v>2.5</v>
      </c>
      <c r="U172">
        <f>'[4]40根构件  '!$D$54/(0.05*'[4]41根构件  '!$H$54+0.95*'[4]41根构件  '!$D$54)</f>
        <v>1</v>
      </c>
      <c r="W172">
        <f>'[4]40根构件  '!$B$66/(0.05*'[4]41根构件  '!$G$66+0.95*'[4]41根构件  '!$B$66)</f>
        <v>1.0178609613631504</v>
      </c>
      <c r="AE172" s="30">
        <v>22</v>
      </c>
      <c r="AH172">
        <f>'[3]21根构件 '!$T$46/(0.05*'[3]22根构件 '!$X$46+0.95*'[3]22根构件 '!$T$46)</f>
        <v>1.0752606201520845</v>
      </c>
      <c r="AM172" s="21"/>
    </row>
    <row r="173" spans="1:39" x14ac:dyDescent="0.2">
      <c r="A173" s="1">
        <v>12</v>
      </c>
      <c r="B173" s="13">
        <f>'[1]11根构件 '!$B$66/(0.05*'[1]12根构件'!$G$66+0.95*'[1]12根构件'!$B$66)</f>
        <v>1.0606266566981581</v>
      </c>
      <c r="T173">
        <v>2.8</v>
      </c>
      <c r="U173">
        <f>'[1]40根构件  '!$D$54/(0.05*'[1]41根构件  '!$H$54+0.95*'[1]41根构件  '!$D$54)</f>
        <v>0.99966065832285378</v>
      </c>
      <c r="W173">
        <f>'[1]40根构件  '!$B$66/(0.05*'[1]41根构件  '!$G$66+0.95*'[1]41根构件  '!$B$66)</f>
        <v>1.0566468218601832</v>
      </c>
      <c r="AE173" s="30">
        <v>23</v>
      </c>
      <c r="AH173">
        <f>'[3]22根构件 '!$T$46/(0.05*'[3]23根构件'!$X$46+0.95*'[3]23根构件'!$T$46)</f>
        <v>1.0725307065050786</v>
      </c>
      <c r="AM173" s="21"/>
    </row>
    <row r="174" spans="1:39" ht="18" x14ac:dyDescent="0.25">
      <c r="A174" s="1">
        <v>13</v>
      </c>
      <c r="B174">
        <f>'[1]12根构件'!$B$66/(0.05*'[1]13根构件'!$G$66+0.95*'[1]13根构件'!$B$66)</f>
        <v>1.064674632386271</v>
      </c>
      <c r="K174" s="2" t="s">
        <v>63</v>
      </c>
      <c r="L174" s="2"/>
      <c r="M174" s="2"/>
      <c r="N174" s="2"/>
      <c r="O174" s="2"/>
      <c r="P174" s="3"/>
      <c r="Q174" s="3"/>
      <c r="R174" s="3"/>
      <c r="AE174" s="30">
        <v>24</v>
      </c>
      <c r="AH174">
        <f>'[3]23根构件'!$T$46/(0.05*'[3]24根构件 '!$X$46+0.95*'[3]24根构件 '!$T$46)</f>
        <v>1.096980046737372</v>
      </c>
      <c r="AM174" s="21"/>
    </row>
    <row r="175" spans="1:39" x14ac:dyDescent="0.2">
      <c r="A175" s="1">
        <v>14</v>
      </c>
      <c r="B175">
        <f>'[1]13根构件'!$B$66/(0.05*'[1]14根构件'!$G$66+0.95*'[1]14根构件'!$B$66)</f>
        <v>1.0490803392738017</v>
      </c>
      <c r="K175" t="s">
        <v>0</v>
      </c>
      <c r="L175" t="s">
        <v>1</v>
      </c>
      <c r="M175" t="s">
        <v>2</v>
      </c>
      <c r="N175" s="1" t="s">
        <v>43</v>
      </c>
      <c r="AE175" s="30">
        <v>25</v>
      </c>
      <c r="AH175" s="4">
        <f>'[3]24根构件 '!$T$46/(0.05*'[3]25根构件 '!$X$46+0.95*'[3]25根构件 '!$T$46)</f>
        <v>0.99135807997134284</v>
      </c>
      <c r="AM175" s="21"/>
    </row>
    <row r="176" spans="1:39" ht="18" x14ac:dyDescent="0.25">
      <c r="A176" s="1">
        <v>15</v>
      </c>
      <c r="B176">
        <f>'[1]14根构件'!$B$66/(0.05*'[1]15根构件 '!$G$66+0.95*'[1]15根构件 '!$B$66)</f>
        <v>1.0166261545940691</v>
      </c>
      <c r="K176" s="1">
        <v>0.1</v>
      </c>
      <c r="L176">
        <f>'[1]8根构件开始'!$D$13/'[1]9根构件'!$D$13</f>
        <v>1</v>
      </c>
      <c r="T176" s="8" t="s">
        <v>86</v>
      </c>
      <c r="U176" s="9"/>
      <c r="V176" s="9"/>
      <c r="W176" s="9"/>
      <c r="X176" s="9"/>
      <c r="Y176" s="9"/>
      <c r="Z176" s="9"/>
      <c r="AA176" s="9"/>
      <c r="AE176" s="30">
        <v>26</v>
      </c>
      <c r="AH176">
        <f>'[3]25根构件 '!$T$46/(0.05*'[3]26根构件'!$X$46+0.95*'[3]26根构件'!$T$46)</f>
        <v>1.0394942496559125</v>
      </c>
      <c r="AI176">
        <f>(AH171+AH172+AH173+AH174+AH175+AH176)/6</f>
        <v>1.0547527645658454</v>
      </c>
      <c r="AM176" s="21"/>
    </row>
    <row r="177" spans="1:39" ht="18" x14ac:dyDescent="0.25">
      <c r="A177" s="14">
        <v>16</v>
      </c>
      <c r="B177" s="15">
        <f>'[1]15根构件 '!$B$66/(0.05*'[1]16根构件  '!$G$66+0.95*'[1]16根构件  '!$B$66)</f>
        <v>1.0475918833020945</v>
      </c>
      <c r="C177" s="11"/>
      <c r="D177" s="11"/>
      <c r="E177" s="11"/>
      <c r="K177" s="1">
        <v>0.3</v>
      </c>
      <c r="L177">
        <f>'[1]8根构件开始'!$V$13/'[1]9根构件'!$V$13</f>
        <v>1</v>
      </c>
      <c r="T177" t="s">
        <v>9</v>
      </c>
      <c r="U177" t="s">
        <v>1</v>
      </c>
      <c r="V177" t="s">
        <v>2</v>
      </c>
      <c r="W177" t="s">
        <v>43</v>
      </c>
      <c r="AE177" s="30">
        <v>27</v>
      </c>
      <c r="AH177">
        <f>'[3]26根构件'!$T$46/(0.05*'[3]27根构件'!$X$46+0.95*'[3]27根构件'!$T$46)</f>
        <v>1.0784759020943731</v>
      </c>
      <c r="AM177" s="21"/>
    </row>
    <row r="178" spans="1:39" x14ac:dyDescent="0.2">
      <c r="A178" s="1">
        <v>17</v>
      </c>
      <c r="B178">
        <f>'[1]16根构件  '!$B$66/(0.05*'[1]17根构件  '!$G$66+0.95*'[1]17根构件  '!$B$66)</f>
        <v>1.0518181427896793</v>
      </c>
      <c r="K178" s="1">
        <v>0.5</v>
      </c>
      <c r="L178">
        <f>'[1]8根构件开始'!$D$34/'[1]9根构件'!$D$34</f>
        <v>1</v>
      </c>
      <c r="N178">
        <f>'[1]8根构件开始'!$B$46/'[1]9根构件'!$B$46</f>
        <v>0.88888888888888884</v>
      </c>
      <c r="T178">
        <v>2</v>
      </c>
      <c r="U178">
        <f>'[3]48根构件 '!$D$54/(0.05*'[3]49根构件  '!$H$54+0.95*'[3]49根构件  '!$D$54)</f>
        <v>0.99946265448683502</v>
      </c>
      <c r="W178">
        <f>'[3]48根构件 '!$B$66/(0.05*'[3]49根构件  '!$G$66+0.95*'[3]49根构件  '!$B$66)</f>
        <v>1</v>
      </c>
      <c r="AE178" s="30">
        <v>28</v>
      </c>
      <c r="AH178" s="5">
        <f>'[3]27根构件'!$T$46/(0.05*'[3]28根构件'!$X$46+0.95*'[3]28根构件'!$T$46)</f>
        <v>1.0180716706027313</v>
      </c>
      <c r="AM178" s="21"/>
    </row>
    <row r="179" spans="1:39" x14ac:dyDescent="0.2">
      <c r="A179" s="1">
        <v>18</v>
      </c>
      <c r="B179">
        <f>'[1]17根构件  '!$B$66/(0.05*'[1]18根构件  '!$G$66+0.95*'[1]18根构件  '!$B$66)</f>
        <v>1.0018985157059028</v>
      </c>
      <c r="K179" s="1">
        <v>0.7</v>
      </c>
      <c r="L179">
        <f>'[1]8根构件开始'!$V$34/'[1]9根构件'!$V$34</f>
        <v>1</v>
      </c>
      <c r="N179">
        <f>'[1]8根构件开始'!$T$46/'[1]9根构件'!$T$46</f>
        <v>1.4193548387096777</v>
      </c>
      <c r="T179">
        <v>2.5</v>
      </c>
      <c r="U179">
        <f>'[4]48根构件 '!$D$54/(0.05*'[4]49根构件  '!$H$54+0.95*'[4]49根构件  '!$D$54)</f>
        <v>1</v>
      </c>
      <c r="W179">
        <f>'[4]48根构件 '!$B$66/(0.05*'[4]49根构件  '!$G$66+0.95*'[4]49根构件  '!$B$66)</f>
        <v>6.8861123655644194</v>
      </c>
      <c r="AE179" s="30">
        <v>29</v>
      </c>
      <c r="AH179">
        <f>'[3]28根构件'!$T$46/(0.05*'[3]29根构件 '!$X$46+0.95*'[3]29根构件 '!$T$46)</f>
        <v>1.0563170036639977</v>
      </c>
      <c r="AM179" s="21"/>
    </row>
    <row r="180" spans="1:39" x14ac:dyDescent="0.2">
      <c r="A180" s="1">
        <v>19</v>
      </c>
      <c r="B180">
        <f>'[1]18根构件  '!$B$66/(0.05*'[1]19根构件'!$G$66+0.95*'[1]19根构件'!$B$66)</f>
        <v>1.045804804194066</v>
      </c>
      <c r="K180" s="1">
        <v>0.9</v>
      </c>
      <c r="L180">
        <f>'[1]8根构件开始'!$D$54/'[1]9根构件'!$D$54</f>
        <v>1</v>
      </c>
      <c r="N180">
        <f>'[1]8根构件开始'!$B$66/'[1]9根构件'!$B$66</f>
        <v>1.1092101511263188</v>
      </c>
      <c r="T180">
        <v>2.8</v>
      </c>
      <c r="U180">
        <f>'[1]48根构件 '!$D$54/(0.05*'[1]49根构件  '!$H$54+0.95*'[1]49根构件  '!$D$54)</f>
        <v>0.99983293795315598</v>
      </c>
      <c r="W180">
        <f>'[1]48根构件 '!$B$66/(0.05*'[1]49根构件  '!$G$66+0.95*'[1]49根构件  '!$B$66)</f>
        <v>1.0994630529276399</v>
      </c>
      <c r="AE180" s="30">
        <v>30</v>
      </c>
      <c r="AH180" s="4">
        <f>'[3]29根构件 '!$T$46/(0.05*'[3]30根构件'!$X$46+0.95*'[3]30根构件'!$T$46)</f>
        <v>0.98054391630414472</v>
      </c>
      <c r="AM180" s="21"/>
    </row>
    <row r="181" spans="1:39" x14ac:dyDescent="0.2">
      <c r="A181" s="1">
        <v>20</v>
      </c>
      <c r="B181">
        <f>'[1]19根构件'!$B$66/(0.05*'[1]20根构件'!$B$66+0.95*'[1]20根构件'!$G$66)</f>
        <v>1.0301747202382336</v>
      </c>
      <c r="AE181" s="30">
        <v>31</v>
      </c>
      <c r="AH181" s="5">
        <f>'[3]30根构件'!$T$46/(0.05*'[3]31根构件 '!$X$46+0.95*'[3]31根构件 '!$T$46)</f>
        <v>1.0946667834311237</v>
      </c>
      <c r="AM181" s="21"/>
    </row>
    <row r="182" spans="1:39" x14ac:dyDescent="0.2">
      <c r="A182" s="1">
        <v>21</v>
      </c>
      <c r="B182">
        <f>'[1]20根构件'!$B$66/(0.05*'[1]21根构件 '!$G$66+0.95*'[1]21根构件 '!$B$66)</f>
        <v>1.0803484023193353</v>
      </c>
      <c r="AE182" s="30">
        <v>32</v>
      </c>
      <c r="AH182">
        <f>'[3]31根构件 '!$T$46/(0.05*'[3]32根构件'!$X$46+0.95*'[3]32根构件'!$T$46)</f>
        <v>1.0552996816172606</v>
      </c>
      <c r="AI182">
        <f>(AH177+AH178+AH179+AH180+AH181+AH182)/6</f>
        <v>1.0472291596189385</v>
      </c>
      <c r="AM182" s="21"/>
    </row>
    <row r="183" spans="1:39" ht="18" x14ac:dyDescent="0.25">
      <c r="A183" s="1">
        <v>22</v>
      </c>
      <c r="B183">
        <f>'[1]21根构件 '!$B$66/(0.05*'[1]22根构件 '!$G$66+0.95*'[1]22根构件 '!$B$66)</f>
        <v>0.98353337962503729</v>
      </c>
      <c r="K183" s="2" t="s">
        <v>64</v>
      </c>
      <c r="L183" s="2"/>
      <c r="M183" s="2"/>
      <c r="N183" s="2"/>
      <c r="O183" s="2"/>
      <c r="P183" s="3"/>
      <c r="Q183" s="3"/>
      <c r="R183" s="3"/>
      <c r="AE183" s="30">
        <v>33</v>
      </c>
      <c r="AH183" s="4">
        <f>'[3]32根构件'!$T$46/(0.05*'[3]33根构件 '!$X$46+0.95*'[3]33根构件 '!$T$46)</f>
        <v>0.95713098206863789</v>
      </c>
      <c r="AM183" s="21"/>
    </row>
    <row r="184" spans="1:39" x14ac:dyDescent="0.2">
      <c r="K184" t="s">
        <v>0</v>
      </c>
      <c r="L184" t="s">
        <v>1</v>
      </c>
      <c r="M184" t="s">
        <v>2</v>
      </c>
      <c r="N184" s="1" t="s">
        <v>43</v>
      </c>
      <c r="AE184" s="30">
        <v>34</v>
      </c>
      <c r="AH184">
        <f>'[3]33根构件 '!$T$46/(0.05*'[3]34根构件'!$X$46+0.95*'[3]34根构件'!$T$46)</f>
        <v>1.100601332683244</v>
      </c>
      <c r="AM184" s="21"/>
    </row>
    <row r="185" spans="1:39" x14ac:dyDescent="0.2">
      <c r="K185" s="1">
        <v>0.1</v>
      </c>
      <c r="L185">
        <f>'[1]12根构件'!$D$13/'[1]13根构件'!$D$13</f>
        <v>1</v>
      </c>
      <c r="AE185" s="30">
        <v>35</v>
      </c>
      <c r="AH185" s="4">
        <f>'[3]34根构件'!$T$46/(0.05*'[3]35根构件 '!$X$46+0.95*'[3]35根构件 '!$T$46)</f>
        <v>0.99915491126568279</v>
      </c>
      <c r="AM185" s="21"/>
    </row>
    <row r="186" spans="1:39" x14ac:dyDescent="0.2">
      <c r="K186" s="1">
        <v>0.3</v>
      </c>
      <c r="L186">
        <f>'[1]12根构件'!$V$13/'[1]13根构件'!$V$13</f>
        <v>1</v>
      </c>
      <c r="AE186" s="30">
        <v>36</v>
      </c>
      <c r="AH186" s="5">
        <f>'[3]35根构件 '!$T$46/(0.05*'[3]36根构件 '!$X$46+0.95*'[3]36根构件 '!$T$46)</f>
        <v>1.0328165894906383</v>
      </c>
      <c r="AM186" s="21"/>
    </row>
    <row r="187" spans="1:39" ht="18" x14ac:dyDescent="0.25">
      <c r="A187" s="2" t="s">
        <v>52</v>
      </c>
      <c r="B187" s="2"/>
      <c r="C187" s="2"/>
      <c r="D187" s="2"/>
      <c r="E187" s="2"/>
      <c r="F187" s="3"/>
      <c r="G187" s="3"/>
      <c r="H187" s="3"/>
      <c r="K187" s="1">
        <v>0.5</v>
      </c>
      <c r="L187">
        <f>'[1]12根构件'!$D$34/'[1]13根构件'!$D$34</f>
        <v>1</v>
      </c>
      <c r="N187">
        <f>'[1]12根构件'!$B$46/'[1]13根构件'!$B$46</f>
        <v>1.3333333333333333</v>
      </c>
      <c r="AE187" s="30">
        <v>37</v>
      </c>
      <c r="AH187">
        <f>'[3]36根构件 '!$T$46/(0.05*'[3]37根构件  '!$X$46+0.95*'[3]37根构件  '!$T$46)</f>
        <v>1.064141504377345</v>
      </c>
      <c r="AM187" s="21"/>
    </row>
    <row r="188" spans="1:39" x14ac:dyDescent="0.2">
      <c r="A188" t="s">
        <v>0</v>
      </c>
      <c r="B188" t="s">
        <v>1</v>
      </c>
      <c r="C188" t="s">
        <v>2</v>
      </c>
      <c r="D188" s="1" t="s">
        <v>43</v>
      </c>
      <c r="K188" s="1">
        <v>0.7</v>
      </c>
      <c r="L188">
        <f>'[1]12根构件'!$V$34/'[1]13根构件'!$V$34</f>
        <v>1.008776741634668</v>
      </c>
      <c r="N188">
        <f>'[1]12根构件'!$T$46/'[1]13根构件'!$T$46</f>
        <v>1.0583941605839418</v>
      </c>
      <c r="AE188" s="30">
        <v>38</v>
      </c>
      <c r="AH188" s="5">
        <f>'[3]37根构件  '!$T$46/(0.05*'[3]38根构件  '!$X$46+0.95*'[3]38根构件  '!$T$46)</f>
        <v>1.0167760758570388</v>
      </c>
      <c r="AI188">
        <f>(AH183+AH184+AH185+AH186+AH187+AH188)/6</f>
        <v>1.0284368992904311</v>
      </c>
      <c r="AM188" s="21"/>
    </row>
    <row r="189" spans="1:39" x14ac:dyDescent="0.2">
      <c r="A189" s="1">
        <v>0.1</v>
      </c>
      <c r="B189">
        <f>'[1]8根构件开始'!$D$13/(0.05*'[1]9根构件'!$H$13+0.95*'[1]9根构件'!$D$13)</f>
        <v>0.97687420584498108</v>
      </c>
      <c r="K189" s="1">
        <v>0.9</v>
      </c>
      <c r="L189">
        <f>'[1]12根构件'!$D$54/'[1]13根构件'!$D$54</f>
        <v>1.0065931279320401</v>
      </c>
      <c r="N189">
        <f>'[1]12根构件'!$B$66/'[1]13根构件'!$B$66</f>
        <v>1.066860465116279</v>
      </c>
      <c r="AE189" s="30">
        <v>39</v>
      </c>
      <c r="AH189">
        <f>'[3]38根构件  '!$T$46/(0.05*'[3]39根构件   '!$X$46+0.95*'[3]39根构件   '!$T$46)</f>
        <v>1.0550599815441402</v>
      </c>
      <c r="AM189" s="21"/>
    </row>
    <row r="190" spans="1:39" x14ac:dyDescent="0.2">
      <c r="A190" s="1">
        <v>0.3</v>
      </c>
      <c r="B190">
        <f>'[1]8根构件开始'!$V$13/(0.05*'[1]9根构件'!$Z$13+0.95*'[1]9根构件'!$V$13)</f>
        <v>1.0000000000000002</v>
      </c>
      <c r="AE190" s="30">
        <v>40</v>
      </c>
      <c r="AH190" s="4">
        <f>'[3]39根构件   '!$T$46/(0.05*'[3]40根构件  '!$X$46+0.95*'[3]40根构件  '!$T$46)</f>
        <v>0.98363140345559263</v>
      </c>
      <c r="AM190" s="21"/>
    </row>
    <row r="191" spans="1:39" x14ac:dyDescent="0.2">
      <c r="A191" s="1">
        <v>0.5</v>
      </c>
      <c r="B191">
        <f>'[1]8根构件开始'!$D$34/(0.05*'[1]9根构件'!$H$34+0.95*'[1]9根构件'!$D$34)</f>
        <v>1.0000000000000002</v>
      </c>
      <c r="D191">
        <f>'[1]8根构件开始'!$B$46/(0.05*'[1]9根构件'!$F$46+0.95*'[1]9根构件'!$B$46)</f>
        <v>0.87912087912087911</v>
      </c>
      <c r="AE191" s="30">
        <v>41</v>
      </c>
      <c r="AH191">
        <f>'[3]40根构件  '!$T$46/(0.05*'[3]41根构件  '!$X$46+0.95*'[3]41根构件  '!$T$46)</f>
        <v>1.0533887468030692</v>
      </c>
      <c r="AM191" s="21"/>
    </row>
    <row r="192" spans="1:39" ht="18" x14ac:dyDescent="0.25">
      <c r="A192" s="1">
        <v>0.7</v>
      </c>
      <c r="B192">
        <f>'[1]8根构件开始'!$V$34/(0.05*'[1]9根构件'!$Z$34+0.95*'[1]9根构件'!$V$34)</f>
        <v>1.0000000000000002</v>
      </c>
      <c r="D192">
        <f>'[1]8根构件开始'!$T$46/(0.05*'[1]9根构件'!$X$46+0.95*'[1]9根构件'!$T$46)</f>
        <v>1.4044687642498863</v>
      </c>
      <c r="K192" s="2" t="s">
        <v>65</v>
      </c>
      <c r="L192" s="2"/>
      <c r="M192" s="2"/>
      <c r="N192" s="2"/>
      <c r="O192" s="2"/>
      <c r="P192" s="3"/>
      <c r="Q192" s="3"/>
      <c r="R192" s="3"/>
      <c r="AE192" s="30">
        <v>42</v>
      </c>
      <c r="AH192" s="5">
        <f>'[3]41根构件  '!$T$46/(0.05*'[3]42根构件  '!$X$46+0.95*'[3]42根构件  '!$T$46)</f>
        <v>1.0506361108770748</v>
      </c>
      <c r="AM192" s="21"/>
    </row>
    <row r="193" spans="1:39" x14ac:dyDescent="0.2">
      <c r="A193" s="1">
        <v>0.9</v>
      </c>
      <c r="B193">
        <f>'[1]8根构件开始'!$D$54/(0.05*'[1]10根构件'!$H$54+0.95*'[1]10根构件'!$D$54)</f>
        <v>1.0177235620945464</v>
      </c>
      <c r="D193">
        <f>'[1]8根构件开始'!$B$66/(0.05*'[1]9根构件'!$G$66+0.95*'[1]9根构件'!$B$66)</f>
        <v>1.1037966063220022</v>
      </c>
      <c r="K193" t="s">
        <v>0</v>
      </c>
      <c r="L193" t="s">
        <v>1</v>
      </c>
      <c r="M193" t="s">
        <v>2</v>
      </c>
      <c r="N193" s="1" t="s">
        <v>43</v>
      </c>
      <c r="AE193" s="30">
        <v>43</v>
      </c>
      <c r="AH193" s="4">
        <f>'[3]42根构件  '!$T$46/(0.05*'[3]43根构件   '!$X$46+0.95*'[3]43根构件   '!$T$46)</f>
        <v>0.95975985721239676</v>
      </c>
      <c r="AM193" s="21"/>
    </row>
    <row r="194" spans="1:39" x14ac:dyDescent="0.2">
      <c r="K194" s="1">
        <v>0.1</v>
      </c>
      <c r="L194">
        <f>'[1]16根构件  '!$D$13/'[1]17根构件  '!$D$13</f>
        <v>1</v>
      </c>
      <c r="AE194" s="30">
        <v>44</v>
      </c>
      <c r="AH194">
        <f>'[3]43根构件   '!$T$46/(0.05*'[3]44根构件 '!$X$46+0.95*'[3]44根构件 '!$T$46)</f>
        <v>1.0476676013255162</v>
      </c>
      <c r="AI194">
        <f>(AH189+AH190+AH191+AH192+AH193+AH194)/6</f>
        <v>1.025023950202965</v>
      </c>
      <c r="AM194" s="21"/>
    </row>
    <row r="195" spans="1:39" x14ac:dyDescent="0.2">
      <c r="K195" s="1">
        <v>0.3</v>
      </c>
      <c r="L195">
        <f>'[1]16根构件  '!$V$13/'[1]17根构件  '!$V$13</f>
        <v>1</v>
      </c>
      <c r="AE195" s="30">
        <v>45</v>
      </c>
      <c r="AH195" s="5">
        <f>'[3]44根构件 '!$T$46/(0.05*'[3]45根构件  '!$X$46+0.95*'[3]45根构件  '!$T$46)</f>
        <v>1.0138685502627272</v>
      </c>
      <c r="AM195" s="21"/>
    </row>
    <row r="196" spans="1:39" ht="18" x14ac:dyDescent="0.25">
      <c r="A196" s="2" t="s">
        <v>53</v>
      </c>
      <c r="B196" s="2"/>
      <c r="C196" s="2"/>
      <c r="D196" s="2"/>
      <c r="E196" s="2"/>
      <c r="F196" s="3"/>
      <c r="G196" s="3"/>
      <c r="H196" s="3"/>
      <c r="K196" s="1">
        <v>0.5</v>
      </c>
      <c r="L196">
        <f>'[1]16根构件  '!$D$34/'[1]17根构件  '!$D$34</f>
        <v>1</v>
      </c>
      <c r="AE196" s="30">
        <v>46</v>
      </c>
      <c r="AH196">
        <f>'[3]45根构件  '!$T$46/(0.05*'[3]46根构件 '!$X$46+0.95*'[3]46根构件 '!$T$46)</f>
        <v>1.0850247872041905</v>
      </c>
      <c r="AM196" s="21"/>
    </row>
    <row r="197" spans="1:39" x14ac:dyDescent="0.2">
      <c r="A197" t="s">
        <v>0</v>
      </c>
      <c r="B197" t="s">
        <v>1</v>
      </c>
      <c r="C197" t="s">
        <v>2</v>
      </c>
      <c r="D197" s="1" t="s">
        <v>43</v>
      </c>
      <c r="K197" s="1">
        <v>0.7</v>
      </c>
      <c r="L197">
        <f>'[1]16根构件  '!$V$34/'[1]17根构件  '!$V$34</f>
        <v>1.0174943566591421</v>
      </c>
      <c r="N197" s="12">
        <f>'[1]16根构件  '!$T$46/'[1]17根构件  '!$T$46</f>
        <v>0.8529411764705882</v>
      </c>
      <c r="AE197" s="30">
        <v>47</v>
      </c>
      <c r="AH197" s="4">
        <f>'[3]46根构件 '!$T$46/(0.05*'[3]47根构件  '!$X$46+0.95*'[3]47根构件  '!$T$46)</f>
        <v>0.9739400301218567</v>
      </c>
      <c r="AM197" s="21"/>
    </row>
    <row r="198" spans="1:39" x14ac:dyDescent="0.2">
      <c r="A198" s="1">
        <v>0.1</v>
      </c>
      <c r="B198">
        <f>'[1]12根构件'!$D$13/(0.05*'[1]13根构件'!$H$13+0.95*'[1]13根构件'!$D$13)</f>
        <v>0.98741330593372734</v>
      </c>
      <c r="K198" s="1">
        <v>0.9</v>
      </c>
      <c r="L198">
        <f>'[1]16根构件  '!$D$54/'[1]17根构件  '!$D$54</f>
        <v>1.0072295378259748</v>
      </c>
      <c r="N198" s="12">
        <f>'[1]16根构件  '!$B$66/'[1]17根构件  '!$B$66</f>
        <v>1.0551248923341947</v>
      </c>
      <c r="AE198" s="30">
        <v>48</v>
      </c>
      <c r="AH198" s="5">
        <f>'[3]47根构件  '!$T$46/(0.05*'[3]48根构件 '!$X$46+0.95*'[3]48根构件 '!$T$46)</f>
        <v>1.1213807894602461</v>
      </c>
      <c r="AM198" s="21"/>
    </row>
    <row r="199" spans="1:39" x14ac:dyDescent="0.2">
      <c r="A199" s="1">
        <v>0.3</v>
      </c>
      <c r="B199">
        <f>'[1]12根构件'!$V$13/(0.05*'[1]13根构件'!$Z$13+0.95*'[1]13根构件'!$V$13)</f>
        <v>0.99157768543823477</v>
      </c>
      <c r="AE199" s="30">
        <v>49</v>
      </c>
      <c r="AH199" s="4">
        <f>'[3]48根构件 '!$T$46/(0.05*'[3]49根构件  '!$X$46+0.95*'[3]49根构件  '!$T$46)</f>
        <v>0.98433552299140981</v>
      </c>
      <c r="AM199" s="21"/>
    </row>
    <row r="200" spans="1:39" ht="15" thickBot="1" x14ac:dyDescent="0.25">
      <c r="A200" s="1">
        <v>0.5</v>
      </c>
      <c r="B200">
        <f>'[1]12根构件'!$D$34/(0.05*'[1]13根构件'!$H$34+0.95*'[1]13根构件'!$D$34)</f>
        <v>1.0000000000000002</v>
      </c>
      <c r="D200">
        <f>'[1]12根构件'!$B$46/(0.05*'[1]13根构件'!$F$46+0.95*'[1]13根构件'!$B$46)</f>
        <v>1.3559322033898304</v>
      </c>
      <c r="AE200" s="31">
        <v>50</v>
      </c>
      <c r="AF200" s="23"/>
      <c r="AG200" s="23"/>
      <c r="AH200" s="38">
        <f>'[3]49根构件  '!$T$46/(0.05*'[3]50根构件 '!$X$46+0.95*'[3]50根构件 '!$T$46)</f>
        <v>0.97742495658645501</v>
      </c>
      <c r="AI200" s="23">
        <f>(AH195+AH196+AH197+AH198+AH199+AH200)/6</f>
        <v>1.0259957727711475</v>
      </c>
      <c r="AJ200" s="23"/>
      <c r="AK200" s="23"/>
      <c r="AL200" s="23"/>
      <c r="AM200" s="24"/>
    </row>
    <row r="201" spans="1:39" ht="18.75" thickTop="1" x14ac:dyDescent="0.25">
      <c r="A201" s="1">
        <v>0.7</v>
      </c>
      <c r="B201">
        <f>'[1]12根构件'!$V$34/(0.05*'[1]13根构件'!$Z$34+0.95*'[1]13根构件'!$V$34)</f>
        <v>1.0042869235180076</v>
      </c>
      <c r="D201">
        <f>'[1]12根构件'!$T$46/(0.05*'[1]13根构件'!$X$46+0.95*'[1]13根构件'!$T$46)</f>
        <v>1.0603290676416821</v>
      </c>
      <c r="K201" s="2" t="s">
        <v>66</v>
      </c>
      <c r="L201" s="2"/>
      <c r="M201" s="2"/>
      <c r="N201" s="2"/>
      <c r="O201" s="2"/>
      <c r="P201" s="3"/>
      <c r="Q201" s="3"/>
      <c r="R201" s="3"/>
    </row>
    <row r="202" spans="1:39" x14ac:dyDescent="0.2">
      <c r="A202" s="1">
        <v>0.9</v>
      </c>
      <c r="B202">
        <f>'[1]12根构件'!$D$54/(0.05*'[1]13根构件'!$H$54+0.95*'[1]13根构件'!$D$54)</f>
        <v>1.0032857323391888</v>
      </c>
      <c r="D202">
        <f>'[1]12根构件'!$B$66/(0.05*'[1]13根构件'!$G$66+0.95*'[1]13根构件'!$B$66)</f>
        <v>1.064674632386271</v>
      </c>
      <c r="K202" t="s">
        <v>0</v>
      </c>
      <c r="L202" t="s">
        <v>1</v>
      </c>
      <c r="M202" t="s">
        <v>2</v>
      </c>
      <c r="N202" s="1" t="s">
        <v>43</v>
      </c>
    </row>
    <row r="203" spans="1:39" x14ac:dyDescent="0.2">
      <c r="K203" s="1">
        <v>0.1</v>
      </c>
      <c r="L203">
        <f>'[1]20根构件'!$D$13/'[1]21根构件 '!$D$13</f>
        <v>1</v>
      </c>
    </row>
    <row r="204" spans="1:39" ht="15" thickBot="1" x14ac:dyDescent="0.25">
      <c r="K204" s="1">
        <v>0.3</v>
      </c>
      <c r="L204">
        <f>'[1]20根构件'!$V$13/'[1]21根构件 '!$V$13</f>
        <v>1</v>
      </c>
    </row>
    <row r="205" spans="1:39" ht="18.75" thickTop="1" x14ac:dyDescent="0.25">
      <c r="A205" s="2" t="s">
        <v>54</v>
      </c>
      <c r="B205" s="2"/>
      <c r="C205" s="2"/>
      <c r="D205" s="2"/>
      <c r="E205" s="2"/>
      <c r="F205" s="3"/>
      <c r="G205" s="3"/>
      <c r="H205" s="3"/>
      <c r="K205" s="1">
        <v>0.5</v>
      </c>
      <c r="L205">
        <f>'[1]20根构件'!$D$34/'[1]21根构件 '!$D$34</f>
        <v>1.0160384923817161</v>
      </c>
      <c r="N205">
        <f>'[1]20根构件'!$B$46/'[1]21根构件 '!$B$46</f>
        <v>2</v>
      </c>
      <c r="AE205" s="32" t="s">
        <v>99</v>
      </c>
      <c r="AF205" s="33"/>
      <c r="AG205" s="33"/>
      <c r="AH205" s="33"/>
      <c r="AI205" s="33"/>
      <c r="AJ205" s="34"/>
      <c r="AK205" s="34"/>
      <c r="AL205" s="39"/>
      <c r="AM205" s="35"/>
    </row>
    <row r="206" spans="1:39" x14ac:dyDescent="0.2">
      <c r="A206" t="s">
        <v>0</v>
      </c>
      <c r="B206" t="s">
        <v>1</v>
      </c>
      <c r="C206" t="s">
        <v>2</v>
      </c>
      <c r="D206" s="1" t="s">
        <v>43</v>
      </c>
      <c r="K206" s="1">
        <v>0.7</v>
      </c>
      <c r="L206">
        <f>'[1]20根构件'!$V$34/'[1]21根构件 '!$V$34</f>
        <v>1.0023161551823974</v>
      </c>
      <c r="N206">
        <f>'[1]20根构件'!$T$46/'[1]21根构件 '!$T$46</f>
        <v>1.3750000000000002</v>
      </c>
      <c r="AE206" s="30" t="s">
        <v>7</v>
      </c>
      <c r="AF206" t="s">
        <v>1</v>
      </c>
      <c r="AG206" t="s">
        <v>2</v>
      </c>
      <c r="AH206" s="1" t="s">
        <v>43</v>
      </c>
      <c r="AM206" s="21"/>
    </row>
    <row r="207" spans="1:39" x14ac:dyDescent="0.2">
      <c r="A207" s="1">
        <v>0.1</v>
      </c>
      <c r="B207">
        <f>'[1]16根构件  '!$D$13/(0.05*'[1]17根构件  '!$H$13+0.95*'[1]17根构件  '!$D$13)</f>
        <v>0.99033878655159102</v>
      </c>
      <c r="K207" s="1">
        <v>0.9</v>
      </c>
      <c r="L207">
        <f>'[1]20根构件'!$D$54/'[1]21根构件 '!$D$54</f>
        <v>1.0035220453952518</v>
      </c>
      <c r="N207">
        <f>'[1]20根构件'!$B$66/'[1]21根构件 '!$B$66</f>
        <v>1.0852244074634392</v>
      </c>
      <c r="AE207" s="30">
        <v>9</v>
      </c>
      <c r="AH207">
        <f>'[3]8根构件开始'!$T$46/(0.05*'[3]9根构件'!$X$46+0.95*'[3]9根构件'!$T$46)</f>
        <v>1.1646432585310427</v>
      </c>
      <c r="AM207" s="21"/>
    </row>
    <row r="208" spans="1:39" x14ac:dyDescent="0.2">
      <c r="A208" s="1">
        <v>0.3</v>
      </c>
      <c r="B208">
        <f>'[1]16根构件  '!$V$13/(0.05*'[1]17根构件  '!$Z$13+0.95*'[1]17根构件  '!$V$13)</f>
        <v>0.99350556811010005</v>
      </c>
      <c r="AE208" s="30">
        <v>10</v>
      </c>
      <c r="AH208">
        <f>'[3]9根构件'!$T$46/(0.05*'[3]10根构件'!$X$46+0.95*'[3]10根构件'!$T$46)</f>
        <v>1.1616890994165561</v>
      </c>
      <c r="AM208" s="21"/>
    </row>
    <row r="209" spans="1:39" x14ac:dyDescent="0.2">
      <c r="A209" s="1">
        <v>0.5</v>
      </c>
      <c r="B209">
        <f>'[1]16根构件  '!$D$34/(0.05*'[1]17根构件  '!$H$34+0.95*'[1]17根构件  '!$D$34)</f>
        <v>1.0000000000000002</v>
      </c>
      <c r="AE209" s="29"/>
      <c r="AM209" s="21"/>
    </row>
    <row r="210" spans="1:39" ht="18" x14ac:dyDescent="0.25">
      <c r="A210" s="1">
        <v>0.7</v>
      </c>
      <c r="B210">
        <f>'[1]16根构件  '!$V$34/(0.05*'[1]17根构件  '!$Z$34+0.95*'[1]17根构件  '!$V$34)</f>
        <v>1.0140037118272314</v>
      </c>
      <c r="D210">
        <f>'[1]16根构件  '!$T$46/(0.05*'[1]17根构件  '!$X$46+0.95*'[1]17根构件  '!$T$46)</f>
        <v>0.85377821393523057</v>
      </c>
      <c r="K210" s="2" t="s">
        <v>67</v>
      </c>
      <c r="L210" s="2"/>
      <c r="M210" s="2"/>
      <c r="N210" s="2"/>
      <c r="O210" s="2"/>
      <c r="P210" s="3"/>
      <c r="Q210" s="3"/>
      <c r="R210" s="3"/>
      <c r="AE210" s="30">
        <v>11</v>
      </c>
      <c r="AH210">
        <f>'[3]10根构件'!$T$46/(0.05*'[3]11根构件 '!$X$46+0.95*'[3]11根构件 '!$T$46)</f>
        <v>1.1015305713598846</v>
      </c>
      <c r="AM210" s="21"/>
    </row>
    <row r="211" spans="1:39" x14ac:dyDescent="0.2">
      <c r="A211" s="1">
        <v>0.9</v>
      </c>
      <c r="B211">
        <f>'[1]16根构件  '!$D$54/(0.05*'[1]17根构件  '!$H$54+0.95*'[1]17根构件  '!$D$54)</f>
        <v>1.0047520315256726</v>
      </c>
      <c r="D211">
        <f>'[1]16根构件  '!$B$66/(0.05*'[1]17根构件  '!$G$66+0.95*'[1]17根构件  '!$B$66)</f>
        <v>1.0518181427896793</v>
      </c>
      <c r="K211" t="s">
        <v>0</v>
      </c>
      <c r="L211" t="s">
        <v>1</v>
      </c>
      <c r="M211" t="s">
        <v>2</v>
      </c>
      <c r="N211" s="1" t="s">
        <v>43</v>
      </c>
      <c r="AE211" s="30">
        <v>12</v>
      </c>
      <c r="AH211">
        <f>'[3]11根构件 '!$T$46/(0.05*'[3]12根构件'!$X$46+0.95*'[3]12根构件'!$T$46)</f>
        <v>1.103298695988409</v>
      </c>
      <c r="AM211" s="21"/>
    </row>
    <row r="212" spans="1:39" x14ac:dyDescent="0.2">
      <c r="K212" s="1">
        <v>0.1</v>
      </c>
      <c r="L212">
        <f>'[1]24根构件 '!$D$13/'[1]25根构件 '!$D$13</f>
        <v>1</v>
      </c>
      <c r="AE212" s="30">
        <v>13</v>
      </c>
      <c r="AH212">
        <f>'[3]12根构件'!$T$46/(0.05*'[3]13根构件'!$X$46+0.95*'[3]13根构件'!$T$46)</f>
        <v>1.1206051267684549</v>
      </c>
      <c r="AM212" s="21"/>
    </row>
    <row r="213" spans="1:39" x14ac:dyDescent="0.2">
      <c r="K213" s="1">
        <v>0.3</v>
      </c>
      <c r="L213">
        <f>'[1]24根构件 '!$V$13/'[1]25根构件 '!$V$13</f>
        <v>1</v>
      </c>
      <c r="AE213" s="30">
        <v>14</v>
      </c>
      <c r="AH213">
        <f>'[3]13根构件'!$T$46/(0.05*'[3]14根构件'!$X$46+0.95*'[3]14根构件'!$T$46)</f>
        <v>1.1241921634202559</v>
      </c>
      <c r="AM213" s="21"/>
    </row>
    <row r="214" spans="1:39" ht="18" x14ac:dyDescent="0.25">
      <c r="A214" s="2" t="s">
        <v>55</v>
      </c>
      <c r="B214" s="2"/>
      <c r="C214" s="2"/>
      <c r="D214" s="2"/>
      <c r="E214" s="2"/>
      <c r="F214" s="3"/>
      <c r="G214" s="3"/>
      <c r="H214" s="3"/>
      <c r="K214" s="1">
        <v>0.5</v>
      </c>
      <c r="L214">
        <f>'[1]24根构件 '!$D$34/'[1]25根构件 '!$D$34</f>
        <v>1.0058203991130821</v>
      </c>
      <c r="AE214" s="30">
        <v>15</v>
      </c>
      <c r="AH214">
        <f>'[3]14根构件'!$T$46/(0.05*'[3]15根构件 '!$X$46+0.95*'[3]15根构件 '!$T$46)</f>
        <v>1.0726311311007113</v>
      </c>
      <c r="AI214">
        <f>(AH210+AH211+AH212+AH213+AH214)/5</f>
        <v>1.104451537727543</v>
      </c>
      <c r="AM214" s="21"/>
    </row>
    <row r="215" spans="1:39" x14ac:dyDescent="0.2">
      <c r="A215" t="s">
        <v>0</v>
      </c>
      <c r="B215" t="s">
        <v>1</v>
      </c>
      <c r="C215" t="s">
        <v>2</v>
      </c>
      <c r="D215" s="1" t="s">
        <v>43</v>
      </c>
      <c r="K215" s="1">
        <v>0.7</v>
      </c>
      <c r="L215">
        <f>'[1]24根构件 '!$V$34/'[1]25根构件 '!$V$34</f>
        <v>1.0058997050147493</v>
      </c>
      <c r="N215" s="12">
        <f>'[1]24根构件 '!$T$46/'[1]25根构件 '!$T$46</f>
        <v>1.3250000000000002</v>
      </c>
      <c r="AE215" s="30">
        <v>16</v>
      </c>
      <c r="AH215">
        <f>'[3]15根构件 '!$T$46/(0.05*'[3]16根构件  '!$X$46+0.95*'[3]16根构件  '!$T$46)</f>
        <v>1.0511604051801513</v>
      </c>
      <c r="AM215" s="21"/>
    </row>
    <row r="216" spans="1:39" x14ac:dyDescent="0.2">
      <c r="A216" s="1">
        <v>0.1</v>
      </c>
      <c r="B216">
        <f>'[1]20根构件'!$D$13/(0.05*'[1]21根构件 '!$H$13+0.95*'[1]21根构件 '!$D$13)</f>
        <v>0.99217923237746186</v>
      </c>
      <c r="K216" s="1">
        <v>0.9</v>
      </c>
      <c r="L216">
        <f>'[1]24根构件 '!$D$54/'[1]25根构件 '!$D$54</f>
        <v>1.0018387181507749</v>
      </c>
      <c r="N216" s="12">
        <f>'[1]24根构件 '!$B$66/'[1]25根构件 '!$B$66</f>
        <v>1.0603400987383433</v>
      </c>
      <c r="AE216" s="30">
        <v>17</v>
      </c>
      <c r="AH216">
        <f>'[3]16根构件  '!$T$46/(0.05*'[3]17根构件  '!$X$46+0.95*'[3]17根构件  '!$T$46)</f>
        <v>1.0797542609105657</v>
      </c>
      <c r="AM216" s="21"/>
    </row>
    <row r="217" spans="1:39" x14ac:dyDescent="0.2">
      <c r="A217" s="1">
        <v>0.3</v>
      </c>
      <c r="B217">
        <f>'[1]20根构件'!$V$13/(0.05*'[1]21根构件 '!$Z$13+0.95*'[1]21根构件 '!$V$13)</f>
        <v>1.0000000000000002</v>
      </c>
      <c r="AE217" s="30">
        <v>18</v>
      </c>
      <c r="AH217">
        <f>'[3]17根构件  '!$T$46/(0.05*'[3]18根构件  '!$X$46+0.95*'[3]18根构件  '!$T$46)</f>
        <v>1.0950683846599045</v>
      </c>
      <c r="AM217" s="21"/>
    </row>
    <row r="218" spans="1:39" x14ac:dyDescent="0.2">
      <c r="A218" s="1">
        <v>0.5</v>
      </c>
      <c r="B218">
        <f>'[1]20根构件'!$D$34/(0.05*'[1]21根构件 '!$H$34+0.95*'[1]21根构件 '!$D$34)</f>
        <v>1.0122907706033528</v>
      </c>
      <c r="D218">
        <f>'[1]20根构件'!$B$46/(0.05*'[1]21根构件 '!$F$46+0.95*'[1]21根构件 '!$B$46)</f>
        <v>1.9047619047619049</v>
      </c>
      <c r="AE218" s="30">
        <v>19</v>
      </c>
      <c r="AH218">
        <f>'[3]18根构件  '!$T$46/(0.05*'[3]19根构件'!$X$46+0.95*'[3]19根构件'!$T$46)</f>
        <v>1.0832079620414303</v>
      </c>
      <c r="AM218" s="21"/>
    </row>
    <row r="219" spans="1:39" ht="18" x14ac:dyDescent="0.25">
      <c r="A219" s="1">
        <v>0.7</v>
      </c>
      <c r="B219">
        <f>'[1]20根构件'!$V$34/(0.05*'[1]21根构件 '!$Z$34+0.95*'[1]21根构件 '!$V$34)</f>
        <v>0.99956691208315296</v>
      </c>
      <c r="D219">
        <f>'[1]20根构件'!$T$46/(0.05*'[1]21根构件 '!$X$46+0.95*'[1]21根构件 '!$T$46)</f>
        <v>1.3608247422680415</v>
      </c>
      <c r="K219" s="2" t="s">
        <v>68</v>
      </c>
      <c r="L219" s="2"/>
      <c r="M219" s="2"/>
      <c r="N219" s="2"/>
      <c r="O219" s="2"/>
      <c r="P219" s="3"/>
      <c r="Q219" s="3"/>
      <c r="R219" s="3"/>
      <c r="AE219" s="30">
        <v>20</v>
      </c>
      <c r="AH219" s="5">
        <f>'[3]19根构件'!$T$46/(0.05*'[3]20根构件'!$X$46+0.95*'[3]20根构件'!$T$46)</f>
        <v>1.0130411400914225</v>
      </c>
      <c r="AI219">
        <f>SUM(AH215:AH219)/5</f>
        <v>1.064446430576695</v>
      </c>
      <c r="AM219" s="21"/>
    </row>
    <row r="220" spans="1:39" x14ac:dyDescent="0.2">
      <c r="A220" s="1">
        <v>0.9</v>
      </c>
      <c r="B220">
        <f>'[1]20根构件'!$D$54/(0.05*'[1]21根构件 '!$H$54+0.95*'[1]21根构件 '!$D$54)</f>
        <v>1.0015557768794632</v>
      </c>
      <c r="D220">
        <f>'[1]20根构件'!$B$66/(0.05*'[1]21根构件 '!$G$66+0.95*'[1]21根构件 '!$B$66)</f>
        <v>1.0803484023193353</v>
      </c>
      <c r="K220" t="s">
        <v>0</v>
      </c>
      <c r="L220" t="s">
        <v>1</v>
      </c>
      <c r="M220" t="s">
        <v>2</v>
      </c>
      <c r="N220" s="1" t="s">
        <v>43</v>
      </c>
      <c r="AE220" s="30">
        <v>21</v>
      </c>
      <c r="AH220">
        <f>'[3]20根构件'!$T$46/(0.05*'[3]21根构件 '!$X$46+0.95*'[3]21根构件 '!$T$46)</f>
        <v>1.0528928843732821</v>
      </c>
      <c r="AM220" s="21"/>
    </row>
    <row r="221" spans="1:39" x14ac:dyDescent="0.2">
      <c r="K221" s="1">
        <v>0.1</v>
      </c>
      <c r="L221">
        <f>'[1]28根构件'!$D$13/'[1]29根构件 '!$D$13</f>
        <v>1</v>
      </c>
      <c r="AE221" s="30">
        <v>22</v>
      </c>
      <c r="AH221">
        <f>'[3]21根构件 '!$T$46/(0.05*'[3]22根构件 '!$X$46+0.95*'[3]22根构件 '!$T$46)</f>
        <v>1.0752606201520845</v>
      </c>
      <c r="AM221" s="21"/>
    </row>
    <row r="222" spans="1:39" x14ac:dyDescent="0.2">
      <c r="K222" s="1">
        <v>0.3</v>
      </c>
      <c r="L222">
        <f>'[1]28根构件'!$V$13/'[1]29根构件 '!$V$13</f>
        <v>1</v>
      </c>
      <c r="AE222" s="30">
        <v>23</v>
      </c>
      <c r="AH222">
        <f>'[3]22根构件 '!$T$46/(0.05*'[3]23根构件'!$X$46+0.95*'[3]23根构件'!$T$46)</f>
        <v>1.0725307065050786</v>
      </c>
      <c r="AM222" s="21"/>
    </row>
    <row r="223" spans="1:39" ht="18" x14ac:dyDescent="0.25">
      <c r="A223" s="2" t="s">
        <v>56</v>
      </c>
      <c r="B223" s="2"/>
      <c r="C223" s="2"/>
      <c r="D223" s="2"/>
      <c r="E223" s="2"/>
      <c r="F223" s="3"/>
      <c r="G223" s="3"/>
      <c r="H223" s="3"/>
      <c r="K223" s="1">
        <v>0.5</v>
      </c>
      <c r="L223">
        <f>'[1]28根构件'!$D$34/'[1]29根构件 '!$D$34</f>
        <v>1.0016830294530155</v>
      </c>
      <c r="AE223" s="30">
        <v>24</v>
      </c>
      <c r="AH223">
        <f>'[3]23根构件'!$T$46/(0.05*'[3]24根构件 '!$X$46+0.95*'[3]24根构件 '!$T$46)</f>
        <v>1.096980046737372</v>
      </c>
      <c r="AM223" s="21"/>
    </row>
    <row r="224" spans="1:39" x14ac:dyDescent="0.2">
      <c r="A224" t="s">
        <v>0</v>
      </c>
      <c r="B224" t="s">
        <v>1</v>
      </c>
      <c r="C224" t="s">
        <v>2</v>
      </c>
      <c r="D224" s="1" t="s">
        <v>43</v>
      </c>
      <c r="K224" s="1">
        <v>0.7</v>
      </c>
      <c r="L224">
        <f>'[1]28根构件'!$V$34/'[1]29根构件 '!$V$34</f>
        <v>1.0005948839976204</v>
      </c>
      <c r="AE224" s="30">
        <v>25</v>
      </c>
      <c r="AH224" s="4">
        <f>'[3]24根构件 '!$T$46/(0.05*'[3]25根构件 '!$X$46+0.95*0.0002203)</f>
        <v>1.0020139847480256</v>
      </c>
      <c r="AI224">
        <f>SUM(AH220:AH224)/5</f>
        <v>1.0599356485031683</v>
      </c>
      <c r="AM224" s="21"/>
    </row>
    <row r="225" spans="1:39" x14ac:dyDescent="0.2">
      <c r="A225" s="1">
        <v>0.1</v>
      </c>
      <c r="B225">
        <f>'[1]24根构件 '!$D$13/(0.05*'[1]25根构件 '!$H$13+0.95*'[1]25根构件 '!$D$13)</f>
        <v>0.99341000129215662</v>
      </c>
      <c r="K225" s="1">
        <v>0.9</v>
      </c>
      <c r="L225">
        <f>'[1]28根构件'!$D$54/'[1]29根构件 '!$D$54</f>
        <v>1.0009238484888479</v>
      </c>
      <c r="AE225" s="30">
        <v>26</v>
      </c>
      <c r="AH225">
        <f>'[3]25根构件 '!$T$46/(0.05*'[3]26根构件'!$X$46+0.95*'[3]26根构件'!$T$46)</f>
        <v>1.0394942496559125</v>
      </c>
      <c r="AM225" s="21"/>
    </row>
    <row r="226" spans="1:39" x14ac:dyDescent="0.2">
      <c r="A226" s="1">
        <v>0.3</v>
      </c>
      <c r="B226">
        <f>'[1]24根构件 '!$V$13/(0.05*'[1]25根构件 '!$Z$13+0.95*'[1]25根构件 '!$V$13)</f>
        <v>1.0000000000000002</v>
      </c>
      <c r="AE226" s="30">
        <v>27</v>
      </c>
      <c r="AH226">
        <f>'[3]26根构件'!$T$46/(0.05*'[3]27根构件'!$X$46+0.95*'[3]27根构件'!$T$46)</f>
        <v>1.0784759020943731</v>
      </c>
      <c r="AM226" s="21"/>
    </row>
    <row r="227" spans="1:39" x14ac:dyDescent="0.2">
      <c r="A227" s="1">
        <v>0.5</v>
      </c>
      <c r="B227">
        <f>'[1]24根构件 '!$D$34/(0.05*'[1]25根构件 '!$H$34+0.95*'[1]25根构件 '!$D$34)</f>
        <v>1.0026523733215451</v>
      </c>
      <c r="AE227" s="30">
        <v>28</v>
      </c>
      <c r="AH227" s="5">
        <f>'[3]27根构件'!$T$46/(0.05*'[3]28根构件'!$X$46+0.95*'[3]28根构件'!$T$46)</f>
        <v>1.0180716706027313</v>
      </c>
      <c r="AM227" s="21"/>
    </row>
    <row r="228" spans="1:39" ht="18" x14ac:dyDescent="0.25">
      <c r="A228" s="1">
        <v>0.7</v>
      </c>
      <c r="B228">
        <f>'[1]24根构件 '!$V$34/(0.05*'[1]25根构件 '!$Z$34+0.95*'[1]25根构件 '!$V$34)</f>
        <v>1.0035610229847849</v>
      </c>
      <c r="D228">
        <f>'[1]24根构件 '!$T$46/(0.05*'[1]25根构件 '!$X$46+0.95*'[1]25根构件 '!$T$46)</f>
        <v>1.305418719211823</v>
      </c>
      <c r="K228" s="2" t="s">
        <v>69</v>
      </c>
      <c r="L228" s="2"/>
      <c r="M228" s="2"/>
      <c r="N228" s="2"/>
      <c r="O228" s="2"/>
      <c r="P228" s="3"/>
      <c r="Q228" s="3"/>
      <c r="R228" s="3"/>
      <c r="AE228" s="30">
        <v>29</v>
      </c>
      <c r="AH228">
        <f>'[3]28根构件'!$T$46/(0.05*'[3]29根构件 '!$X$46+0.95*'[3]29根构件 '!$T$46)</f>
        <v>1.0563170036639977</v>
      </c>
      <c r="AM228" s="21"/>
    </row>
    <row r="229" spans="1:39" x14ac:dyDescent="0.2">
      <c r="A229" s="1">
        <v>0.9</v>
      </c>
      <c r="B229">
        <f>'[1]24根构件 '!$D$54/(0.05*'[1]25根构件 '!$H$54+0.95*'[1]25根构件 '!$D$54)</f>
        <v>1.000203240039599</v>
      </c>
      <c r="D229">
        <f>'[1]24根构件 '!$B$66/(0.05*'[1]25根构件 '!$G$66+0.95*'[1]25根构件 '!$B$66)</f>
        <v>1.0591490644091943</v>
      </c>
      <c r="K229" t="s">
        <v>0</v>
      </c>
      <c r="L229" t="s">
        <v>1</v>
      </c>
      <c r="M229" t="s">
        <v>2</v>
      </c>
      <c r="N229" s="1" t="s">
        <v>43</v>
      </c>
      <c r="AE229" s="30">
        <v>30</v>
      </c>
      <c r="AH229" s="4">
        <f>'[3]29根构件 '!$T$46/(0.05*'[3]30根构件'!$X$46+0.95*0.00016928)</f>
        <v>1.080359453292244</v>
      </c>
      <c r="AI229">
        <f>SUM(AH225:AH229)/5</f>
        <v>1.0545436558618519</v>
      </c>
      <c r="AM229" s="21"/>
    </row>
    <row r="230" spans="1:39" x14ac:dyDescent="0.2">
      <c r="K230" s="1">
        <v>0.1</v>
      </c>
      <c r="L230">
        <f>'[1]32根构件'!$D$13/'[1]33根构件 '!$D$13</f>
        <v>1</v>
      </c>
      <c r="AE230" s="30">
        <v>31</v>
      </c>
      <c r="AH230" s="5">
        <f>'[3]30根构件'!$T$46/(0.05*'[3]31根构件 '!$X$46+0.95*'[3]31根构件 '!$T$46)</f>
        <v>1.0946667834311237</v>
      </c>
      <c r="AM230" s="21"/>
    </row>
    <row r="231" spans="1:39" x14ac:dyDescent="0.2">
      <c r="K231" s="1">
        <v>0.3</v>
      </c>
      <c r="L231">
        <f>'[1]32根构件'!$V$13/'[1]33根构件 '!$V$13</f>
        <v>1</v>
      </c>
      <c r="AE231" s="30">
        <v>32</v>
      </c>
      <c r="AH231">
        <f>'[3]31根构件 '!$T$46/(0.05*'[3]32根构件'!$X$46+0.95*'[3]32根构件'!$T$46)</f>
        <v>1.0552996816172606</v>
      </c>
      <c r="AM231" s="21"/>
    </row>
    <row r="232" spans="1:39" ht="18" x14ac:dyDescent="0.25">
      <c r="A232" s="2" t="s">
        <v>57</v>
      </c>
      <c r="B232" s="2"/>
      <c r="C232" s="2"/>
      <c r="D232" s="2"/>
      <c r="E232" s="2"/>
      <c r="F232" s="3"/>
      <c r="G232" s="3"/>
      <c r="H232" s="3"/>
      <c r="K232" s="1">
        <v>0.5</v>
      </c>
      <c r="L232">
        <f>'[1]32根构件'!$D$34/'[1]33根构件 '!$D$34</f>
        <v>1.0067892503536069</v>
      </c>
      <c r="AE232" s="30">
        <v>33</v>
      </c>
      <c r="AH232" s="4">
        <f>'[3]32根构件'!$T$46/(0.05*'[3]33根构件 '!$X$46+0.95*0.00016113)</f>
        <v>1.0033705032724691</v>
      </c>
      <c r="AM232" s="21"/>
    </row>
    <row r="233" spans="1:39" x14ac:dyDescent="0.2">
      <c r="A233" t="s">
        <v>0</v>
      </c>
      <c r="B233" t="s">
        <v>1</v>
      </c>
      <c r="C233" t="s">
        <v>2</v>
      </c>
      <c r="D233" s="1" t="s">
        <v>43</v>
      </c>
      <c r="K233" s="1">
        <v>0.7</v>
      </c>
      <c r="L233">
        <f>'[1]32根构件'!$V$34/'[1]33根构件 '!$V$34</f>
        <v>1.0024125452352233</v>
      </c>
      <c r="AE233" s="30">
        <v>34</v>
      </c>
      <c r="AH233">
        <f>'[3]33根构件 '!$T$46/(0.05*'[3]34根构件'!$X$46+0.95*'[3]34根构件'!$T$46)</f>
        <v>1.100601332683244</v>
      </c>
      <c r="AM233" s="21"/>
    </row>
    <row r="234" spans="1:39" x14ac:dyDescent="0.2">
      <c r="A234" s="1">
        <v>0.1</v>
      </c>
      <c r="B234">
        <f>'[1]28根构件'!$D$13/(0.05*'[1]29根构件 '!$H$13+0.95*'[1]29根构件 '!$D$13)</f>
        <v>0.99433508368038503</v>
      </c>
      <c r="K234" s="1">
        <v>0.9</v>
      </c>
      <c r="L234">
        <f>'[1]32根构件'!$D$54/'[1]33根构件 '!$D$54</f>
        <v>1.0003973509933775</v>
      </c>
      <c r="AE234" s="30">
        <v>35</v>
      </c>
      <c r="AH234" s="36">
        <f>'[3]34根构件'!$T$46/(0.05*'[3]35根构件 '!$X$46+0.95*0.000153623)</f>
        <v>1.0008670491059757</v>
      </c>
      <c r="AI234">
        <f>SUM(AH230:AH234)/5</f>
        <v>1.0509610700220144</v>
      </c>
      <c r="AM234" s="21"/>
    </row>
    <row r="235" spans="1:39" x14ac:dyDescent="0.2">
      <c r="A235" s="1">
        <v>0.3</v>
      </c>
      <c r="B235">
        <f>'[1]28根构件'!$V$13/(0.05*'[1]29根构件 '!$Z$13+0.95*'[1]29根构件 '!$V$13)</f>
        <v>0.99616232546746153</v>
      </c>
      <c r="AE235" s="30">
        <v>36</v>
      </c>
      <c r="AH235" s="5">
        <f>'[3]35根构件 '!$T$46/(0.05*'[3]36根构件 '!$X$46+0.95*'[3]36根构件 '!$T$46)</f>
        <v>1.0328165894906383</v>
      </c>
      <c r="AM235" s="21"/>
    </row>
    <row r="236" spans="1:39" x14ac:dyDescent="0.2">
      <c r="A236" s="1">
        <v>0.5</v>
      </c>
      <c r="B236">
        <f>'[1]28根构件'!$D$34/(0.05*'[1]29根构件 '!$H$34+0.95*'[1]29根构件 '!$D$34)</f>
        <v>0.9989370034687256</v>
      </c>
      <c r="AE236" s="30">
        <v>37</v>
      </c>
      <c r="AH236">
        <f>'[3]36根构件 '!$T$46/(0.05*'[3]37根构件  '!$X$46+0.95*'[3]37根构件  '!$T$46)</f>
        <v>1.064141504377345</v>
      </c>
      <c r="AM236" s="21"/>
    </row>
    <row r="237" spans="1:39" ht="18" x14ac:dyDescent="0.25">
      <c r="A237" s="1">
        <v>0.7</v>
      </c>
      <c r="B237">
        <f>'[1]28根构件'!$V$34/(0.05*'[1]29根构件 '!$Z$34+0.95*'[1]29根构件 '!$V$34)</f>
        <v>0.9986048030397483</v>
      </c>
      <c r="K237" s="2" t="s">
        <v>70</v>
      </c>
      <c r="L237" s="2"/>
      <c r="M237" s="2"/>
      <c r="N237" s="2"/>
      <c r="O237" s="2"/>
      <c r="P237" s="3"/>
      <c r="Q237" s="3"/>
      <c r="R237" s="3"/>
      <c r="AE237" s="30">
        <v>38</v>
      </c>
      <c r="AH237" s="5">
        <f>'[3]37根构件  '!$T$46/(0.05*'[3]38根构件  '!$X$46+0.95*'[3]38根构件  '!$T$46)</f>
        <v>1.0167760758570388</v>
      </c>
      <c r="AM237" s="21"/>
    </row>
    <row r="238" spans="1:39" x14ac:dyDescent="0.2">
      <c r="A238" s="1">
        <v>0.9</v>
      </c>
      <c r="B238">
        <f>'[1]28根构件'!$D$54/(0.05*'[1]29根构件 '!$H$54+0.95*'[1]29根构件 '!$D$54)</f>
        <v>0.99951895514421463</v>
      </c>
      <c r="K238" t="s">
        <v>0</v>
      </c>
      <c r="L238" t="s">
        <v>1</v>
      </c>
      <c r="M238" t="s">
        <v>2</v>
      </c>
      <c r="N238" s="1" t="s">
        <v>43</v>
      </c>
      <c r="AE238" s="30">
        <v>39</v>
      </c>
      <c r="AH238">
        <f>'[3]38根构件  '!$T$46/(0.05*'[3]39根构件   '!$X$46+0.95*'[3]39根构件   '!$T$46)</f>
        <v>1.0550599815441402</v>
      </c>
      <c r="AM238" s="21"/>
    </row>
    <row r="239" spans="1:39" x14ac:dyDescent="0.2">
      <c r="K239" s="1">
        <v>0.1</v>
      </c>
      <c r="L239">
        <f>'[1]36根构件 '!$D$13/'[1]37根构件  '!$D$13</f>
        <v>1</v>
      </c>
      <c r="AE239" s="30">
        <v>40</v>
      </c>
      <c r="AH239" s="4">
        <f>'[3]39根构件   '!$T$46/(0.05*'[3]40根构件  '!$X$46+0.95*0.0001250534)</f>
        <v>1.0338450441506792</v>
      </c>
      <c r="AI239">
        <f>SUM(AH235:AH239)/5</f>
        <v>1.0405278390839683</v>
      </c>
      <c r="AM239" s="21"/>
    </row>
    <row r="240" spans="1:39" x14ac:dyDescent="0.2">
      <c r="K240" s="1">
        <v>0.3</v>
      </c>
      <c r="L240">
        <f>'[1]36根构件 '!$V$13/'[1]37根构件  '!$V$13</f>
        <v>1</v>
      </c>
      <c r="AE240" s="30">
        <v>41</v>
      </c>
      <c r="AH240">
        <f>'[3]40根构件  '!$T$46/(0.05*'[3]41根构件  '!$X$46+0.95*'[3]41根构件  '!$T$46)</f>
        <v>1.0533887468030692</v>
      </c>
      <c r="AM240" s="21"/>
    </row>
    <row r="241" spans="1:39" ht="18" x14ac:dyDescent="0.25">
      <c r="A241" s="2" t="s">
        <v>58</v>
      </c>
      <c r="B241" s="2"/>
      <c r="C241" s="2"/>
      <c r="D241" s="2"/>
      <c r="E241" s="2"/>
      <c r="F241" s="3"/>
      <c r="G241" s="3"/>
      <c r="H241" s="3"/>
      <c r="K241" s="1">
        <v>0.5</v>
      </c>
      <c r="L241">
        <f>'[1]36根构件 '!$D$34/'[1]37根构件  '!$D$34</f>
        <v>1.0052356020942408</v>
      </c>
      <c r="AE241" s="30">
        <v>42</v>
      </c>
      <c r="AH241" s="5">
        <f>'[3]41根构件  '!$T$46/(0.05*'[3]42根构件  '!$X$46+0.95*'[3]42根构件  '!$T$46)</f>
        <v>1.0506361108770748</v>
      </c>
      <c r="AM241" s="21"/>
    </row>
    <row r="242" spans="1:39" x14ac:dyDescent="0.2">
      <c r="A242" t="s">
        <v>0</v>
      </c>
      <c r="B242" t="s">
        <v>1</v>
      </c>
      <c r="C242" t="s">
        <v>2</v>
      </c>
      <c r="D242" s="1" t="s">
        <v>43</v>
      </c>
      <c r="K242" s="1">
        <v>0.7</v>
      </c>
      <c r="L242">
        <f>'[1]36根构件 '!$V$34/'[1]37根构件  '!$V$34</f>
        <v>1.0024242424242424</v>
      </c>
      <c r="AE242" s="30">
        <v>43</v>
      </c>
      <c r="AH242" s="4">
        <f>'[3]42根构件  '!$T$46/(0.05*'[3]43根构件   '!$X$46+0.95*0.0001180364)</f>
        <v>1.0003417904917302</v>
      </c>
      <c r="AM242" s="21"/>
    </row>
    <row r="243" spans="1:39" x14ac:dyDescent="0.2">
      <c r="A243" s="1">
        <v>0.1</v>
      </c>
      <c r="B243">
        <f>'[1]32根构件'!$D$13/(0.05*'[1]33根构件 '!$H$13+0.95*'[1]33根构件 '!$D$13)</f>
        <v>1.0000000000000002</v>
      </c>
      <c r="K243" s="1">
        <v>0.9</v>
      </c>
      <c r="L243">
        <f>'[1]36根构件 '!$D$54/'[1]37根构件  '!$D$54</f>
        <v>1</v>
      </c>
      <c r="AE243" s="30">
        <v>44</v>
      </c>
      <c r="AH243">
        <f>'[3]43根构件   '!$T$46/(0.05*'[3]44根构件 '!$X$46+0.95*'[3]44根构件 '!$T$46)</f>
        <v>1.0476676013255162</v>
      </c>
      <c r="AM243" s="21"/>
    </row>
    <row r="244" spans="1:39" x14ac:dyDescent="0.2">
      <c r="A244" s="1">
        <v>0.3</v>
      </c>
      <c r="B244">
        <f>'[1]32根构件'!$V$13/(0.05*'[1]33根构件 '!$Z$13+0.95*'[1]33根构件 '!$V$13)</f>
        <v>1.0000000000000002</v>
      </c>
      <c r="AE244" s="30">
        <v>45</v>
      </c>
      <c r="AH244" s="5">
        <f>'[3]44根构件 '!$T$46/(0.05*'[3]45根构件  '!$X$46+0.95*'[3]45根构件  '!$T$46)</f>
        <v>1.0138685502627272</v>
      </c>
      <c r="AI244">
        <f>SUM(AH240:AH244)/5</f>
        <v>1.0331805599520236</v>
      </c>
      <c r="AM244" s="21"/>
    </row>
    <row r="245" spans="1:39" x14ac:dyDescent="0.2">
      <c r="A245" s="1">
        <v>0.5</v>
      </c>
      <c r="B245">
        <f>'[1]32根构件'!$D$34/(0.05*'[1]33根构件 '!$H$34+0.95*'[1]33根构件 '!$D$34)</f>
        <v>1.0044450716150428</v>
      </c>
      <c r="AE245" s="30">
        <v>46</v>
      </c>
      <c r="AH245">
        <f>'[3]45根构件  '!$T$46/(0.05*'[3]46根构件 '!$X$46+0.95*'[3]46根构件 '!$T$46)</f>
        <v>1.0850247872041905</v>
      </c>
      <c r="AM245" s="21"/>
    </row>
    <row r="246" spans="1:39" ht="18" x14ac:dyDescent="0.25">
      <c r="A246" s="1">
        <v>0.7</v>
      </c>
      <c r="B246">
        <f>'[1]32根构件'!$V$34/(0.05*'[1]33根构件 '!$Z$34+0.95*'[1]33根构件 '!$V$34)</f>
        <v>1.0006622915286894</v>
      </c>
      <c r="K246" s="2" t="s">
        <v>71</v>
      </c>
      <c r="L246" s="2"/>
      <c r="M246" s="2"/>
      <c r="N246" s="2"/>
      <c r="O246" s="2"/>
      <c r="P246" s="3"/>
      <c r="Q246" s="3"/>
      <c r="R246" s="3"/>
      <c r="AE246" s="30">
        <v>47</v>
      </c>
      <c r="AH246" s="4">
        <f>'[3]46根构件 '!$T$46/(0.05*'[3]47根构件  '!$X$46+0.95*0.0001066)</f>
        <v>1.0017368445758814</v>
      </c>
      <c r="AM246" s="21"/>
    </row>
    <row r="247" spans="1:39" x14ac:dyDescent="0.2">
      <c r="A247" s="1">
        <v>0.9</v>
      </c>
      <c r="B247">
        <f>'[1]32根构件'!$D$54/(0.05*'[1]33根构件 '!$H$54+0.95*'[1]33根构件 '!$D$54)</f>
        <v>0.99917319839931218</v>
      </c>
      <c r="D247">
        <f>'[1]32根构件'!$B$66:$B$66/(0.05*'[1]33根构件 '!$G$66+0.95*'[1]33根构件 '!$B$66)</f>
        <v>1.0048746296237296</v>
      </c>
      <c r="K247" t="s">
        <v>0</v>
      </c>
      <c r="L247" t="s">
        <v>1</v>
      </c>
      <c r="M247" t="s">
        <v>2</v>
      </c>
      <c r="N247" s="1" t="s">
        <v>43</v>
      </c>
      <c r="AE247" s="30">
        <v>48</v>
      </c>
      <c r="AH247" s="37">
        <f>'[3]47根构件  '!$T$46/(0.05*'[3]48根构件 '!$X$46+0.95*0.00010580241)</f>
        <v>1.0368537336359303</v>
      </c>
      <c r="AM247" s="21"/>
    </row>
    <row r="248" spans="1:39" x14ac:dyDescent="0.2">
      <c r="K248" s="1">
        <v>0.1</v>
      </c>
      <c r="L248">
        <f>'[1]40根构件  '!$D$13/'[1]41根构件  '!$D$13</f>
        <v>1</v>
      </c>
      <c r="AE248" s="30">
        <v>49</v>
      </c>
      <c r="AH248" s="4">
        <f>'[3]48根构件 '!$T$46/(0.05*'[3]49根构件  '!$X$46+0.95*0.0000960975)</f>
        <v>1.0075762179943906</v>
      </c>
      <c r="AM248" s="21"/>
    </row>
    <row r="249" spans="1:39" ht="15" thickBot="1" x14ac:dyDescent="0.25">
      <c r="K249" s="1">
        <v>0.3</v>
      </c>
      <c r="L249">
        <f>'[1]40根构件  '!$V$13/'[1]41根构件  '!$V$13</f>
        <v>1</v>
      </c>
      <c r="AE249" s="31">
        <v>50</v>
      </c>
      <c r="AF249" s="23"/>
      <c r="AG249" s="23"/>
      <c r="AH249" s="38">
        <f>'[3]49根构件  '!$T$46/(0.05*'[3]50根构件 '!$X$46+0.95*0.000097925)</f>
        <v>1.0017416066003075</v>
      </c>
      <c r="AI249" s="23">
        <f>SUM(AH245:AH249)/5</f>
        <v>1.0265866380021402</v>
      </c>
      <c r="AJ249" s="23"/>
      <c r="AK249" s="23"/>
      <c r="AL249" s="23"/>
      <c r="AM249" s="24"/>
    </row>
    <row r="250" spans="1:39" ht="18.75" thickTop="1" x14ac:dyDescent="0.25">
      <c r="A250" s="2" t="s">
        <v>59</v>
      </c>
      <c r="B250" s="2"/>
      <c r="C250" s="2"/>
      <c r="D250" s="2"/>
      <c r="E250" s="2"/>
      <c r="F250" s="3"/>
      <c r="G250" s="3"/>
      <c r="H250" s="3"/>
      <c r="K250" s="1">
        <v>0.5</v>
      </c>
      <c r="L250">
        <f>'[1]40根构件  '!$D$34/'[1]41根构件  '!$D$34</f>
        <v>1.0023577954612437</v>
      </c>
    </row>
    <row r="251" spans="1:39" x14ac:dyDescent="0.2">
      <c r="A251" t="s">
        <v>0</v>
      </c>
      <c r="B251" t="s">
        <v>1</v>
      </c>
      <c r="C251" t="s">
        <v>2</v>
      </c>
      <c r="D251" s="1" t="s">
        <v>43</v>
      </c>
      <c r="K251" s="1">
        <v>0.7</v>
      </c>
      <c r="L251">
        <f>'[1]40根构件  '!$V$34/'[1]41根构件  '!$V$34</f>
        <v>1.0012224938875305</v>
      </c>
    </row>
    <row r="252" spans="1:39" x14ac:dyDescent="0.2">
      <c r="A252" s="1">
        <v>0.1</v>
      </c>
      <c r="B252">
        <f>'[1]36根构件 '!$D$13/(0.05*'[1]37根构件  '!$H$13+0.95*'[1]37根构件  '!$D$13)</f>
        <v>1.0000000000000002</v>
      </c>
      <c r="K252" s="1">
        <v>0.9</v>
      </c>
      <c r="L252">
        <f>'[1]40根构件  '!$D$54/'[1]41根构件  '!$D$54</f>
        <v>1.0006660450246438</v>
      </c>
    </row>
    <row r="253" spans="1:39" x14ac:dyDescent="0.2">
      <c r="A253" s="1">
        <v>0.3</v>
      </c>
      <c r="B253">
        <f>'[1]36根构件 '!$V$13/(0.05*'[1]37根构件  '!$Z$13+0.95*'[1]37根构件  '!$V$13)</f>
        <v>1.0000000000000002</v>
      </c>
    </row>
    <row r="254" spans="1:39" x14ac:dyDescent="0.2">
      <c r="A254" s="1">
        <v>0.5</v>
      </c>
      <c r="B254">
        <f>'[1]36根构件 '!$D$34/(0.05*'[1]37根构件  '!$H$34+0.95*'[1]37根构件  '!$D$34)</f>
        <v>1.0031202380088529</v>
      </c>
    </row>
    <row r="255" spans="1:39" ht="18.75" thickBot="1" x14ac:dyDescent="0.3">
      <c r="A255" s="1">
        <v>0.7</v>
      </c>
      <c r="B255">
        <f>'[1]36根构件 '!$V$34/(0.05*'[1]37根构件  '!$Z$34+0.95*'[1]37根构件  '!$V$34)</f>
        <v>1.0008774318477507</v>
      </c>
      <c r="K255" s="2" t="s">
        <v>72</v>
      </c>
      <c r="L255" s="2"/>
      <c r="M255" s="2"/>
      <c r="N255" s="2"/>
      <c r="O255" s="2"/>
      <c r="P255" s="3"/>
      <c r="Q255" s="3"/>
      <c r="R255" s="3"/>
    </row>
    <row r="256" spans="1:39" ht="18.75" thickTop="1" x14ac:dyDescent="0.25">
      <c r="A256" s="1">
        <v>0.9</v>
      </c>
      <c r="B256">
        <f>'[1]36根构件 '!$D$54/(0.05*'[1]37根构件  '!$H$54+0.95*'[1]37根构件  '!$D$54)</f>
        <v>0.99891883287013405</v>
      </c>
      <c r="K256" t="s">
        <v>0</v>
      </c>
      <c r="L256" t="s">
        <v>1</v>
      </c>
      <c r="M256" t="s">
        <v>2</v>
      </c>
      <c r="N256" s="1" t="s">
        <v>43</v>
      </c>
      <c r="AE256" s="32" t="s">
        <v>99</v>
      </c>
      <c r="AF256" s="33"/>
      <c r="AG256" s="33"/>
      <c r="AH256" s="33"/>
      <c r="AI256" s="33"/>
      <c r="AJ256" s="34"/>
      <c r="AK256" s="34"/>
      <c r="AL256" s="39"/>
      <c r="AM256" s="35"/>
    </row>
    <row r="257" spans="1:39" x14ac:dyDescent="0.2">
      <c r="K257" s="1">
        <v>0.1</v>
      </c>
      <c r="L257">
        <f>'[1]44根构件 '!$D$13/'[1]45根构件  '!$D$13</f>
        <v>1</v>
      </c>
      <c r="AE257" s="30" t="s">
        <v>7</v>
      </c>
      <c r="AF257" t="s">
        <v>1</v>
      </c>
      <c r="AG257" t="s">
        <v>2</v>
      </c>
      <c r="AH257" s="1" t="s">
        <v>43</v>
      </c>
      <c r="AM257" s="21"/>
    </row>
    <row r="258" spans="1:39" x14ac:dyDescent="0.2">
      <c r="K258" s="1">
        <v>0.3</v>
      </c>
      <c r="L258">
        <f>'[1]44根构件 '!$V$13/'[1]45根构件  '!$V$13</f>
        <v>1.0135926390631536</v>
      </c>
      <c r="AE258" s="30">
        <v>9</v>
      </c>
      <c r="AH258">
        <f>'[3]8根构件开始'!$T$46/(0.05*'[3]9根构件'!$X$46+0.95*'[3]9根构件'!$T$46)</f>
        <v>1.1646432585310427</v>
      </c>
      <c r="AM258" s="21"/>
    </row>
    <row r="259" spans="1:39" ht="18" x14ac:dyDescent="0.25">
      <c r="A259" s="2" t="s">
        <v>60</v>
      </c>
      <c r="B259" s="2"/>
      <c r="C259" s="2"/>
      <c r="D259" s="2"/>
      <c r="E259" s="2"/>
      <c r="F259" s="3"/>
      <c r="G259" s="3"/>
      <c r="H259" s="3"/>
      <c r="K259" s="1">
        <v>0.5</v>
      </c>
      <c r="L259">
        <f>'[1]44根构件 '!$D$34/'[1]45根构件  '!$D$34</f>
        <v>1.0005924170616112</v>
      </c>
      <c r="X259" s="30"/>
      <c r="AE259" s="30">
        <v>10</v>
      </c>
      <c r="AH259">
        <f>'[3]9根构件'!$T$46/(0.05*'[3]10根构件'!$X$46+0.95*'[3]10根构件'!$T$46)</f>
        <v>1.1616890994165561</v>
      </c>
      <c r="AM259" s="21"/>
    </row>
    <row r="260" spans="1:39" x14ac:dyDescent="0.2">
      <c r="A260" t="s">
        <v>0</v>
      </c>
      <c r="B260" t="s">
        <v>1</v>
      </c>
      <c r="C260" t="s">
        <v>2</v>
      </c>
      <c r="D260" s="1" t="s">
        <v>43</v>
      </c>
      <c r="K260" s="1">
        <v>0.7</v>
      </c>
      <c r="L260">
        <f>'[1]44根构件 '!$V$34/'[1]45根构件  '!$V$34</f>
        <v>1.0024570024570025</v>
      </c>
      <c r="X260" s="30"/>
      <c r="AE260" s="30">
        <v>11</v>
      </c>
      <c r="AH260">
        <f>'[3]10根构件'!$T$46/(0.05*'[3]11根构件 '!$X$46+0.95*'[3]11根构件 '!$T$46)</f>
        <v>1.1015305713598846</v>
      </c>
      <c r="AM260" s="21"/>
    </row>
    <row r="261" spans="1:39" x14ac:dyDescent="0.2">
      <c r="A261" s="1">
        <v>0.1</v>
      </c>
      <c r="B261">
        <f>'[1]40根构件  '!$D$13/(0.05*'[1]41根构件  '!$H$13+0.95*'[1]41根构件  '!$D$13)</f>
        <v>0.99598393574297195</v>
      </c>
      <c r="K261" s="1">
        <v>0.9</v>
      </c>
      <c r="L261">
        <f>'[1]44根构件 '!$D$54/'[1]45根构件  '!$D$54</f>
        <v>1.0009345794392523</v>
      </c>
      <c r="X261" s="30"/>
      <c r="AA261" s="5"/>
      <c r="AE261" s="30">
        <v>12</v>
      </c>
      <c r="AH261">
        <f>'[3]11根构件 '!$T$46/(0.05*'[3]12根构件'!$X$46+0.95*'[3]12根构件'!$T$46)</f>
        <v>1.103298695988409</v>
      </c>
      <c r="AM261" s="21"/>
    </row>
    <row r="262" spans="1:39" x14ac:dyDescent="0.2">
      <c r="A262" s="1">
        <v>0.3</v>
      </c>
      <c r="B262">
        <f>'[1]40根构件  '!$V$13/(0.05*'[1]41根构件  '!$Z$13+0.95*'[1]41根构件  '!$V$13)</f>
        <v>0.99727180765733092</v>
      </c>
      <c r="X262" s="30"/>
      <c r="AA262" s="4"/>
      <c r="AE262" s="30">
        <v>13</v>
      </c>
      <c r="AH262">
        <f>'[3]12根构件'!$T$46/(0.05*'[3]13根构件'!$X$46+0.95*'[3]13根构件'!$T$46)</f>
        <v>1.1206051267684549</v>
      </c>
      <c r="AM262" s="21"/>
    </row>
    <row r="263" spans="1:39" x14ac:dyDescent="0.2">
      <c r="A263" s="1">
        <v>0.5</v>
      </c>
      <c r="B263">
        <f>'[1]40根构件  '!$D$34/(0.05*'[1]41根构件  '!$H$34+0.95*'[1]41根构件  '!$D$34)</f>
        <v>1.0004412413590233</v>
      </c>
      <c r="X263" s="30"/>
      <c r="AA263" s="4"/>
      <c r="AE263" s="30">
        <v>14</v>
      </c>
      <c r="AH263">
        <f>'[3]13根构件'!$T$46/(0.05*'[3]14根构件'!$X$46+0.95*'[3]14根构件'!$T$46)</f>
        <v>1.1241921634202559</v>
      </c>
      <c r="AM263" s="21"/>
    </row>
    <row r="264" spans="1:39" ht="18" x14ac:dyDescent="0.25">
      <c r="A264" s="1">
        <v>0.7</v>
      </c>
      <c r="B264">
        <f>'[1]40根构件  '!$V$34/(0.05*'[1]41根构件  '!$Z$34+0.95*'[1]41根构件  '!$V$34)</f>
        <v>0.99981688335469698</v>
      </c>
      <c r="K264" s="2" t="s">
        <v>73</v>
      </c>
      <c r="L264" s="2"/>
      <c r="M264" s="2"/>
      <c r="N264" s="2"/>
      <c r="O264" s="2"/>
      <c r="P264" s="3"/>
      <c r="Q264" s="3"/>
      <c r="R264" s="3"/>
      <c r="X264" s="30"/>
      <c r="AA264" s="36"/>
      <c r="AE264" s="30">
        <v>15</v>
      </c>
      <c r="AH264">
        <f>'[3]14根构件'!$T$46/(0.05*'[3]15根构件 '!$X$46+0.95*'[3]15根构件 '!$T$46)</f>
        <v>1.0726311311007113</v>
      </c>
      <c r="AI264">
        <f>(AH260+AH261+AH262+AH263+AH264)/5</f>
        <v>1.104451537727543</v>
      </c>
      <c r="AM264" s="21"/>
    </row>
    <row r="265" spans="1:39" x14ac:dyDescent="0.2">
      <c r="A265" s="1">
        <v>0.9</v>
      </c>
      <c r="B265">
        <f>'[1]40根构件  '!$D$54/(0.05*'[1]41根构件  '!$H$54+0.95*'[1]41根构件  '!$D$54)</f>
        <v>0.99966065832285378</v>
      </c>
      <c r="D265">
        <f>'[1]40根构件  '!$B$66/(0.05*'[1]41根构件  '!$G$66+0.95*'[1]41根构件  '!$B$66)</f>
        <v>1.0566468218601832</v>
      </c>
      <c r="K265" t="s">
        <v>0</v>
      </c>
      <c r="L265" t="s">
        <v>1</v>
      </c>
      <c r="M265" t="s">
        <v>2</v>
      </c>
      <c r="N265" s="1" t="s">
        <v>43</v>
      </c>
      <c r="X265" s="30"/>
      <c r="AA265" s="4"/>
      <c r="AE265" s="30">
        <v>16</v>
      </c>
      <c r="AH265">
        <f>'[3]15根构件 '!$T$46/(0.05*'[3]16根构件  '!$X$46+0.95*'[3]16根构件  '!$T$46)</f>
        <v>1.0511604051801513</v>
      </c>
      <c r="AM265" s="21"/>
    </row>
    <row r="266" spans="1:39" x14ac:dyDescent="0.2">
      <c r="K266" s="1">
        <v>0.1</v>
      </c>
      <c r="L266">
        <f>'[1]48根构件 '!$D$13/'[1]49根构件  '!$D$13</f>
        <v>1</v>
      </c>
      <c r="X266" s="30"/>
      <c r="AA266" s="5"/>
      <c r="AE266" s="30">
        <v>17</v>
      </c>
      <c r="AH266">
        <f>'[3]16根构件  '!$T$46/(0.05*'[3]17根构件  '!$X$46+0.95*'[3]17根构件  '!$T$46)</f>
        <v>1.0797542609105657</v>
      </c>
      <c r="AM266" s="21"/>
    </row>
    <row r="267" spans="1:39" ht="15" thickBot="1" x14ac:dyDescent="0.25">
      <c r="K267" s="1">
        <v>0.3</v>
      </c>
      <c r="L267">
        <f>'[1]48根构件 '!$V$13/'[1]49根构件  '!$V$13</f>
        <v>1.0096132838103562</v>
      </c>
      <c r="X267" s="31"/>
      <c r="Y267" s="23"/>
      <c r="Z267" s="23"/>
      <c r="AA267" s="38"/>
      <c r="AE267" s="30">
        <v>18</v>
      </c>
      <c r="AH267">
        <f>'[3]17根构件  '!$T$46/(0.05*'[3]18根构件  '!$X$46+0.95*'[3]18根构件  '!$T$46)</f>
        <v>1.0950683846599045</v>
      </c>
      <c r="AM267" s="21"/>
    </row>
    <row r="268" spans="1:39" ht="18.75" thickTop="1" x14ac:dyDescent="0.25">
      <c r="A268" s="2" t="s">
        <v>61</v>
      </c>
      <c r="B268" s="2"/>
      <c r="C268" s="2"/>
      <c r="D268" s="2"/>
      <c r="E268" s="2"/>
      <c r="F268" s="3"/>
      <c r="G268" s="3"/>
      <c r="H268" s="3"/>
      <c r="K268" s="1">
        <v>0.5</v>
      </c>
      <c r="L268">
        <f>'[1]48根构件 '!$D$34/'[1]49根构件  '!$D$34</f>
        <v>1.0044762757385854</v>
      </c>
      <c r="AE268" s="30">
        <v>19</v>
      </c>
      <c r="AH268">
        <f>'[3]18根构件  '!$T$46/(0.05*'[3]19根构件'!$X$46+0.95*'[3]19根构件'!$T$46)</f>
        <v>1.0832079620414303</v>
      </c>
      <c r="AM268" s="21"/>
    </row>
    <row r="269" spans="1:39" x14ac:dyDescent="0.2">
      <c r="A269" t="s">
        <v>0</v>
      </c>
      <c r="B269" t="s">
        <v>1</v>
      </c>
      <c r="C269" t="s">
        <v>2</v>
      </c>
      <c r="D269" s="1" t="s">
        <v>43</v>
      </c>
      <c r="K269" s="1">
        <v>0.7</v>
      </c>
      <c r="L269">
        <f>'[1]48根构件 '!$V$34/'[1]49根构件  '!$V$34</f>
        <v>1</v>
      </c>
      <c r="AE269" s="30">
        <v>20</v>
      </c>
      <c r="AH269" s="5">
        <f>'[3]19根构件'!$T$46/(0.05*'[3]20根构件'!$X$46+0.95*'[3]20根构件'!$T$46)</f>
        <v>1.0130411400914225</v>
      </c>
      <c r="AI269">
        <f>SUM(AH265:AH269)/5</f>
        <v>1.064446430576695</v>
      </c>
      <c r="AM269" s="21"/>
    </row>
    <row r="270" spans="1:39" x14ac:dyDescent="0.2">
      <c r="A270" s="1">
        <v>0.1</v>
      </c>
      <c r="B270">
        <f>'[1]44根构件 '!$D$13/(0.05*'[1]45根构件  '!$H$13+0.95*'[1]45根构件  '!$D$13)</f>
        <v>1.0000000000000002</v>
      </c>
      <c r="K270" s="1">
        <v>0.9</v>
      </c>
      <c r="L270">
        <f>'[1]48根构件 '!$D$54/'[1]49根构件  '!$D$54</f>
        <v>1.0006688068485823</v>
      </c>
      <c r="AE270" s="30">
        <v>21</v>
      </c>
      <c r="AH270">
        <f>'[3]20根构件'!$T$46/(0.05*'[3]21根构件 '!$X$46+0.95*'[3]21根构件 '!$T$46)</f>
        <v>1.0528928843732821</v>
      </c>
      <c r="AM270" s="21"/>
    </row>
    <row r="271" spans="1:39" x14ac:dyDescent="0.2">
      <c r="A271" s="1">
        <v>0.3</v>
      </c>
      <c r="B271">
        <f>'[1]44根构件 '!$V$13/(0.05*'[1]45根构件  '!$Z$13+0.95*'[1]45根构件  '!$V$13)</f>
        <v>1.0125550982890807</v>
      </c>
      <c r="AE271" s="30">
        <v>22</v>
      </c>
      <c r="AH271">
        <f>'[3]21根构件 '!$T$46/(0.05*'[3]22根构件 '!$X$46+0.95*'[3]22根构件 '!$T$46)</f>
        <v>1.0752606201520845</v>
      </c>
      <c r="AM271" s="21"/>
    </row>
    <row r="272" spans="1:39" x14ac:dyDescent="0.2">
      <c r="A272" s="1">
        <v>0.5</v>
      </c>
      <c r="B272">
        <f>'[1]44根构件 '!$D$34/(0.05*'[1]45根构件  '!$H$34+0.95*'[1]45根构件  '!$D$34)</f>
        <v>0.998832034772838</v>
      </c>
      <c r="AE272" s="30">
        <v>23</v>
      </c>
      <c r="AH272">
        <f>'[3]22根构件 '!$T$46/(0.05*'[3]23根构件'!$X$46+0.95*'[3]23根构件'!$T$46)</f>
        <v>1.0725307065050786</v>
      </c>
      <c r="AM272" s="21"/>
    </row>
    <row r="273" spans="1:39" x14ac:dyDescent="0.2">
      <c r="A273" s="1">
        <v>0.7</v>
      </c>
      <c r="B273">
        <f>'[1]44根构件 '!$V$34/(0.05*'[1]45根构件  '!$Z$34+0.95*'[1]45根构件  '!$V$34)</f>
        <v>1.0011655726642539</v>
      </c>
      <c r="AE273" s="30">
        <v>24</v>
      </c>
      <c r="AH273">
        <f>'[3]23根构件'!$T$46/(0.05*'[3]24根构件 '!$X$46+0.95*'[3]24根构件 '!$T$46)</f>
        <v>1.096980046737372</v>
      </c>
      <c r="AM273" s="21"/>
    </row>
    <row r="274" spans="1:39" x14ac:dyDescent="0.2">
      <c r="A274" s="1">
        <v>0.9</v>
      </c>
      <c r="B274">
        <f>'[1]44根构件 '!$D$54/(0.05*'[1]45根构件  '!$H$54+0.95*'[1]45根构件  '!$D$54)</f>
        <v>1.000026678049301</v>
      </c>
      <c r="AE274" s="30">
        <v>25</v>
      </c>
      <c r="AH274" s="4">
        <f>'[3]24根构件 '!$T$46/(0.05*'[3]25根构件 '!$X$46+0.95*0.0002203)</f>
        <v>1.0020139847480256</v>
      </c>
      <c r="AI274">
        <f>SUM(AH270:AH274)/5</f>
        <v>1.0599356485031683</v>
      </c>
      <c r="AM274" s="21"/>
    </row>
    <row r="275" spans="1:39" x14ac:dyDescent="0.2">
      <c r="AE275" s="30">
        <v>26</v>
      </c>
      <c r="AH275">
        <f>'[3]25根构件 '!$T$46/(0.05*'[3]26根构件'!$X$46+0.95*'[3]26根构件'!$T$46)</f>
        <v>1.0394942496559125</v>
      </c>
      <c r="AM275" s="21"/>
    </row>
    <row r="276" spans="1:39" x14ac:dyDescent="0.2">
      <c r="AE276" s="30">
        <v>27</v>
      </c>
      <c r="AH276">
        <f>'[3]26根构件'!$T$46/(0.05*'[3]27根构件'!$X$46+0.95*'[3]27根构件'!$T$46)</f>
        <v>1.0784759020943731</v>
      </c>
      <c r="AM276" s="21"/>
    </row>
    <row r="277" spans="1:39" ht="18" x14ac:dyDescent="0.25">
      <c r="A277" s="2" t="s">
        <v>62</v>
      </c>
      <c r="B277" s="2"/>
      <c r="C277" s="2"/>
      <c r="D277" s="2"/>
      <c r="E277" s="2"/>
      <c r="F277" s="3"/>
      <c r="G277" s="3"/>
      <c r="H277" s="3"/>
      <c r="AE277" s="30">
        <v>28</v>
      </c>
      <c r="AH277" s="5">
        <f>'[3]27根构件'!$T$46/(0.05*'[3]28根构件'!$X$46+0.95*'[3]28根构件'!$T$46)</f>
        <v>1.0180716706027313</v>
      </c>
      <c r="AM277" s="21"/>
    </row>
    <row r="278" spans="1:39" x14ac:dyDescent="0.2">
      <c r="A278" t="s">
        <v>0</v>
      </c>
      <c r="B278" t="s">
        <v>1</v>
      </c>
      <c r="C278" t="s">
        <v>2</v>
      </c>
      <c r="D278" s="1" t="s">
        <v>43</v>
      </c>
      <c r="AE278" s="30">
        <v>29</v>
      </c>
      <c r="AH278">
        <f>'[3]28根构件'!$T$46/(0.05*'[3]29根构件 '!$X$46+0.95*'[3]29根构件 '!$T$46)</f>
        <v>1.0563170036639977</v>
      </c>
      <c r="AM278" s="21"/>
    </row>
    <row r="279" spans="1:39" x14ac:dyDescent="0.2">
      <c r="A279" s="1">
        <v>0.1</v>
      </c>
      <c r="B279">
        <f>'[1]48根构件 '!$D$13/(0.05*'[1]49根构件  '!$H$13+0.95*'[1]49根构件  '!$D$13)</f>
        <v>0.99662950479647394</v>
      </c>
      <c r="AE279" s="30">
        <v>30</v>
      </c>
      <c r="AH279" s="4">
        <f>'[3]29根构件 '!$T$46/(0.05*'[3]30根构件'!$X$46+0.95*0.00016928)</f>
        <v>1.080359453292244</v>
      </c>
      <c r="AI279">
        <f>SUM(AH275:AH279)/5</f>
        <v>1.0545436558618519</v>
      </c>
      <c r="AM279" s="21"/>
    </row>
    <row r="280" spans="1:39" x14ac:dyDescent="0.2">
      <c r="A280" s="1">
        <v>0.3</v>
      </c>
      <c r="B280">
        <f>'[1]48根构件 '!$V$13/(0.05*'[1]49根构件  '!$Z$13+0.95*'[1]49根构件  '!$V$13)</f>
        <v>1.0075769964568002</v>
      </c>
      <c r="AE280" s="30">
        <v>31</v>
      </c>
      <c r="AH280" s="5">
        <f>'[3]30根构件'!$T$46/(0.05*'[3]31根构件 '!$X$46+0.95*'[3]31根构件 '!$T$46)</f>
        <v>1.0946667834311237</v>
      </c>
      <c r="AM280" s="21"/>
    </row>
    <row r="281" spans="1:39" x14ac:dyDescent="0.2">
      <c r="A281" s="1">
        <v>0.5</v>
      </c>
      <c r="B281">
        <f>'[1]48根构件 '!$D$34/(0.05*'[1]49根构件  '!$H$34+0.95*'[1]49根构件  '!$D$34)</f>
        <v>1.0028900872985131</v>
      </c>
      <c r="AE281" s="30">
        <v>32</v>
      </c>
      <c r="AH281">
        <f>'[3]31根构件 '!$T$46/(0.05*'[3]32根构件'!$X$46+0.95*'[3]32根构件'!$T$46)</f>
        <v>1.0552996816172606</v>
      </c>
      <c r="AM281" s="21"/>
    </row>
    <row r="282" spans="1:39" x14ac:dyDescent="0.2">
      <c r="A282" s="1">
        <v>0.7</v>
      </c>
      <c r="B282">
        <f>'[1]48根构件 '!$V$34/(0.05*'[1]49根构件  '!$Z$34+0.95*'[1]49根构件  '!$V$34)</f>
        <v>0.99882997721534572</v>
      </c>
      <c r="AE282" s="30">
        <v>33</v>
      </c>
      <c r="AH282" s="4">
        <f>'[3]32根构件'!$T$46/(0.05*'[3]33根构件 '!$X$46+0.95*0.00016113)</f>
        <v>1.0033705032724691</v>
      </c>
      <c r="AM282" s="21"/>
    </row>
    <row r="283" spans="1:39" x14ac:dyDescent="0.2">
      <c r="A283" s="1">
        <v>0.9</v>
      </c>
      <c r="B283">
        <f>'[1]48根构件 '!$D$54/(0.05*'[1]49根构件  '!$H$54+0.95*'[1]49根构件  '!$D$54)</f>
        <v>0.99983293795315598</v>
      </c>
      <c r="D283">
        <f>'[1]48根构件 '!$B$66/(0.05*'[1]49根构件  '!$G$66+0.95*'[1]49根构件  '!$B$66)</f>
        <v>1.0994630529276399</v>
      </c>
      <c r="AE283" s="30">
        <v>34</v>
      </c>
      <c r="AH283">
        <f>'[3]33根构件 '!$T$46/(0.05*'[3]34根构件'!$X$46+0.95*'[3]34根构件'!$T$46)</f>
        <v>1.100601332683244</v>
      </c>
      <c r="AM283" s="21"/>
    </row>
    <row r="284" spans="1:39" x14ac:dyDescent="0.2">
      <c r="AE284" s="30">
        <v>35</v>
      </c>
      <c r="AH284" s="36">
        <f>'[3]34根构件'!$T$46/(0.05*'[3]35根构件 '!$X$46+0.95*0.000153623)</f>
        <v>1.0008670491059757</v>
      </c>
      <c r="AI284">
        <f>SUM(AH280:AH284)/5</f>
        <v>1.0509610700220144</v>
      </c>
      <c r="AM284" s="21"/>
    </row>
    <row r="285" spans="1:39" x14ac:dyDescent="0.2">
      <c r="AE285" s="30">
        <v>36</v>
      </c>
      <c r="AH285" s="5">
        <f>'[3]35根构件 '!$T$46/(0.05*'[3]36根构件 '!$X$46+0.95*'[3]36根构件 '!$T$46)</f>
        <v>1.0328165894906383</v>
      </c>
      <c r="AM285" s="21"/>
    </row>
    <row r="286" spans="1:39" x14ac:dyDescent="0.2">
      <c r="AE286" s="30">
        <v>37</v>
      </c>
      <c r="AH286">
        <f>'[3]36根构件 '!$T$46/(0.05*'[3]37根构件  '!$X$46+0.95*'[3]37根构件  '!$T$46)</f>
        <v>1.064141504377345</v>
      </c>
      <c r="AM286" s="21"/>
    </row>
    <row r="287" spans="1:39" x14ac:dyDescent="0.2">
      <c r="AE287" s="30">
        <v>38</v>
      </c>
      <c r="AH287" s="5">
        <f>'[3]37根构件  '!$T$46/(0.05*'[3]38根构件  '!$X$46+0.95*'[3]38根构件  '!$T$46)</f>
        <v>1.0167760758570388</v>
      </c>
      <c r="AM287" s="21"/>
    </row>
    <row r="288" spans="1:39" x14ac:dyDescent="0.2">
      <c r="AE288" s="30">
        <v>39</v>
      </c>
      <c r="AH288">
        <f>'[3]38根构件  '!$T$46/(0.05*'[3]39根构件   '!$X$46+0.95*'[3]39根构件   '!$T$46)</f>
        <v>1.0550599815441402</v>
      </c>
      <c r="AM288" s="21"/>
    </row>
    <row r="289" spans="1:39" x14ac:dyDescent="0.2">
      <c r="AE289" s="30">
        <v>40</v>
      </c>
      <c r="AH289" s="4">
        <f>'[3]39根构件   '!$T$46/(0.05*'[3]40根构件  '!$X$46+0.95*0.0001250534)</f>
        <v>1.0338450441506792</v>
      </c>
      <c r="AI289">
        <f>SUM(AH285:AH289)/5</f>
        <v>1.0405278390839683</v>
      </c>
      <c r="AM289" s="21"/>
    </row>
    <row r="290" spans="1:39" x14ac:dyDescent="0.2">
      <c r="AE290" s="30">
        <v>41</v>
      </c>
      <c r="AH290">
        <f>'[3]40根构件  '!$T$46/(0.05*'[3]41根构件  '!$X$46+0.95*'[3]41根构件  '!$T$46)</f>
        <v>1.0533887468030692</v>
      </c>
      <c r="AM290" s="21"/>
    </row>
    <row r="291" spans="1:39" x14ac:dyDescent="0.2">
      <c r="AE291" s="30">
        <v>42</v>
      </c>
      <c r="AH291" s="5">
        <f>'[3]41根构件  '!$T$46/(0.05*'[3]42根构件  '!$X$46+0.95*'[3]42根构件  '!$T$46)</f>
        <v>1.0506361108770748</v>
      </c>
      <c r="AM291" s="21"/>
    </row>
    <row r="292" spans="1:39" x14ac:dyDescent="0.2">
      <c r="AE292" s="30">
        <v>43</v>
      </c>
      <c r="AH292" s="4">
        <f>'[3]42根构件  '!$T$46/(0.05*'[3]43根构件   '!$X$46+0.95*0.0001180364)</f>
        <v>1.0003417904917302</v>
      </c>
      <c r="AM292" s="21"/>
    </row>
    <row r="293" spans="1:39" x14ac:dyDescent="0.2">
      <c r="AE293" s="30">
        <v>44</v>
      </c>
      <c r="AH293">
        <f>'[3]43根构件   '!$T$46/(0.05*'[3]44根构件 '!$X$46+0.95*'[3]44根构件 '!$T$46)</f>
        <v>1.0476676013255162</v>
      </c>
      <c r="AM293" s="21"/>
    </row>
    <row r="294" spans="1:39" x14ac:dyDescent="0.2">
      <c r="AE294" s="30">
        <v>45</v>
      </c>
      <c r="AH294" s="5">
        <f>'[3]44根构件 '!$T$46/(0.05*'[3]45根构件  '!$X$46+0.95*'[3]45根构件  '!$T$46)</f>
        <v>1.0138685502627272</v>
      </c>
      <c r="AI294">
        <f>SUM(AH290:AH294)/5</f>
        <v>1.0331805599520236</v>
      </c>
      <c r="AM294" s="21"/>
    </row>
    <row r="295" spans="1:39" ht="18" x14ac:dyDescent="0.25">
      <c r="A295" s="2" t="s">
        <v>45</v>
      </c>
      <c r="B295" s="2"/>
      <c r="C295" s="2"/>
      <c r="D295" s="2"/>
      <c r="E295" s="2"/>
      <c r="F295" s="3"/>
      <c r="G295" s="3"/>
      <c r="H295" s="3"/>
      <c r="I295" s="3"/>
      <c r="AE295" s="30">
        <v>46</v>
      </c>
      <c r="AH295">
        <f>'[3]45根构件  '!$T$46/(0.05*'[3]46根构件 '!$X$46+0.95*'[3]46根构件 '!$T$46)</f>
        <v>1.0850247872041905</v>
      </c>
      <c r="AM295" s="21"/>
    </row>
    <row r="296" spans="1:39" x14ac:dyDescent="0.2">
      <c r="A296" t="s">
        <v>0</v>
      </c>
      <c r="B296" t="s">
        <v>1</v>
      </c>
      <c r="C296" t="s">
        <v>2</v>
      </c>
      <c r="D296" t="s">
        <v>43</v>
      </c>
      <c r="AE296" s="30">
        <v>47</v>
      </c>
      <c r="AH296" s="4">
        <f>'[3]46根构件 '!$T$46/(0.05*'[3]47根构件  '!$X$46+0.95*0.0001066)</f>
        <v>1.0017368445758814</v>
      </c>
      <c r="AM296" s="21"/>
    </row>
    <row r="297" spans="1:39" x14ac:dyDescent="0.2">
      <c r="A297" s="1">
        <v>0.1</v>
      </c>
      <c r="B297">
        <f>'[1]9根构件'!$D$13/'[1]10根构件'!$D$13</f>
        <v>1</v>
      </c>
      <c r="AE297" s="30">
        <v>48</v>
      </c>
      <c r="AH297" s="37">
        <f>'[3]47根构件  '!$T$46/(0.05*'[3]48根构件 '!$X$46+0.95*0.00010580241)</f>
        <v>1.0368537336359303</v>
      </c>
      <c r="AM297" s="21"/>
    </row>
    <row r="298" spans="1:39" x14ac:dyDescent="0.2">
      <c r="A298" s="1">
        <v>0.3</v>
      </c>
      <c r="B298">
        <f>'[1]9根构件'!$V$13/'[1]10根构件'!$V$13</f>
        <v>1</v>
      </c>
      <c r="AE298" s="30">
        <v>49</v>
      </c>
      <c r="AH298" s="4">
        <f>'[3]48根构件 '!$T$46/(0.05*'[3]49根构件  '!$X$46+0.95*0.0000960975)</f>
        <v>1.0075762179943906</v>
      </c>
      <c r="AM298" s="21"/>
    </row>
    <row r="299" spans="1:39" ht="15" thickBot="1" x14ac:dyDescent="0.25">
      <c r="A299" s="1">
        <v>0.5</v>
      </c>
      <c r="B299">
        <f>'[1]9根构件'!$D$34/'[1]10根构件'!$D$34</f>
        <v>1</v>
      </c>
      <c r="D299" s="12">
        <f>'[1]9根构件'!$B$46/'[1]10根构件'!$B$46</f>
        <v>1.125</v>
      </c>
      <c r="AE299" s="31">
        <v>50</v>
      </c>
      <c r="AF299" s="23"/>
      <c r="AG299" s="23"/>
      <c r="AH299" s="38">
        <f>'[3]49根构件  '!$T$46/(0.05*'[3]50根构件 '!$X$46+0.95*0.000097925)</f>
        <v>1.0017416066003075</v>
      </c>
      <c r="AI299" s="23">
        <f>SUM(AH295:AH299)/5</f>
        <v>1.0265866380021402</v>
      </c>
      <c r="AJ299" s="23"/>
      <c r="AK299" s="23"/>
      <c r="AL299" s="23"/>
      <c r="AM299" s="24"/>
    </row>
    <row r="300" spans="1:39" ht="15" thickTop="1" x14ac:dyDescent="0.2">
      <c r="A300" s="1">
        <v>0.7</v>
      </c>
      <c r="B300">
        <f>'[1]9根构件'!$V$34/'[1]10根构件'!$V$34</f>
        <v>1.0617540217955372</v>
      </c>
      <c r="D300" s="12">
        <f>'[1]9根构件'!$T$46/'[1]10根构件'!$T$46</f>
        <v>1.014018691588785</v>
      </c>
    </row>
    <row r="301" spans="1:39" x14ac:dyDescent="0.2">
      <c r="A301" s="1">
        <v>0.9</v>
      </c>
      <c r="B301">
        <f>'[1]9根构件'!$D$54/'[1]10根构件'!$D$54</f>
        <v>1.0220698254364091</v>
      </c>
      <c r="D301" s="12">
        <f>'[1]9根构件'!$B$66/'[1]10根构件'!$B$66</f>
        <v>1.0459290187891441</v>
      </c>
    </row>
    <row r="304" spans="1:39" ht="18" x14ac:dyDescent="0.25">
      <c r="A304" s="2" t="s">
        <v>46</v>
      </c>
      <c r="B304" s="2"/>
      <c r="C304" s="2"/>
      <c r="D304" s="2"/>
      <c r="E304" s="2"/>
      <c r="F304" s="3"/>
      <c r="G304" s="3"/>
      <c r="H304" s="3"/>
      <c r="I304" s="3"/>
    </row>
    <row r="305" spans="1:9" x14ac:dyDescent="0.2">
      <c r="A305" t="s">
        <v>0</v>
      </c>
      <c r="B305" t="s">
        <v>1</v>
      </c>
      <c r="C305" t="s">
        <v>2</v>
      </c>
      <c r="D305" t="s">
        <v>43</v>
      </c>
    </row>
    <row r="306" spans="1:9" x14ac:dyDescent="0.2">
      <c r="A306" s="1">
        <v>0.1</v>
      </c>
      <c r="B306">
        <f>'[1]19根构件'!$D$13/'[1]20根构件'!$D$13</f>
        <v>1</v>
      </c>
    </row>
    <row r="307" spans="1:9" x14ac:dyDescent="0.2">
      <c r="A307" s="1">
        <v>0.3</v>
      </c>
      <c r="B307">
        <f>'[1]19根构件'!$V$13/'[1]20根构件'!$V$13</f>
        <v>1</v>
      </c>
    </row>
    <row r="308" spans="1:9" x14ac:dyDescent="0.2">
      <c r="A308" s="1">
        <v>0.5</v>
      </c>
      <c r="B308">
        <f>'[1]19根构件'!$D$34/'[1]20根构件'!$D$34</f>
        <v>1.0207840042094187</v>
      </c>
      <c r="D308">
        <f>'[1]19根构件'!$B$46/'[1]20根构件'!$B$46</f>
        <v>0.5</v>
      </c>
    </row>
    <row r="309" spans="1:9" x14ac:dyDescent="0.2">
      <c r="A309" s="1">
        <v>0.7</v>
      </c>
      <c r="B309">
        <f>'[1]19根构件'!$V$34/'[1]20根构件'!$V$34</f>
        <v>1.0046216060080877</v>
      </c>
      <c r="D309">
        <f>'[1]19根构件'!$T$46/'[1]20根构件'!$T$46</f>
        <v>1.0303030303030303</v>
      </c>
    </row>
    <row r="310" spans="1:9" x14ac:dyDescent="0.2">
      <c r="A310" s="1">
        <v>0.9</v>
      </c>
      <c r="B310">
        <f>'[1]20根构件'!$D$54/'[1]20根构件'!$D$54</f>
        <v>1</v>
      </c>
      <c r="D310">
        <f>'[1]19根构件'!$B$66/'[1]20根构件'!$B$66</f>
        <v>1.028810408921933</v>
      </c>
    </row>
    <row r="313" spans="1:9" ht="18" x14ac:dyDescent="0.25">
      <c r="A313" s="2" t="s">
        <v>49</v>
      </c>
      <c r="B313" s="2"/>
      <c r="C313" s="2"/>
      <c r="D313" s="2"/>
      <c r="E313" s="2"/>
      <c r="F313" s="3"/>
      <c r="G313" s="3"/>
      <c r="H313" s="3"/>
      <c r="I313" s="3"/>
    </row>
    <row r="314" spans="1:9" x14ac:dyDescent="0.2">
      <c r="A314" t="s">
        <v>0</v>
      </c>
      <c r="B314" t="s">
        <v>1</v>
      </c>
      <c r="C314" t="s">
        <v>2</v>
      </c>
      <c r="D314" t="s">
        <v>43</v>
      </c>
    </row>
    <row r="315" spans="1:9" x14ac:dyDescent="0.2">
      <c r="A315" s="1">
        <v>0.1</v>
      </c>
    </row>
    <row r="316" spans="1:9" x14ac:dyDescent="0.2">
      <c r="A316" s="1">
        <v>0.3</v>
      </c>
    </row>
    <row r="317" spans="1:9" x14ac:dyDescent="0.2">
      <c r="A317" s="1">
        <v>0.5</v>
      </c>
      <c r="D317">
        <f>'[1]20根构件'!$B$46/'[1]21根构件 '!$B$46</f>
        <v>2</v>
      </c>
    </row>
    <row r="318" spans="1:9" x14ac:dyDescent="0.2">
      <c r="A318" s="1">
        <v>0.7</v>
      </c>
      <c r="D318">
        <f>'[1]20根构件'!$T$46/'[1]21根构件 '!$T$46</f>
        <v>1.3750000000000002</v>
      </c>
    </row>
    <row r="319" spans="1:9" x14ac:dyDescent="0.2">
      <c r="A319" s="1">
        <v>0.9</v>
      </c>
      <c r="D319">
        <f>'[1]20根构件'!$B$66/'[1]21根构件 '!$B$66</f>
        <v>1.0852244074634392</v>
      </c>
    </row>
    <row r="322" spans="1:9" ht="18" x14ac:dyDescent="0.25">
      <c r="A322" s="2" t="s">
        <v>50</v>
      </c>
      <c r="B322" s="2"/>
      <c r="C322" s="2"/>
      <c r="D322" s="2"/>
      <c r="E322" s="2"/>
      <c r="F322" s="3"/>
      <c r="G322" s="3"/>
      <c r="H322" s="3"/>
      <c r="I322" s="3"/>
    </row>
    <row r="323" spans="1:9" x14ac:dyDescent="0.2">
      <c r="A323" t="s">
        <v>0</v>
      </c>
      <c r="B323" t="s">
        <v>1</v>
      </c>
      <c r="C323" t="s">
        <v>2</v>
      </c>
      <c r="D323" t="s">
        <v>43</v>
      </c>
    </row>
    <row r="324" spans="1:9" x14ac:dyDescent="0.2">
      <c r="A324" s="1">
        <v>0.1</v>
      </c>
    </row>
    <row r="325" spans="1:9" x14ac:dyDescent="0.2">
      <c r="A325" s="1">
        <v>0.3</v>
      </c>
    </row>
    <row r="326" spans="1:9" x14ac:dyDescent="0.2">
      <c r="A326" s="1">
        <v>0.5</v>
      </c>
      <c r="D326">
        <f>'[1]21根构件 '!$B$46/'[1]22根构件 '!$B$46</f>
        <v>1</v>
      </c>
    </row>
    <row r="327" spans="1:9" x14ac:dyDescent="0.2">
      <c r="A327" s="1">
        <v>0.7</v>
      </c>
      <c r="D327">
        <f>'[1]21根构件 '!$T$46/'[1]22根构件 '!$T$46</f>
        <v>0.81355932203389825</v>
      </c>
    </row>
    <row r="328" spans="1:9" x14ac:dyDescent="0.2">
      <c r="A328" s="1">
        <v>0.9</v>
      </c>
      <c r="D328">
        <f>'[1]21根构件 '!$B$66/'[1]22根构件 '!$B$66</f>
        <v>0.98411910669975189</v>
      </c>
    </row>
    <row r="331" spans="1:9" ht="18" x14ac:dyDescent="0.25">
      <c r="A331" s="2" t="s">
        <v>51</v>
      </c>
      <c r="B331" s="2"/>
      <c r="C331" s="2"/>
      <c r="D331" s="2"/>
      <c r="E331" s="2"/>
      <c r="F331" s="3"/>
      <c r="G331" s="3"/>
      <c r="H331" s="3"/>
      <c r="I331" s="3"/>
    </row>
    <row r="332" spans="1:9" x14ac:dyDescent="0.2">
      <c r="A332" t="s">
        <v>0</v>
      </c>
      <c r="B332" t="s">
        <v>1</v>
      </c>
      <c r="C332" t="s">
        <v>2</v>
      </c>
      <c r="D332" t="s">
        <v>43</v>
      </c>
    </row>
    <row r="333" spans="1:9" x14ac:dyDescent="0.2">
      <c r="A333" s="1">
        <v>0.1</v>
      </c>
    </row>
    <row r="334" spans="1:9" x14ac:dyDescent="0.2">
      <c r="A334" s="1">
        <v>0.3</v>
      </c>
    </row>
    <row r="335" spans="1:9" x14ac:dyDescent="0.2">
      <c r="A335" s="1">
        <v>0.5</v>
      </c>
    </row>
    <row r="336" spans="1:9" x14ac:dyDescent="0.2">
      <c r="A336" s="1">
        <v>0.7</v>
      </c>
      <c r="D336" s="12">
        <f>'[1]22根构件 '!$T$46/'[1]23根构件'!$T$46</f>
        <v>1.2291666666666667</v>
      </c>
    </row>
    <row r="337" spans="1:9" x14ac:dyDescent="0.2">
      <c r="A337" s="1">
        <v>0.9</v>
      </c>
      <c r="D337" s="12">
        <f>'[1]22根构件 '!$B$66/'[1]23根构件'!$B$66</f>
        <v>1.0270132517838939</v>
      </c>
    </row>
    <row r="349" spans="1:9" ht="18" x14ac:dyDescent="0.25">
      <c r="A349" s="2" t="s">
        <v>47</v>
      </c>
      <c r="B349" s="2"/>
      <c r="C349" s="2"/>
      <c r="D349" s="2"/>
      <c r="E349" s="2"/>
      <c r="F349" s="3"/>
      <c r="G349" s="3"/>
      <c r="H349" s="3"/>
      <c r="I349" s="3"/>
    </row>
    <row r="350" spans="1:9" x14ac:dyDescent="0.2">
      <c r="A350" t="s">
        <v>0</v>
      </c>
      <c r="B350" t="s">
        <v>1</v>
      </c>
      <c r="C350" t="s">
        <v>2</v>
      </c>
    </row>
    <row r="351" spans="1:9" x14ac:dyDescent="0.2">
      <c r="A351" s="1">
        <v>0.1</v>
      </c>
      <c r="B351">
        <f>'[1]29根构件 '!$D$13/'[1]30根构件'!$D$13</f>
        <v>1</v>
      </c>
    </row>
    <row r="352" spans="1:9" x14ac:dyDescent="0.2">
      <c r="A352" s="1">
        <v>0.3</v>
      </c>
      <c r="B352">
        <f>'[1]29根构件 '!$V$13/'[1]30根构件'!$V$13</f>
        <v>1</v>
      </c>
    </row>
    <row r="353" spans="1:18" x14ac:dyDescent="0.2">
      <c r="A353" s="1">
        <v>0.5</v>
      </c>
      <c r="B353">
        <f>'[1]29根构件 '!$D$34/'[1]31根构件 '!$D$34</f>
        <v>1.0014044943820226</v>
      </c>
    </row>
    <row r="354" spans="1:18" ht="18" x14ac:dyDescent="0.25">
      <c r="A354" s="1">
        <v>0.7</v>
      </c>
      <c r="B354">
        <f>'[1]29根构件 '!$V$34/'[1]30根构件'!$V$34</f>
        <v>1.0029832935560858</v>
      </c>
      <c r="K354" s="8" t="s">
        <v>87</v>
      </c>
      <c r="L354" s="9"/>
      <c r="M354" s="9"/>
      <c r="N354" s="9"/>
      <c r="O354" s="9"/>
      <c r="P354" s="9"/>
      <c r="Q354" s="9"/>
      <c r="R354" s="9"/>
    </row>
    <row r="355" spans="1:18" x14ac:dyDescent="0.2">
      <c r="A355" s="1">
        <v>0.9</v>
      </c>
      <c r="B355">
        <f>'[1]29根构件 '!$D$54/'[1]30根构件'!$D$54</f>
        <v>1</v>
      </c>
      <c r="K355" t="s">
        <v>9</v>
      </c>
      <c r="L355" t="s">
        <v>1</v>
      </c>
      <c r="M355" t="s">
        <v>2</v>
      </c>
      <c r="N355" s="1" t="s">
        <v>43</v>
      </c>
    </row>
    <row r="356" spans="1:18" x14ac:dyDescent="0.2">
      <c r="K356">
        <v>2</v>
      </c>
      <c r="N356" s="12">
        <f>'[3]10根构件'!$T$46/(0.05*'[3]11根构件 '!$X$46+0.95*'[3]11根构件 '!$T$46)</f>
        <v>1.1015305713598846</v>
      </c>
    </row>
    <row r="357" spans="1:18" x14ac:dyDescent="0.2">
      <c r="K357">
        <v>2.5</v>
      </c>
      <c r="N357" s="12">
        <f>'[4]10根构件'!$T$46/(0.05*'[4]11根构件 '!$X$46+0.95*'[4]11根构件 '!$T$46)</f>
        <v>1.074189610741896</v>
      </c>
    </row>
    <row r="358" spans="1:18" ht="18" x14ac:dyDescent="0.25">
      <c r="A358" s="2" t="s">
        <v>48</v>
      </c>
      <c r="B358" s="2"/>
      <c r="C358" s="2"/>
      <c r="D358" s="2"/>
      <c r="E358" s="2"/>
      <c r="F358" s="3"/>
      <c r="G358" s="3"/>
      <c r="H358" s="3"/>
      <c r="I358" s="3"/>
      <c r="K358">
        <v>2.8</v>
      </c>
      <c r="N358" s="12">
        <f>'[1]10根构件'!$T$46/(0.05*'[1]11根构件 '!$X$46+0.95*'[1]11根构件 '!$T$46)</f>
        <v>1.1573823688480258</v>
      </c>
    </row>
    <row r="359" spans="1:18" x14ac:dyDescent="0.2">
      <c r="A359" t="s">
        <v>0</v>
      </c>
      <c r="B359" t="s">
        <v>1</v>
      </c>
      <c r="C359" t="s">
        <v>2</v>
      </c>
      <c r="D359" t="s">
        <v>43</v>
      </c>
    </row>
    <row r="360" spans="1:18" x14ac:dyDescent="0.2">
      <c r="A360" s="1">
        <v>0.1</v>
      </c>
      <c r="B360">
        <f>'[3]9根构件'!$D$13/'[3]10根构件'!$D$13</f>
        <v>1</v>
      </c>
    </row>
    <row r="361" spans="1:18" ht="18" x14ac:dyDescent="0.25">
      <c r="A361" s="1">
        <v>0.3</v>
      </c>
      <c r="B361">
        <f>'[3]9根构件'!$V$13/'[3]10根构件'!$V$13</f>
        <v>1</v>
      </c>
      <c r="D361">
        <f>'[3]9根构件'!$T$25/'[3]10根构件'!$T$25</f>
        <v>2.5</v>
      </c>
      <c r="K361" s="8" t="s">
        <v>94</v>
      </c>
      <c r="L361" s="9"/>
      <c r="M361" s="9"/>
      <c r="N361" s="9"/>
      <c r="O361" s="9"/>
      <c r="P361" s="9"/>
      <c r="Q361" s="9"/>
      <c r="R361" s="9"/>
    </row>
    <row r="362" spans="1:18" x14ac:dyDescent="0.2">
      <c r="A362" s="1">
        <v>0.5</v>
      </c>
      <c r="B362">
        <f>'[3]9根构件'!$D$34/'[3]10根构件'!$D$34</f>
        <v>1.0769230769230769</v>
      </c>
      <c r="D362" s="12">
        <f>'[3]9根构件'!$B$46/'[3]10根构件'!$B$46</f>
        <v>1.3223570190641247</v>
      </c>
      <c r="K362" t="s">
        <v>9</v>
      </c>
      <c r="L362" t="s">
        <v>1</v>
      </c>
      <c r="M362" t="s">
        <v>2</v>
      </c>
      <c r="N362" s="1" t="s">
        <v>43</v>
      </c>
    </row>
    <row r="363" spans="1:18" x14ac:dyDescent="0.2">
      <c r="A363" s="1">
        <v>0.7</v>
      </c>
      <c r="B363">
        <f>'[3]9根构件'!$V$34/'[3]10根构件'!$V$34</f>
        <v>1</v>
      </c>
      <c r="D363" s="12">
        <f>'[3]9根构件'!$T$46/'[3]10根构件'!$T$46</f>
        <v>1.1703768368980068</v>
      </c>
      <c r="K363">
        <v>2</v>
      </c>
      <c r="N363" s="12">
        <f>'[3]11根构件 '!$T$46/(0.05*'[3]12根构件'!$X$46+0.95*'[3]12根构件'!$T$46)</f>
        <v>1.103298695988409</v>
      </c>
    </row>
    <row r="364" spans="1:18" x14ac:dyDescent="0.2">
      <c r="A364" s="1">
        <v>0.9</v>
      </c>
      <c r="B364">
        <f>'[3]9根构件'!$D$54/'[3]10根构件'!$D$54</f>
        <v>1.0102040816326532</v>
      </c>
      <c r="D364" s="12">
        <f>'[3]9根构件'!$B$66/'[3]10根构件'!$B$66</f>
        <v>1.06</v>
      </c>
      <c r="K364">
        <v>2.5</v>
      </c>
      <c r="N364" s="12">
        <f>'[4]11根构件 '!$T$46/(0.05*'[4]18根构件  '!$X$46+0.95*'[4]18根构件  '!$T$46)</f>
        <v>2.1877794336810727</v>
      </c>
    </row>
    <row r="365" spans="1:18" x14ac:dyDescent="0.2">
      <c r="K365">
        <v>2.8</v>
      </c>
    </row>
    <row r="367" spans="1:18" ht="18" x14ac:dyDescent="0.25">
      <c r="A367" s="8" t="s">
        <v>87</v>
      </c>
      <c r="B367" s="9"/>
      <c r="C367" s="9"/>
      <c r="D367" s="9"/>
      <c r="E367" s="9"/>
      <c r="F367" s="9"/>
      <c r="G367" s="9"/>
      <c r="H367" s="9"/>
    </row>
    <row r="368" spans="1:18" x14ac:dyDescent="0.2">
      <c r="A368" t="s">
        <v>9</v>
      </c>
      <c r="B368" t="s">
        <v>1</v>
      </c>
      <c r="C368" t="s">
        <v>2</v>
      </c>
      <c r="D368" s="1" t="s">
        <v>43</v>
      </c>
    </row>
    <row r="369" spans="1:8" x14ac:dyDescent="0.2">
      <c r="A369">
        <v>2</v>
      </c>
      <c r="B369">
        <f>'[3]10根构件'!$D$34/(0.05*'[3]11根构件 '!$H$34+0.95*'[3]11根构件 '!$D$34)</f>
        <v>1.0743801652892562</v>
      </c>
      <c r="D369" s="12">
        <f>'[3]10根构件'!$B$46/(0.05*'[3]11根构件 '!$F$46+0.95*'[3]11根构件 '!$B$46)</f>
        <v>1.2342245989304814</v>
      </c>
    </row>
    <row r="370" spans="1:8" x14ac:dyDescent="0.2">
      <c r="A370">
        <v>2.5</v>
      </c>
      <c r="B370">
        <f>'[4]10根构件'!$D$34/(0.05*'[4]11根构件 '!$H$34+0.95*'[4]11根构件 '!$D$34)</f>
        <v>1</v>
      </c>
      <c r="D370" s="12">
        <f>'[4]10根构件'!$B$46/(0.05*'[4]11根构件 '!$F$46+0.95*'[4]11根构件 '!$B$46)</f>
        <v>1.2996389891696749</v>
      </c>
    </row>
    <row r="371" spans="1:8" x14ac:dyDescent="0.2">
      <c r="A371">
        <v>2.8</v>
      </c>
      <c r="B371">
        <f>'[1]10根构件'!$D$34/(0.05*'[1]11根构件 '!$H$34+0.95*'[1]11根构件 '!$D$34)</f>
        <v>1.0000000000000002</v>
      </c>
    </row>
    <row r="374" spans="1:8" ht="18" x14ac:dyDescent="0.25">
      <c r="A374" s="8" t="s">
        <v>88</v>
      </c>
      <c r="B374" s="9"/>
      <c r="C374" s="9"/>
      <c r="D374" s="9"/>
      <c r="E374" s="9"/>
      <c r="F374" s="9"/>
      <c r="G374" s="9"/>
      <c r="H374" s="9"/>
    </row>
    <row r="375" spans="1:8" x14ac:dyDescent="0.2">
      <c r="A375" t="s">
        <v>9</v>
      </c>
      <c r="B375" t="s">
        <v>1</v>
      </c>
      <c r="C375" t="s">
        <v>2</v>
      </c>
      <c r="D375" s="1" t="s">
        <v>43</v>
      </c>
    </row>
    <row r="376" spans="1:8" x14ac:dyDescent="0.2">
      <c r="A376">
        <v>2</v>
      </c>
      <c r="D376" s="12">
        <f>'[3]11根构件 '!$B$46/(0.05*'[3]12根构件'!$F$46+0.95*'[3]12根构件'!$B$46)</f>
        <v>1.4189807750991763</v>
      </c>
    </row>
    <row r="377" spans="1:8" x14ac:dyDescent="0.2">
      <c r="A377">
        <v>2.5</v>
      </c>
      <c r="D377" s="12">
        <f>'[4]11根构件 '!$B$46/(0.05*'[4]12根构件'!$F$46+0.95*'[4]12根构件'!$B$46)</f>
        <v>1.7532467532467535</v>
      </c>
    </row>
    <row r="378" spans="1:8" x14ac:dyDescent="0.2">
      <c r="A378">
        <v>2.8</v>
      </c>
    </row>
    <row r="381" spans="1:8" ht="18" x14ac:dyDescent="0.25">
      <c r="A381" s="8" t="s">
        <v>89</v>
      </c>
      <c r="B381" s="9"/>
      <c r="C381" s="9"/>
      <c r="D381" s="9"/>
      <c r="E381" s="9"/>
      <c r="F381" s="9"/>
      <c r="G381" s="9"/>
      <c r="H381" s="9"/>
    </row>
    <row r="382" spans="1:8" x14ac:dyDescent="0.2">
      <c r="A382" t="s">
        <v>9</v>
      </c>
      <c r="B382" t="s">
        <v>1</v>
      </c>
      <c r="C382" t="s">
        <v>2</v>
      </c>
      <c r="D382" s="1" t="s">
        <v>43</v>
      </c>
    </row>
    <row r="383" spans="1:8" x14ac:dyDescent="0.2">
      <c r="A383">
        <v>2</v>
      </c>
      <c r="D383" s="12">
        <f>'[3]12根构件'!$B$46/(0.05*'[3]13根构件'!$F$46+0.95*'[3]13根构件'!$B$46)</f>
        <v>1.0424398902694851</v>
      </c>
    </row>
    <row r="384" spans="1:8" x14ac:dyDescent="0.2">
      <c r="A384">
        <v>2.5</v>
      </c>
      <c r="D384">
        <f>'[4]12根构件'!$B$46/(0.05*'[4]13根构件'!$F$46+0.95*'[4]13根构件'!$B$46)</f>
        <v>0.84269662921348321</v>
      </c>
    </row>
    <row r="385" spans="1:8" x14ac:dyDescent="0.2">
      <c r="A385">
        <v>2.8</v>
      </c>
    </row>
    <row r="388" spans="1:8" ht="18" x14ac:dyDescent="0.25">
      <c r="A388" s="8" t="s">
        <v>90</v>
      </c>
      <c r="B388" s="9"/>
      <c r="C388" s="9"/>
      <c r="D388" s="9"/>
      <c r="E388" s="9"/>
      <c r="F388" s="9"/>
      <c r="G388" s="9"/>
      <c r="H388" s="9"/>
    </row>
    <row r="389" spans="1:8" x14ac:dyDescent="0.2">
      <c r="A389" t="s">
        <v>9</v>
      </c>
      <c r="B389" t="s">
        <v>1</v>
      </c>
      <c r="C389" t="s">
        <v>2</v>
      </c>
      <c r="D389" s="1" t="s">
        <v>43</v>
      </c>
    </row>
    <row r="390" spans="1:8" x14ac:dyDescent="0.2">
      <c r="A390">
        <v>2</v>
      </c>
      <c r="D390" s="12">
        <f>'[3]13根构件'!$B$46/(0.05*'[3]14根构件'!$F$46+0.95*'[3]14根构件'!$B$46)</f>
        <v>1.2960235640648012</v>
      </c>
    </row>
    <row r="391" spans="1:8" x14ac:dyDescent="0.2">
      <c r="A391">
        <v>2.5</v>
      </c>
      <c r="D391">
        <f>'[4]13根构件'!$B$46/(0.05*'[4]14根构件'!$F$46+0.95*'[4]14根构件'!$B$46)</f>
        <v>1.9889502762430937</v>
      </c>
    </row>
    <row r="392" spans="1:8" x14ac:dyDescent="0.2">
      <c r="A392">
        <v>2.8</v>
      </c>
    </row>
    <row r="395" spans="1:8" ht="18" x14ac:dyDescent="0.25">
      <c r="A395" s="8" t="s">
        <v>91</v>
      </c>
      <c r="B395" s="9"/>
      <c r="C395" s="9"/>
      <c r="D395" s="9"/>
      <c r="E395" s="9"/>
      <c r="F395" s="9"/>
      <c r="G395" s="9"/>
      <c r="H395" s="9"/>
    </row>
    <row r="396" spans="1:8" x14ac:dyDescent="0.2">
      <c r="A396" t="s">
        <v>9</v>
      </c>
      <c r="B396" t="s">
        <v>1</v>
      </c>
      <c r="C396" t="s">
        <v>2</v>
      </c>
      <c r="D396" s="1" t="s">
        <v>43</v>
      </c>
    </row>
    <row r="397" spans="1:8" x14ac:dyDescent="0.2">
      <c r="A397">
        <v>2</v>
      </c>
      <c r="D397" s="12">
        <f>'[3]14根构件'!$B$46/(0.05*'[3]15根构件 '!$F$46+0.95*'[3]15根构件 '!$B$46)</f>
        <v>1.1947919326014809</v>
      </c>
    </row>
    <row r="398" spans="1:8" x14ac:dyDescent="0.2">
      <c r="A398">
        <v>2.5</v>
      </c>
      <c r="D398">
        <f>'[4]14根构件'!$B$46/(0.05*'[4]15根构件 '!$F$46+0.95*'[4]15根构件 '!$B$46)</f>
        <v>0.74380165289256206</v>
      </c>
    </row>
    <row r="399" spans="1:8" x14ac:dyDescent="0.2">
      <c r="A399">
        <v>2.8</v>
      </c>
    </row>
    <row r="402" spans="1:8" ht="18" x14ac:dyDescent="0.25">
      <c r="A402" s="8" t="s">
        <v>92</v>
      </c>
      <c r="B402" s="9"/>
      <c r="C402" s="9"/>
      <c r="D402" s="9"/>
      <c r="E402" s="9"/>
      <c r="F402" s="9"/>
      <c r="G402" s="9"/>
      <c r="H402" s="9"/>
    </row>
    <row r="403" spans="1:8" x14ac:dyDescent="0.2">
      <c r="A403" t="s">
        <v>9</v>
      </c>
      <c r="B403" t="s">
        <v>1</v>
      </c>
      <c r="C403" t="s">
        <v>2</v>
      </c>
      <c r="D403" s="1" t="s">
        <v>43</v>
      </c>
    </row>
    <row r="404" spans="1:8" x14ac:dyDescent="0.2">
      <c r="A404">
        <v>2</v>
      </c>
      <c r="D404" s="12">
        <f>'[3]15根构件 '!$B$46/(0.05*'[3]16根构件  '!$F$46+0.95*'[3]16根构件  '!$B$46)</f>
        <v>1.2243609971599876</v>
      </c>
    </row>
    <row r="405" spans="1:8" x14ac:dyDescent="0.2">
      <c r="A405">
        <v>2.5</v>
      </c>
      <c r="D405">
        <f>'[4]15根构件 '!$B$46/(0.05*'[4]16根构件  '!$F$46+0.95*'[4]16根构件  '!$B$46)</f>
        <v>8.6021505376344081</v>
      </c>
    </row>
    <row r="406" spans="1:8" x14ac:dyDescent="0.2">
      <c r="A406">
        <v>2.8</v>
      </c>
    </row>
    <row r="409" spans="1:8" ht="18" x14ac:dyDescent="0.25">
      <c r="A409" s="8" t="s">
        <v>93</v>
      </c>
      <c r="B409" s="9"/>
      <c r="C409" s="9"/>
      <c r="D409" s="9"/>
      <c r="E409" s="9"/>
      <c r="F409" s="9"/>
      <c r="G409" s="9"/>
      <c r="H409" s="9"/>
    </row>
    <row r="410" spans="1:8" x14ac:dyDescent="0.2">
      <c r="A410" t="s">
        <v>9</v>
      </c>
      <c r="B410" t="s">
        <v>1</v>
      </c>
      <c r="C410" t="s">
        <v>2</v>
      </c>
      <c r="D410" s="1" t="s">
        <v>43</v>
      </c>
    </row>
    <row r="411" spans="1:8" x14ac:dyDescent="0.2">
      <c r="A411">
        <v>2</v>
      </c>
      <c r="D411" s="12"/>
    </row>
    <row r="412" spans="1:8" x14ac:dyDescent="0.2">
      <c r="A412">
        <v>2.5</v>
      </c>
    </row>
    <row r="413" spans="1:8" x14ac:dyDescent="0.2">
      <c r="A413">
        <v>2.8</v>
      </c>
    </row>
    <row r="417" spans="1:35" x14ac:dyDescent="0.2">
      <c r="A417" s="71" t="s">
        <v>103</v>
      </c>
      <c r="B417" s="71"/>
      <c r="C417" s="71"/>
      <c r="D417" s="71"/>
      <c r="E417" s="71"/>
      <c r="F417" s="71"/>
      <c r="G417" s="71"/>
      <c r="H417" s="71"/>
    </row>
    <row r="418" spans="1:35" x14ac:dyDescent="0.2">
      <c r="A418" s="1" t="s">
        <v>102</v>
      </c>
      <c r="B418" t="s">
        <v>1</v>
      </c>
      <c r="C418" t="s">
        <v>2</v>
      </c>
      <c r="D418" s="1" t="s">
        <v>43</v>
      </c>
    </row>
    <row r="419" spans="1:35" x14ac:dyDescent="0.2">
      <c r="A419" s="1">
        <v>0.1</v>
      </c>
      <c r="B419">
        <f>'[1]8根构件开始'!$D$13/'[1]9根构件'!$D$13</f>
        <v>1</v>
      </c>
    </row>
    <row r="420" spans="1:35" x14ac:dyDescent="0.2">
      <c r="A420" s="1">
        <v>0.3</v>
      </c>
      <c r="B420">
        <f>'[1]8根构件开始'!$V$13/'[1]9根构件'!$V$13</f>
        <v>1</v>
      </c>
    </row>
    <row r="421" spans="1:35" x14ac:dyDescent="0.2">
      <c r="A421" s="1">
        <v>0.5</v>
      </c>
      <c r="B421">
        <f>'[1]8根构件开始'!$D$34/'[1]9根构件'!$D$34</f>
        <v>1</v>
      </c>
    </row>
    <row r="422" spans="1:35" x14ac:dyDescent="0.2">
      <c r="A422" s="1">
        <v>0.7</v>
      </c>
      <c r="B422">
        <f>'[1]8根构件开始'!$V$34/'[1]9根构件'!$V$34</f>
        <v>1</v>
      </c>
    </row>
    <row r="423" spans="1:35" x14ac:dyDescent="0.2">
      <c r="A423" s="1">
        <v>0.9</v>
      </c>
      <c r="B423">
        <f>'[1]8根构件开始'!$D$54/'[1]9根构件'!$D$54</f>
        <v>1</v>
      </c>
    </row>
    <row r="424" spans="1:35" x14ac:dyDescent="0.2">
      <c r="A424" s="1"/>
    </row>
    <row r="425" spans="1:35" ht="15" thickBot="1" x14ac:dyDescent="0.25">
      <c r="A425" s="1"/>
    </row>
    <row r="426" spans="1:35" ht="15" thickTop="1" x14ac:dyDescent="0.2">
      <c r="A426" s="71" t="s">
        <v>104</v>
      </c>
      <c r="B426" s="71"/>
      <c r="C426" s="71"/>
      <c r="D426" s="71"/>
      <c r="E426" s="71"/>
      <c r="F426" s="71"/>
      <c r="G426" s="71"/>
      <c r="H426" s="71"/>
      <c r="K426" s="72" t="s">
        <v>105</v>
      </c>
      <c r="L426" s="72"/>
      <c r="M426" s="72"/>
      <c r="N426" s="72"/>
      <c r="O426" s="72"/>
      <c r="P426" s="72"/>
      <c r="Q426" s="72"/>
      <c r="S426" s="67" t="s">
        <v>106</v>
      </c>
      <c r="T426" s="68"/>
      <c r="U426" s="68"/>
      <c r="V426" s="68"/>
      <c r="W426" s="68"/>
      <c r="X426" s="68"/>
      <c r="Y426" s="69"/>
      <c r="AA426" s="67" t="s">
        <v>109</v>
      </c>
      <c r="AB426" s="68"/>
      <c r="AC426" s="68"/>
      <c r="AD426" s="68"/>
      <c r="AE426" s="68"/>
      <c r="AF426" s="68"/>
      <c r="AG426" s="68"/>
      <c r="AH426" s="68"/>
      <c r="AI426" s="69"/>
    </row>
    <row r="427" spans="1:35" x14ac:dyDescent="0.2">
      <c r="A427" s="1" t="s">
        <v>102</v>
      </c>
      <c r="B427" t="s">
        <v>1</v>
      </c>
      <c r="C427" t="s">
        <v>2</v>
      </c>
      <c r="D427" s="1" t="s">
        <v>43</v>
      </c>
      <c r="K427" s="1" t="s">
        <v>7</v>
      </c>
      <c r="L427" s="1" t="s">
        <v>43</v>
      </c>
      <c r="S427" s="30" t="s">
        <v>7</v>
      </c>
      <c r="T427" s="1" t="s">
        <v>43</v>
      </c>
      <c r="U427" s="1"/>
      <c r="V427" s="1"/>
      <c r="W427" s="1"/>
      <c r="Y427" s="21"/>
      <c r="AA427" s="30" t="s">
        <v>7</v>
      </c>
      <c r="AB427" s="1"/>
      <c r="AC427" s="1" t="s">
        <v>136</v>
      </c>
      <c r="AD427" s="1"/>
      <c r="AI427" s="21"/>
    </row>
    <row r="428" spans="1:35" x14ac:dyDescent="0.2">
      <c r="A428" s="1">
        <v>0.1</v>
      </c>
      <c r="B428">
        <f>'[3]8根构件开始'!$D$13/'[3]9根构件'!$D$13</f>
        <v>1</v>
      </c>
      <c r="K428" s="1">
        <v>9</v>
      </c>
      <c r="L428" s="40">
        <f>'[3]8根构件开始'!$B$46/'[3]9根构件'!$B$46</f>
        <v>1.3486238532110091</v>
      </c>
      <c r="M428" s="40"/>
      <c r="S428" s="30">
        <v>9</v>
      </c>
      <c r="T428">
        <f>'[3]8根构件开始'!$T$46/'[3]9根构件'!$T$46</f>
        <v>1.1723023371456986</v>
      </c>
      <c r="V428" s="1"/>
      <c r="X428" s="1"/>
      <c r="AA428" s="30">
        <v>9</v>
      </c>
      <c r="AC428">
        <f>'[3]33根构件 '!$T$46/('[3]34根构件'!$X$46)</f>
        <v>1.0838668373879641</v>
      </c>
      <c r="AI428" s="21"/>
    </row>
    <row r="429" spans="1:35" x14ac:dyDescent="0.2">
      <c r="A429" s="1">
        <v>0.3</v>
      </c>
      <c r="B429">
        <f>'[3]8根构件开始'!$V$13/'[3]9根构件'!$V$13</f>
        <v>1</v>
      </c>
      <c r="D429">
        <f>'[3]8根构件开始'!$T$25/'[3]9根构件'!$T$25</f>
        <v>1.8</v>
      </c>
      <c r="K429" s="1">
        <v>10</v>
      </c>
      <c r="L429" s="40">
        <f>'[3]9根构件'!$B$46/'[3]10根构件'!$B$46</f>
        <v>1.3223570190641247</v>
      </c>
      <c r="S429" s="30">
        <v>10</v>
      </c>
      <c r="T429">
        <f>'[3]9根构件'!$T$46/'[3]10根构件'!$T$46</f>
        <v>1.1703768368980068</v>
      </c>
      <c r="V429" s="1"/>
      <c r="X429" s="1"/>
      <c r="AA429" s="30">
        <v>14</v>
      </c>
      <c r="AC429">
        <f>'[3]13根构件'!$T$46/('[3]14根构件'!$X$46)</f>
        <v>1.063034188034188</v>
      </c>
      <c r="AI429" s="21"/>
    </row>
    <row r="430" spans="1:35" x14ac:dyDescent="0.2">
      <c r="A430" s="1">
        <v>0.5</v>
      </c>
      <c r="B430">
        <f>'[3]8根构件开始'!$D$34/'[3]9根构件'!$D$34</f>
        <v>1</v>
      </c>
      <c r="D430">
        <f>'[3]8根构件开始'!$B$46/'[3]9根构件'!$B$46</f>
        <v>1.3486238532110091</v>
      </c>
      <c r="K430" s="1">
        <v>11</v>
      </c>
      <c r="L430" s="40">
        <f>'[3]10根构件'!$B$46/'[3]11根构件 '!$B$46</f>
        <v>1.2408602150537635</v>
      </c>
      <c r="S430" s="30">
        <v>11</v>
      </c>
      <c r="T430">
        <f>'[3]10根构件'!$T$46/'[3]11根构件 '!$T$46</f>
        <v>1.1074766355140186</v>
      </c>
      <c r="V430" s="1"/>
      <c r="X430" s="1"/>
      <c r="AA430" s="30">
        <v>19</v>
      </c>
      <c r="AC430">
        <f>'[3]43根构件   '!$T$46/('[3]44根构件 '!$X$46)</f>
        <v>1.0493617021276596</v>
      </c>
      <c r="AI430" s="21"/>
    </row>
    <row r="431" spans="1:35" x14ac:dyDescent="0.2">
      <c r="A431" s="1">
        <v>0.7</v>
      </c>
      <c r="B431">
        <v>1</v>
      </c>
      <c r="D431">
        <f>'[3]8根构件开始'!$T$46/'[3]9根构件'!$T$46</f>
        <v>1.1723023371456986</v>
      </c>
      <c r="K431" s="1">
        <v>12</v>
      </c>
      <c r="L431" s="40">
        <f>'[3]11根构件 '!$B$46/'[3]12根构件'!$B$46</f>
        <v>1.4396284829721362</v>
      </c>
      <c r="S431" s="30">
        <v>12</v>
      </c>
      <c r="T431">
        <f>'[3]11根构件 '!$T$46/'[3]12根构件'!$T$46</f>
        <v>1.1082142857142858</v>
      </c>
      <c r="V431" s="1"/>
      <c r="X431" s="1"/>
      <c r="AA431" s="30">
        <v>24</v>
      </c>
      <c r="AC431">
        <f>'[3]8根构件开始'!$T$46/('[3]9根构件'!$X$46)</f>
        <v>1.0360360360360361</v>
      </c>
      <c r="AI431" s="21"/>
    </row>
    <row r="432" spans="1:35" x14ac:dyDescent="0.2">
      <c r="A432" s="1">
        <v>0.9</v>
      </c>
      <c r="B432">
        <v>1</v>
      </c>
      <c r="D432">
        <f>'[3]8根构件开始'!$B$66/'[3]9根构件'!$B$66</f>
        <v>1.0754716981132075</v>
      </c>
      <c r="K432" s="1">
        <v>13</v>
      </c>
      <c r="L432" s="40">
        <f>'[3]12根构件'!$B$46/'[3]13根构件'!$B$46</f>
        <v>1.0487012987012985</v>
      </c>
      <c r="S432" s="30">
        <v>13</v>
      </c>
      <c r="T432">
        <f>'[3]12根构件'!$T$46/'[3]13根构件'!$T$46</f>
        <v>1.1256281407035176</v>
      </c>
      <c r="V432" s="1"/>
      <c r="X432" s="1"/>
      <c r="AA432" s="30">
        <v>29</v>
      </c>
      <c r="AC432">
        <f>'[3]38根构件  '!$T$46/('[3]39根构件   '!$X$46)</f>
        <v>1.0193164933135217</v>
      </c>
      <c r="AI432" s="21"/>
    </row>
    <row r="433" spans="1:35" x14ac:dyDescent="0.2">
      <c r="K433" s="1">
        <v>14</v>
      </c>
      <c r="L433" s="40">
        <f>'[3]13根构件'!$B$46/'[3]14根构件'!$B$46</f>
        <v>1.3162393162393164</v>
      </c>
      <c r="M433" s="40"/>
      <c r="S433" s="30">
        <v>14</v>
      </c>
      <c r="T433">
        <f>'[3]13根构件'!$T$46/'[3]14根构件'!$T$46</f>
        <v>1.1276065276518585</v>
      </c>
      <c r="V433" s="1"/>
      <c r="X433" s="1"/>
      <c r="AA433" s="30">
        <v>34</v>
      </c>
      <c r="AC433">
        <f>'[3]18根构件  '!$T$46/('[3]19根构件'!$X$46)</f>
        <v>1.0170754424091897</v>
      </c>
      <c r="AI433" s="21"/>
    </row>
    <row r="434" spans="1:35" x14ac:dyDescent="0.2">
      <c r="K434" s="1">
        <v>15</v>
      </c>
      <c r="L434" s="40">
        <f>'[3]14根构件'!$B$46/'[3]15根构件 '!$B$46</f>
        <v>1.2061855670103092</v>
      </c>
      <c r="S434" s="30">
        <v>15</v>
      </c>
      <c r="T434">
        <f>'[3]14根构件'!$T$46/'[3]15根构件 '!$T$46</f>
        <v>1.0763600878262991</v>
      </c>
      <c r="V434" s="1"/>
      <c r="X434" s="1"/>
      <c r="AA434" s="30">
        <v>39</v>
      </c>
      <c r="AC434">
        <f>'[3]28根构件'!$T$46/('[3]29根构件 '!$X$46)</f>
        <v>1.0020597322348095</v>
      </c>
      <c r="AI434" s="21"/>
    </row>
    <row r="435" spans="1:35" x14ac:dyDescent="0.2">
      <c r="A435" s="71" t="s">
        <v>116</v>
      </c>
      <c r="B435" s="71"/>
      <c r="C435" s="71"/>
      <c r="D435" s="71"/>
      <c r="E435" s="71"/>
      <c r="F435" s="71"/>
      <c r="G435" s="71"/>
      <c r="H435" s="71"/>
      <c r="K435" s="1">
        <v>16</v>
      </c>
      <c r="L435" s="40">
        <f>'[3]15根构件 '!$B$46/'[3]16根构件  '!$B$46</f>
        <v>1.2356687898089174</v>
      </c>
      <c r="S435" s="30">
        <v>16</v>
      </c>
      <c r="T435">
        <f>'[3]15根构件 '!$T$46/'[3]16根构件  '!$T$46</f>
        <v>1.0529154893398407</v>
      </c>
      <c r="V435" s="1"/>
      <c r="X435" s="1"/>
      <c r="Y435" s="4"/>
      <c r="AA435" s="30">
        <v>44</v>
      </c>
      <c r="AC435">
        <f>'[3]23根构件'!$T$46/('[3]24根构件 '!$X$46)</f>
        <v>1.0012305168170632</v>
      </c>
      <c r="AI435" s="21"/>
    </row>
    <row r="436" spans="1:35" ht="15" thickBot="1" x14ac:dyDescent="0.25">
      <c r="A436" s="1" t="s">
        <v>102</v>
      </c>
      <c r="B436" s="1" t="s">
        <v>43</v>
      </c>
      <c r="K436" s="1">
        <v>17</v>
      </c>
      <c r="L436" s="40">
        <f>'[3]16根构件  '!$B$46/'[3]17根构件  '!$B$46</f>
        <v>1.1376811594202898</v>
      </c>
      <c r="S436" s="30">
        <v>17</v>
      </c>
      <c r="T436">
        <f>'[3]16根构件  '!$T$46/'[3]17根构件  '!$T$46</f>
        <v>1.0828929068150208</v>
      </c>
      <c r="V436" s="1"/>
      <c r="X436" s="1"/>
      <c r="Y436" s="4"/>
      <c r="AA436" s="31">
        <v>49</v>
      </c>
      <c r="AB436" s="38"/>
      <c r="AC436" s="23">
        <v>1.0011323599999999</v>
      </c>
      <c r="AD436" s="23"/>
      <c r="AE436" s="23"/>
      <c r="AF436" s="23"/>
      <c r="AG436" s="23"/>
      <c r="AH436" s="23"/>
      <c r="AI436" s="24"/>
    </row>
    <row r="437" spans="1:35" ht="15" thickTop="1" x14ac:dyDescent="0.2">
      <c r="A437" s="1">
        <v>0.1</v>
      </c>
      <c r="K437" s="1">
        <v>18</v>
      </c>
      <c r="L437" s="40">
        <f>'[3]17根构件  '!$B$46/'[3]18根构件  '!$B$46</f>
        <v>1.069767441860465</v>
      </c>
      <c r="S437" s="30">
        <v>18</v>
      </c>
      <c r="T437">
        <f>'[3]17根构件  '!$T$46/'[3]18根构件  '!$T$46</f>
        <v>1.0973748473748475</v>
      </c>
      <c r="X437" s="1"/>
      <c r="AA437" s="1"/>
    </row>
    <row r="438" spans="1:35" ht="15" thickBot="1" x14ac:dyDescent="0.25">
      <c r="A438" s="1">
        <v>0.3</v>
      </c>
      <c r="B438">
        <f>'[3]8根构件开始'!$T$25/(0.0668*'[3]8根构件开始'!$T$25+0.9332*'[3]9根构件'!$X$25)</f>
        <v>1.0742591590540151</v>
      </c>
      <c r="K438" s="1">
        <v>19</v>
      </c>
      <c r="L438" s="40">
        <f>'[3]18根构件  '!$B$46/'[3]19根构件'!$B$46</f>
        <v>1.1120689655172413</v>
      </c>
      <c r="S438" s="30">
        <v>19</v>
      </c>
      <c r="T438">
        <f>'[3]18根构件  '!$T$46/'[3]19根构件'!$T$46</f>
        <v>1.0869276708692766</v>
      </c>
      <c r="X438" s="1"/>
      <c r="AA438" s="76"/>
      <c r="AB438" s="76"/>
      <c r="AC438" s="76"/>
      <c r="AD438" s="76"/>
      <c r="AE438" s="76"/>
      <c r="AF438" s="76"/>
      <c r="AG438" s="76"/>
      <c r="AH438" s="76"/>
      <c r="AI438" s="76"/>
    </row>
    <row r="439" spans="1:35" ht="15" thickTop="1" x14ac:dyDescent="0.2">
      <c r="A439" s="1">
        <v>0.5</v>
      </c>
      <c r="B439" s="4">
        <f>'[3]46根构件 '!$B$46/(0.0668*'[3]46根构件 '!$B$46+0.9332*'[3]9根构件'!$F$46)</f>
        <v>1.0177062800166812E-2</v>
      </c>
      <c r="K439" s="1">
        <v>20</v>
      </c>
      <c r="L439" s="40">
        <f>'[3]19根构件'!$B$46/'[3]20根构件'!$B$46</f>
        <v>1.1262135922330099</v>
      </c>
      <c r="S439" s="30">
        <v>20</v>
      </c>
      <c r="T439">
        <f>'[3]19根构件'!$T$46/'[3]20根构件'!$T$46</f>
        <v>1.0151566183900302</v>
      </c>
      <c r="X439" s="1"/>
      <c r="AA439" s="67" t="s">
        <v>119</v>
      </c>
      <c r="AB439" s="68"/>
      <c r="AC439" s="68"/>
      <c r="AD439" s="68"/>
      <c r="AE439" s="68"/>
      <c r="AF439" s="68"/>
      <c r="AG439" s="68"/>
      <c r="AH439" s="68"/>
      <c r="AI439" s="69"/>
    </row>
    <row r="440" spans="1:35" x14ac:dyDescent="0.2">
      <c r="A440" s="1">
        <v>0.7</v>
      </c>
      <c r="B440">
        <f>'[3]8根构件开始'!$T$46/(0.0668*'[3]8根构件开始'!$T$46+0.9332*'[3]9根构件'!$X$46)</f>
        <v>1.0335480716689194</v>
      </c>
      <c r="K440" s="1">
        <v>21</v>
      </c>
      <c r="L440" s="40">
        <f>'[3]20根构件'!$B$46/'[3]21根构件 '!$B$46</f>
        <v>1.1318681318681318</v>
      </c>
      <c r="S440" s="30">
        <v>21</v>
      </c>
      <c r="T440">
        <f>'[3]20根构件'!$T$46/'[3]21根构件 '!$T$46</f>
        <v>1.0524636653668911</v>
      </c>
      <c r="X440" s="1"/>
      <c r="AA440" s="30" t="s">
        <v>7</v>
      </c>
      <c r="AB440" s="1"/>
      <c r="AC440" s="1" t="s">
        <v>136</v>
      </c>
      <c r="AI440" s="21"/>
    </row>
    <row r="441" spans="1:35" x14ac:dyDescent="0.2">
      <c r="A441" s="1">
        <v>0.9</v>
      </c>
      <c r="B441">
        <f>'[3]8根构件开始'!$B$66/(0.0668*'[3]8根构件开始'!$B$66+0.9332*'[3]9根构件'!$G$66)</f>
        <v>1.0166444312855381</v>
      </c>
      <c r="K441" s="1">
        <v>22</v>
      </c>
      <c r="L441" s="40">
        <f>'[3]21根构件 '!$B$46/'[3]22根构件 '!$B$46</f>
        <v>1.2465753424657533</v>
      </c>
      <c r="S441" s="30">
        <v>22</v>
      </c>
      <c r="T441">
        <f>'[3]21根构件 '!$T$46/'[3]22根构件 '!$T$46</f>
        <v>1.0750762195121952</v>
      </c>
      <c r="V441" s="1"/>
      <c r="AA441" s="30">
        <v>9</v>
      </c>
      <c r="AC441">
        <f>'[4]8根构件开始'!$T$46/'[4]9根构件'!$T$46</f>
        <v>1.157088122605364</v>
      </c>
      <c r="AI441" s="21"/>
    </row>
    <row r="442" spans="1:35" x14ac:dyDescent="0.2">
      <c r="K442" s="1">
        <v>23</v>
      </c>
      <c r="L442" s="41">
        <f>'[3]22根构件 '!$B$46/'[3]23根构件'!$B$46</f>
        <v>0.98648648648648651</v>
      </c>
      <c r="S442" s="30">
        <v>23</v>
      </c>
      <c r="T442">
        <f>'[3]22根构件 '!$T$46/'[3]23根构件'!$T$46</f>
        <v>1.0749692748873412</v>
      </c>
      <c r="V442" s="1"/>
      <c r="Y442" s="21"/>
      <c r="AA442" s="30">
        <v>14</v>
      </c>
      <c r="AC442">
        <v>1.124197949</v>
      </c>
      <c r="AI442" s="21"/>
    </row>
    <row r="443" spans="1:35" ht="15" thickBot="1" x14ac:dyDescent="0.25">
      <c r="K443" s="1">
        <v>24</v>
      </c>
      <c r="L443" s="40">
        <f>'[3]23根构件'!$B$46/'[3]24根构件 '!$B$46</f>
        <v>1.0882352941176472</v>
      </c>
      <c r="S443" s="30">
        <v>24</v>
      </c>
      <c r="T443">
        <f>'[3]23根构件'!$T$46/'[3]24根构件 '!$T$46</f>
        <v>1.1025293586269196</v>
      </c>
      <c r="V443" s="1"/>
      <c r="Y443" s="21"/>
      <c r="AA443" s="30">
        <v>19</v>
      </c>
      <c r="AC443">
        <f>'[4]28根构件'!$T$46/'[4]29根构件 '!$T$46</f>
        <v>1.0924855491329479</v>
      </c>
      <c r="AI443" s="21"/>
    </row>
    <row r="444" spans="1:35" ht="15" thickTop="1" x14ac:dyDescent="0.2">
      <c r="A444" s="73" t="s">
        <v>107</v>
      </c>
      <c r="B444" s="74"/>
      <c r="C444" s="74"/>
      <c r="D444" s="74"/>
      <c r="E444" s="74"/>
      <c r="F444" s="74"/>
      <c r="G444" s="74"/>
      <c r="H444" s="75"/>
      <c r="K444" s="1">
        <v>25</v>
      </c>
      <c r="L444" s="42">
        <f>'[3]24根构件 '!$B$46/'[3]25根构件 '!$B$46</f>
        <v>0.93150684931506844</v>
      </c>
      <c r="S444" s="30">
        <v>25</v>
      </c>
      <c r="T444" s="4">
        <f>'[3]24根构件 '!$T$46/'[3]25根构件 '!$T$46</f>
        <v>0.9937163375224416</v>
      </c>
      <c r="V444" s="1"/>
      <c r="Y444" s="66"/>
      <c r="AA444" s="30">
        <v>24</v>
      </c>
      <c r="AC444">
        <f>'[4]23根构件'!$T$46/'[4]24根构件 '!$T$46</f>
        <v>1.0622406639004149</v>
      </c>
      <c r="AI444" s="21"/>
    </row>
    <row r="445" spans="1:35" x14ac:dyDescent="0.2">
      <c r="A445" s="30" t="s">
        <v>102</v>
      </c>
      <c r="B445" s="1" t="s">
        <v>43</v>
      </c>
      <c r="D445" s="1"/>
      <c r="H445" s="21"/>
      <c r="K445" s="1">
        <v>26</v>
      </c>
      <c r="L445" s="40">
        <f>'[3]25根构件 '!$B$46/'[3]26根构件'!$B$46</f>
        <v>1.2372881355932204</v>
      </c>
      <c r="S445" s="30">
        <v>26</v>
      </c>
      <c r="T445">
        <f>'[3]25根构件 '!$T$46/'[3]26根构件'!$T$46</f>
        <v>1.0425830603649977</v>
      </c>
      <c r="V445" s="1"/>
      <c r="Y445" s="21"/>
      <c r="AA445" s="30">
        <v>29</v>
      </c>
      <c r="AC445">
        <v>1.04516498</v>
      </c>
      <c r="AI445" s="21"/>
    </row>
    <row r="446" spans="1:35" x14ac:dyDescent="0.2">
      <c r="A446" s="30">
        <v>0.1</v>
      </c>
      <c r="B446" s="1"/>
      <c r="H446" s="21"/>
      <c r="K446" s="1">
        <v>27</v>
      </c>
      <c r="L446" s="40">
        <f>'[3]26根构件'!$B$46/'[3]27根构件'!$B$46</f>
        <v>1.1346153846153846</v>
      </c>
      <c r="S446" s="30">
        <v>27</v>
      </c>
      <c r="T446">
        <f>'[3]26根构件'!$T$46/'[3]27根构件'!$T$46</f>
        <v>1.0776601109430155</v>
      </c>
      <c r="V446" s="1"/>
      <c r="Y446" s="21"/>
      <c r="AA446" s="30">
        <v>34</v>
      </c>
      <c r="AC446">
        <v>1.0410646509999999</v>
      </c>
      <c r="AI446" s="21"/>
    </row>
    <row r="447" spans="1:35" x14ac:dyDescent="0.2">
      <c r="A447" s="30">
        <v>0.3</v>
      </c>
      <c r="B447" s="1">
        <f>'[3]9根构件'!$T$25/'[3]10根构件'!$T$25</f>
        <v>2.5</v>
      </c>
      <c r="H447" s="21"/>
      <c r="K447" s="1">
        <v>28</v>
      </c>
      <c r="L447" s="40">
        <f>'[3]27根构件'!$B$46/'[3]28根构件'!$B$46</f>
        <v>1.3</v>
      </c>
      <c r="S447" s="30">
        <v>28</v>
      </c>
      <c r="T447">
        <f>'[3]27根构件'!$T$46/'[3]28根构件'!$T$46</f>
        <v>1.0190133607399794</v>
      </c>
      <c r="V447" s="1"/>
      <c r="Y447" s="21"/>
      <c r="AA447" s="30">
        <v>39</v>
      </c>
      <c r="AC447">
        <v>1.039054618</v>
      </c>
      <c r="AI447" s="21"/>
    </row>
    <row r="448" spans="1:35" x14ac:dyDescent="0.2">
      <c r="A448" s="30">
        <v>0.5</v>
      </c>
      <c r="B448" s="1">
        <f>'[3]9根构件'!$B$46/'[3]10根构件'!$B$46</f>
        <v>1.3223570190641247</v>
      </c>
      <c r="H448" s="21"/>
      <c r="K448" s="1">
        <v>29</v>
      </c>
      <c r="L448" s="42">
        <f>'[3]28根构件'!$B$46/'[3]29根构件 '!$B$46</f>
        <v>0.83333333333333337</v>
      </c>
      <c r="S448" s="30">
        <v>29</v>
      </c>
      <c r="T448">
        <f>'[3]28根构件'!$T$46/'[3]29根构件 '!$T$46</f>
        <v>1.0593358737071312</v>
      </c>
      <c r="V448" s="1"/>
      <c r="Y448" s="21"/>
      <c r="AA448" s="30">
        <v>44</v>
      </c>
      <c r="AC448">
        <v>1.03215619</v>
      </c>
      <c r="AI448" s="21"/>
    </row>
    <row r="449" spans="1:35" ht="15" thickBot="1" x14ac:dyDescent="0.25">
      <c r="A449" s="30">
        <v>0.7</v>
      </c>
      <c r="B449" s="1">
        <f>'[3]9根构件'!$T$46/'[3]10根构件'!$T$46</f>
        <v>1.1703768368980068</v>
      </c>
      <c r="H449" s="21"/>
      <c r="K449" s="1">
        <v>30</v>
      </c>
      <c r="L449" s="40">
        <f>'[3]29根构件 '!$B$46/'[3]30根构件'!$B$46</f>
        <v>1.0666666666666667</v>
      </c>
      <c r="S449" s="30">
        <v>30</v>
      </c>
      <c r="T449" s="4">
        <f>'[3]29根构件 '!$T$46/'[3]30根构件'!$T$46</f>
        <v>0.97973333333333323</v>
      </c>
      <c r="V449" s="1"/>
      <c r="Y449" s="66"/>
      <c r="AA449" s="31">
        <v>49</v>
      </c>
      <c r="AB449" s="50"/>
      <c r="AC449" s="23">
        <v>1.02519191</v>
      </c>
      <c r="AD449" s="23"/>
      <c r="AE449" s="23"/>
      <c r="AF449" s="23"/>
      <c r="AG449" s="23"/>
      <c r="AH449" s="23"/>
      <c r="AI449" s="24"/>
    </row>
    <row r="450" spans="1:35" ht="15.75" thickTop="1" thickBot="1" x14ac:dyDescent="0.25">
      <c r="A450" s="31">
        <v>0.9</v>
      </c>
      <c r="B450" s="43">
        <f>'[3]9根构件'!$B$66/'[3]10根构件'!$B$66</f>
        <v>1.06</v>
      </c>
      <c r="C450" s="23"/>
      <c r="D450" s="23"/>
      <c r="E450" s="23"/>
      <c r="F450" s="23"/>
      <c r="G450" s="23"/>
      <c r="H450" s="24"/>
      <c r="K450" s="1">
        <v>31</v>
      </c>
      <c r="L450" s="40">
        <f>'[3]30根构件'!$B$46/'[3]31根构件 '!$B$46</f>
        <v>1.5</v>
      </c>
      <c r="S450" s="30">
        <v>31</v>
      </c>
      <c r="T450">
        <f>'[3]30根构件'!$T$46/'[3]31根构件 '!$T$46</f>
        <v>1.0984182776801406</v>
      </c>
      <c r="V450" s="1"/>
      <c r="Y450" s="21"/>
    </row>
    <row r="451" spans="1:35" ht="15.75" thickTop="1" thickBot="1" x14ac:dyDescent="0.25">
      <c r="K451" s="1">
        <v>32</v>
      </c>
      <c r="L451" s="42">
        <f>'[3]31根构件 '!$B$46/'[3]32根构件'!$B$46</f>
        <v>0.88235294117647056</v>
      </c>
      <c r="S451" s="30">
        <v>32</v>
      </c>
      <c r="T451">
        <f>'[3]31根构件 '!$T$46/'[3]32根构件'!$T$46</f>
        <v>1.0589330024813897</v>
      </c>
      <c r="V451" s="1"/>
      <c r="Y451" s="21"/>
    </row>
    <row r="452" spans="1:35" ht="15.75" thickTop="1" thickBot="1" x14ac:dyDescent="0.25">
      <c r="K452" s="1">
        <v>33</v>
      </c>
      <c r="L452" s="40">
        <f>'[3]32根构件'!$B$46/'[3]33根构件 '!$B$46</f>
        <v>1.0967741935483872</v>
      </c>
      <c r="S452" s="30">
        <v>33</v>
      </c>
      <c r="T452" s="4">
        <f>'[3]32根构件'!$T$46/'[3]33根构件 '!$T$46</f>
        <v>0.95215593620791494</v>
      </c>
      <c r="V452" s="1"/>
      <c r="Y452" s="21"/>
      <c r="AA452" s="67" t="s">
        <v>120</v>
      </c>
      <c r="AB452" s="68"/>
      <c r="AC452" s="68"/>
      <c r="AD452" s="68"/>
      <c r="AE452" s="68"/>
      <c r="AF452" s="68"/>
      <c r="AG452" s="68"/>
      <c r="AH452" s="68"/>
      <c r="AI452" s="69"/>
    </row>
    <row r="453" spans="1:35" ht="15" thickTop="1" x14ac:dyDescent="0.2">
      <c r="A453" s="73" t="s">
        <v>108</v>
      </c>
      <c r="B453" s="74"/>
      <c r="C453" s="74"/>
      <c r="D453" s="74"/>
      <c r="E453" s="74"/>
      <c r="F453" s="74"/>
      <c r="G453" s="74"/>
      <c r="H453" s="75"/>
      <c r="K453" s="1">
        <v>34</v>
      </c>
      <c r="L453" s="42">
        <f>'[3]33根构件 '!$B$46/'[3]34根构件'!$B$46</f>
        <v>0.88571428571428568</v>
      </c>
      <c r="S453" s="30">
        <v>34</v>
      </c>
      <c r="T453">
        <f>'[3]33根构件 '!$T$46/'[3]34根构件'!$T$46</f>
        <v>1.1014964216005205</v>
      </c>
      <c r="V453" s="1"/>
      <c r="Y453" s="21"/>
      <c r="AA453" s="30" t="s">
        <v>7</v>
      </c>
      <c r="AB453" s="1"/>
      <c r="AC453" s="1" t="s">
        <v>136</v>
      </c>
      <c r="AI453" s="21"/>
    </row>
    <row r="454" spans="1:35" x14ac:dyDescent="0.2">
      <c r="A454" s="30" t="s">
        <v>102</v>
      </c>
      <c r="B454" s="1" t="s">
        <v>43</v>
      </c>
      <c r="H454" s="21"/>
      <c r="K454" s="1">
        <v>35</v>
      </c>
      <c r="L454" s="42">
        <f>'[3]34根构件'!$B$46/'[3]35根构件 '!$B$46</f>
        <v>2.1875</v>
      </c>
      <c r="S454" s="30">
        <v>35</v>
      </c>
      <c r="T454" s="4">
        <f>'[3]34根构件'!$T$46/'[3]35根构件 '!$T$46</f>
        <v>0.99870045484080572</v>
      </c>
      <c r="U454" s="4"/>
      <c r="V454" s="1"/>
      <c r="Y454" s="21"/>
      <c r="AA454" s="30">
        <v>9</v>
      </c>
      <c r="AB454" s="5"/>
      <c r="AC454" s="51">
        <v>1.0973824999999999</v>
      </c>
      <c r="AI454" s="21"/>
    </row>
    <row r="455" spans="1:35" x14ac:dyDescent="0.2">
      <c r="A455" s="30">
        <v>0.1</v>
      </c>
      <c r="H455" s="21"/>
      <c r="K455" s="1">
        <v>36</v>
      </c>
      <c r="L455" s="42">
        <f>'[3]35根构件 '!$B$46/'[3]36根构件 '!$B$46</f>
        <v>0.76190476190476197</v>
      </c>
      <c r="S455" s="30">
        <v>36</v>
      </c>
      <c r="T455">
        <f>'[3]35根构件 '!$T$46/'[3]36根构件 '!$T$46</f>
        <v>1.0335795836131634</v>
      </c>
      <c r="V455" s="1"/>
      <c r="Y455" s="21"/>
      <c r="AA455" s="30">
        <v>14</v>
      </c>
      <c r="AB455" s="5"/>
      <c r="AC455" s="51">
        <v>1.0768922999999999</v>
      </c>
      <c r="AI455" s="21"/>
    </row>
    <row r="456" spans="1:35" x14ac:dyDescent="0.2">
      <c r="A456" s="30">
        <v>0.3</v>
      </c>
      <c r="B456">
        <f>'[3]9根构件'!$T$25/('[3]10根构件'!$X$25)</f>
        <v>1.6666666666666667</v>
      </c>
      <c r="H456" s="21"/>
      <c r="K456" s="1">
        <v>37</v>
      </c>
      <c r="L456" s="41">
        <f>'[3]36根构件 '!$B$46/'[3]37根构件  '!$B$46</f>
        <v>0.8076923076923076</v>
      </c>
      <c r="S456" s="30">
        <v>37</v>
      </c>
      <c r="T456">
        <f>'[3]36根构件 '!$T$46/'[3]37根构件  '!$T$46</f>
        <v>1.0681492109038737</v>
      </c>
      <c r="V456" s="1"/>
      <c r="Y456" s="21"/>
      <c r="AA456" s="30">
        <v>19</v>
      </c>
      <c r="AB456" s="5"/>
      <c r="AC456" s="51">
        <v>1.0628040999999999</v>
      </c>
      <c r="AI456" s="21"/>
    </row>
    <row r="457" spans="1:35" x14ac:dyDescent="0.2">
      <c r="A457" s="30">
        <v>0.5</v>
      </c>
      <c r="B457">
        <f>'[3]9根构件'!$B$46/('[3]10根构件'!$F$46)</f>
        <v>1.1138686131386861</v>
      </c>
      <c r="H457" s="21"/>
      <c r="K457" s="1">
        <v>38</v>
      </c>
      <c r="L457" s="40">
        <f>'[3]37根构件  '!$B$46/'[3]38根构件  '!$B$46</f>
        <v>1.0833333333333335</v>
      </c>
      <c r="S457" s="30">
        <v>38</v>
      </c>
      <c r="T457">
        <f>'[3]37根构件  '!$T$46/'[3]38根构件  '!$T$46</f>
        <v>1.0160349854227406</v>
      </c>
      <c r="V457" s="1"/>
      <c r="Y457" s="21"/>
      <c r="AA457" s="30">
        <v>24</v>
      </c>
      <c r="AB457" s="5"/>
      <c r="AC457" s="51">
        <v>1.0473627999999999</v>
      </c>
      <c r="AI457" s="21"/>
    </row>
    <row r="458" spans="1:35" x14ac:dyDescent="0.2">
      <c r="A458" s="30">
        <v>0.7</v>
      </c>
      <c r="B458">
        <f>'[3]9根构件'!$T$46/('[3]10根构件'!$X$46)</f>
        <v>1.0180989748133149</v>
      </c>
      <c r="H458" s="21"/>
      <c r="K458" s="1">
        <v>39</v>
      </c>
      <c r="L458" s="40">
        <f>'[3]38根构件  '!$B$46/'[3]39根构件   '!$B$46</f>
        <v>1.3333333333333333</v>
      </c>
      <c r="S458" s="30">
        <v>39</v>
      </c>
      <c r="T458">
        <f>'[3]38根构件  '!$T$46/'[3]39根构件   '!$T$46</f>
        <v>1.0570107858243452</v>
      </c>
      <c r="Y458" s="21"/>
      <c r="AA458" s="30">
        <v>29</v>
      </c>
      <c r="AB458" s="5"/>
      <c r="AC458" s="51">
        <v>1.038095</v>
      </c>
      <c r="AI458" s="21"/>
    </row>
    <row r="459" spans="1:35" ht="15" thickBot="1" x14ac:dyDescent="0.25">
      <c r="A459" s="31">
        <v>0.9</v>
      </c>
      <c r="B459" s="23">
        <f>'[3]9根构件'!$B$66/('[3]10根构件'!$G$66)</f>
        <v>1</v>
      </c>
      <c r="C459" s="23"/>
      <c r="D459" s="23"/>
      <c r="E459" s="23"/>
      <c r="F459" s="23"/>
      <c r="G459" s="23"/>
      <c r="H459" s="24"/>
      <c r="K459" s="1">
        <v>40</v>
      </c>
      <c r="L459" s="42">
        <f>'[3]39根构件   '!$B$46/'[3]40根构件  '!$B$46</f>
        <v>0.94736842105263153</v>
      </c>
      <c r="S459" s="30">
        <v>40</v>
      </c>
      <c r="T459" s="4">
        <f>'[3]39根构件   '!$T$46/'[3]40根构件  '!$T$46</f>
        <v>0.98482549317147194</v>
      </c>
      <c r="U459" s="4"/>
      <c r="Y459" s="21"/>
      <c r="AA459" s="30">
        <v>34</v>
      </c>
      <c r="AB459" s="5"/>
      <c r="AC459" s="51">
        <v>1.0296339999999999</v>
      </c>
      <c r="AI459" s="21"/>
    </row>
    <row r="460" spans="1:35" ht="15" thickTop="1" x14ac:dyDescent="0.2">
      <c r="K460" s="1">
        <v>41</v>
      </c>
      <c r="L460" s="40">
        <f>'[3]40根构件  '!$B$46/'[3]41根构件  '!$B$46</f>
        <v>1.0555555555555556</v>
      </c>
      <c r="S460" s="30">
        <v>41</v>
      </c>
      <c r="T460">
        <f>'[3]40根构件  '!$T$46/'[3]41根构件  '!$T$46</f>
        <v>1.0569366479550923</v>
      </c>
      <c r="Y460" s="21"/>
      <c r="AA460" s="30">
        <v>39</v>
      </c>
      <c r="AB460" s="5"/>
      <c r="AC460" s="51">
        <v>1.0217080000000001</v>
      </c>
      <c r="AI460" s="21"/>
    </row>
    <row r="461" spans="1:35" x14ac:dyDescent="0.2">
      <c r="K461" s="1">
        <v>42</v>
      </c>
      <c r="L461" s="40">
        <f>'[3]41根构件  '!$B$46/'[3]42根构件  '!$B$46</f>
        <v>1.3846153846153846</v>
      </c>
      <c r="S461" s="30">
        <v>42</v>
      </c>
      <c r="T461">
        <f>'[3]41根构件  '!$T$46/'[3]42根构件  '!$T$46</f>
        <v>1.0540997464074386</v>
      </c>
      <c r="Y461" s="21"/>
      <c r="AA461" s="30">
        <v>44</v>
      </c>
      <c r="AB461" s="5"/>
      <c r="AC461" s="51">
        <v>1.0183519999999999</v>
      </c>
      <c r="AI461" s="21"/>
    </row>
    <row r="462" spans="1:35" ht="15" thickBot="1" x14ac:dyDescent="0.25">
      <c r="K462" s="1">
        <v>43</v>
      </c>
      <c r="L462" s="42">
        <f>'[3]42根构件  '!$B$46/'[3]43根构件   '!$B$46</f>
        <v>0.9285714285714286</v>
      </c>
      <c r="S462" s="30">
        <v>43</v>
      </c>
      <c r="T462" s="4">
        <f>'[3]42根构件  '!$T$46/'[3]43根构件   '!$T$46</f>
        <v>0.95944849959448508</v>
      </c>
      <c r="Y462" s="21"/>
      <c r="AA462" s="31">
        <v>49</v>
      </c>
      <c r="AB462" s="50"/>
      <c r="AC462" s="51">
        <v>1.012489</v>
      </c>
      <c r="AD462" s="23"/>
      <c r="AE462" s="23"/>
      <c r="AF462" s="23"/>
      <c r="AG462" s="23"/>
      <c r="AH462" s="23"/>
      <c r="AI462" s="24"/>
    </row>
    <row r="463" spans="1:35" ht="15" thickTop="1" x14ac:dyDescent="0.2">
      <c r="A463" s="70" t="s">
        <v>110</v>
      </c>
      <c r="B463" s="70"/>
      <c r="C463" s="70"/>
      <c r="D463" s="70"/>
      <c r="E463" s="70"/>
      <c r="F463" s="70"/>
      <c r="G463" s="70"/>
      <c r="H463" s="70"/>
      <c r="K463" s="1">
        <v>44</v>
      </c>
      <c r="L463" s="42">
        <f>'[3]43根构件   '!$B$46/'[3]44根构件 '!$B$46</f>
        <v>0.63636363636363635</v>
      </c>
      <c r="S463" s="30">
        <v>44</v>
      </c>
      <c r="T463">
        <f>'[3]43根构件   '!$T$46/'[3]44根构件 '!$T$46</f>
        <v>1.0475785896346643</v>
      </c>
      <c r="Y463" s="21"/>
    </row>
    <row r="464" spans="1:35" ht="15" thickBot="1" x14ac:dyDescent="0.25">
      <c r="A464" s="1" t="s">
        <v>9</v>
      </c>
      <c r="B464" s="1" t="s">
        <v>43</v>
      </c>
      <c r="K464" s="1">
        <v>45</v>
      </c>
      <c r="L464" s="40">
        <f>'[3]44根构件 '!$B$46/'[3]45根构件  '!$B$46</f>
        <v>1.2222222222222223</v>
      </c>
      <c r="S464" s="30">
        <v>45</v>
      </c>
      <c r="T464">
        <f>'[3]44根构件 '!$T$46/'[3]45根构件  '!$T$46</f>
        <v>1.0146551724137931</v>
      </c>
      <c r="Y464" s="21"/>
    </row>
    <row r="465" spans="1:35" ht="15" thickTop="1" x14ac:dyDescent="0.2">
      <c r="A465" s="1">
        <v>2</v>
      </c>
      <c r="B465" s="1">
        <f>'[3]9根构件'!$B$46/'[3]10根构件'!$B$46</f>
        <v>1.3223570190641247</v>
      </c>
      <c r="K465" s="1">
        <v>46</v>
      </c>
      <c r="L465" s="40">
        <f>'[3]45根构件  '!$B$46/'[3]46根构件 '!$B$46</f>
        <v>2</v>
      </c>
      <c r="S465" s="30">
        <v>46</v>
      </c>
      <c r="T465">
        <f>'[3]45根构件  '!$T$46/'[3]46根构件 '!$T$46</f>
        <v>1.0871602624179943</v>
      </c>
      <c r="Y465" s="21"/>
      <c r="AA465" s="67" t="s">
        <v>121</v>
      </c>
      <c r="AB465" s="68"/>
      <c r="AC465" s="68"/>
      <c r="AD465" s="68"/>
      <c r="AE465" s="68"/>
      <c r="AF465" s="68"/>
      <c r="AG465" s="68"/>
      <c r="AH465" s="68"/>
      <c r="AI465" s="69"/>
    </row>
    <row r="466" spans="1:35" x14ac:dyDescent="0.2">
      <c r="A466" s="1">
        <v>2.2000000000000002</v>
      </c>
      <c r="B466" s="7">
        <v>1.2132655999999999</v>
      </c>
      <c r="K466" s="1">
        <v>47</v>
      </c>
      <c r="L466" s="41">
        <f>'[3]46根构件 '!$B$46/'[3]47根构件  '!$B$46</f>
        <v>0.45</v>
      </c>
      <c r="S466" s="30">
        <v>47</v>
      </c>
      <c r="T466" s="4">
        <f>'[3]46根构件 '!$T$46/'[3]47根构件  '!$T$46</f>
        <v>0.97176684881602915</v>
      </c>
      <c r="Y466" s="21"/>
      <c r="AA466" s="30" t="s">
        <v>7</v>
      </c>
      <c r="AB466" s="1"/>
      <c r="AC466" s="1" t="s">
        <v>136</v>
      </c>
      <c r="AI466" s="21"/>
    </row>
    <row r="467" spans="1:35" x14ac:dyDescent="0.2">
      <c r="A467" s="1">
        <v>2.5</v>
      </c>
      <c r="B467">
        <f>'[4]9根构件'!$B$46/'[4]10根构件'!$B$46</f>
        <v>1.1388888888888888</v>
      </c>
      <c r="K467" s="1">
        <v>48</v>
      </c>
      <c r="L467" s="40">
        <f>'[3]47根构件  '!$B$46/'[3]48根构件 '!$B$46</f>
        <v>1.4285714285714286</v>
      </c>
      <c r="S467" s="30">
        <v>48</v>
      </c>
      <c r="T467">
        <f>'[3]47根构件  '!$T$46/'[3]48根构件 '!$T$46</f>
        <v>1.1273100616016427</v>
      </c>
      <c r="Y467" s="21"/>
      <c r="AA467" s="30">
        <v>9</v>
      </c>
      <c r="AC467">
        <v>1.1493548387096799</v>
      </c>
      <c r="AI467" s="21"/>
    </row>
    <row r="468" spans="1:35" x14ac:dyDescent="0.2">
      <c r="A468" s="1">
        <v>2.8</v>
      </c>
      <c r="B468">
        <f>'[1]9根构件'!$B$46/'[1]10根构件'!$B$46</f>
        <v>1.125</v>
      </c>
      <c r="K468" s="1">
        <v>49</v>
      </c>
      <c r="L468" s="40">
        <f>'[3]48根构件 '!$B$46/'[3]49根构件  '!$B$46</f>
        <v>1.1666666666666667</v>
      </c>
      <c r="S468" s="30">
        <v>49</v>
      </c>
      <c r="T468" s="4">
        <f>'[3]48根构件 '!$T$46/'[3]49根构件  '!$T$46</f>
        <v>0.98883248730964468</v>
      </c>
      <c r="Y468" s="21"/>
      <c r="AA468" s="30">
        <v>14</v>
      </c>
      <c r="AC468">
        <v>1.1083726</v>
      </c>
      <c r="AI468" s="21"/>
    </row>
    <row r="469" spans="1:35" ht="15" thickBot="1" x14ac:dyDescent="0.25">
      <c r="A469" s="1">
        <v>3</v>
      </c>
      <c r="B469" s="7">
        <v>1.0762689999999999</v>
      </c>
      <c r="K469" s="1">
        <v>50</v>
      </c>
      <c r="L469" s="42">
        <f>'[3]49根构件  '!$B$46/'[3]50根构件 '!$B$46</f>
        <v>0.79999999999999993</v>
      </c>
      <c r="S469" s="31">
        <v>50</v>
      </c>
      <c r="T469" s="38">
        <f>'[3]49根构件  '!$T$46/'[3]50根构件 '!$T$46</f>
        <v>0.98009950248756206</v>
      </c>
      <c r="U469" s="38"/>
      <c r="V469" s="38"/>
      <c r="W469" s="23"/>
      <c r="X469" s="23"/>
      <c r="Y469" s="24"/>
      <c r="AA469" s="30">
        <v>19</v>
      </c>
      <c r="AC469">
        <v>1.0778532000000001</v>
      </c>
      <c r="AI469" s="21"/>
    </row>
    <row r="470" spans="1:35" ht="15" thickTop="1" x14ac:dyDescent="0.2">
      <c r="A470" s="1"/>
      <c r="AA470" s="30">
        <v>24</v>
      </c>
      <c r="AC470">
        <v>1.0537019999999999</v>
      </c>
      <c r="AI470" s="21"/>
    </row>
    <row r="471" spans="1:35" ht="15" thickBot="1" x14ac:dyDescent="0.25">
      <c r="AA471" s="30">
        <v>29</v>
      </c>
      <c r="AC471">
        <v>1.043115</v>
      </c>
      <c r="AI471" s="21"/>
    </row>
    <row r="472" spans="1:35" x14ac:dyDescent="0.2">
      <c r="A472" s="70" t="s">
        <v>111</v>
      </c>
      <c r="B472" s="70"/>
      <c r="C472" s="70"/>
      <c r="D472" s="70"/>
      <c r="E472" s="70"/>
      <c r="F472" s="70"/>
      <c r="G472" s="70"/>
      <c r="H472" s="70"/>
      <c r="S472" s="77" t="s">
        <v>125</v>
      </c>
      <c r="T472" s="78"/>
      <c r="U472" s="78"/>
      <c r="V472" s="78"/>
      <c r="W472" s="78"/>
      <c r="X472" s="78"/>
      <c r="Y472" s="79"/>
      <c r="AA472" s="30">
        <v>34</v>
      </c>
      <c r="AC472">
        <v>1.0400590000000001</v>
      </c>
      <c r="AI472" s="21"/>
    </row>
    <row r="473" spans="1:35" x14ac:dyDescent="0.2">
      <c r="A473" s="1" t="s">
        <v>9</v>
      </c>
      <c r="B473" s="1" t="s">
        <v>43</v>
      </c>
      <c r="S473" s="44" t="s">
        <v>9</v>
      </c>
      <c r="T473" s="1" t="s">
        <v>7</v>
      </c>
      <c r="U473" s="1" t="s">
        <v>124</v>
      </c>
      <c r="Y473" s="45"/>
      <c r="AA473" s="30">
        <v>39</v>
      </c>
      <c r="AC473">
        <v>1.0356080000000001</v>
      </c>
      <c r="AI473" s="21"/>
    </row>
    <row r="474" spans="1:35" x14ac:dyDescent="0.2">
      <c r="A474" s="1" t="s">
        <v>112</v>
      </c>
      <c r="B474">
        <f>'[3]9根构件'!$B$46/('[3]10根构件'!$F$46)</f>
        <v>1.1138686131386861</v>
      </c>
      <c r="S474" s="44">
        <v>2</v>
      </c>
      <c r="T474" s="1">
        <v>9</v>
      </c>
      <c r="U474" s="1">
        <v>1.1723023371456986</v>
      </c>
      <c r="Y474" s="45"/>
      <c r="AA474" s="30">
        <v>44</v>
      </c>
      <c r="AC474">
        <v>1.0286740000000001</v>
      </c>
      <c r="AI474" s="21"/>
    </row>
    <row r="475" spans="1:35" ht="15" thickBot="1" x14ac:dyDescent="0.25">
      <c r="A475" s="1">
        <v>2.2000000000000002</v>
      </c>
      <c r="S475" s="44">
        <v>2</v>
      </c>
      <c r="T475" s="1">
        <v>14</v>
      </c>
      <c r="U475" s="1">
        <v>1.1276065276518585</v>
      </c>
      <c r="Y475" s="45"/>
      <c r="AA475" s="31">
        <v>49</v>
      </c>
      <c r="AB475" s="50"/>
      <c r="AC475" s="23">
        <v>1.018329</v>
      </c>
      <c r="AD475" s="23"/>
      <c r="AE475" s="23"/>
      <c r="AF475" s="23"/>
      <c r="AG475" s="23"/>
      <c r="AH475" s="23"/>
      <c r="AI475" s="24"/>
    </row>
    <row r="476" spans="1:35" ht="15" thickTop="1" x14ac:dyDescent="0.2">
      <c r="A476" s="1" t="s">
        <v>113</v>
      </c>
      <c r="B476">
        <f>'[4]9根构件'!$B$46/('[4]10根构件'!$F$46)</f>
        <v>1.1714285714285713</v>
      </c>
      <c r="S476" s="44">
        <v>2</v>
      </c>
      <c r="T476" s="1">
        <v>19</v>
      </c>
      <c r="U476" s="1">
        <v>1.1025293586269196</v>
      </c>
      <c r="Y476" s="45"/>
    </row>
    <row r="477" spans="1:35" ht="15" thickBot="1" x14ac:dyDescent="0.25">
      <c r="A477" s="1" t="s">
        <v>114</v>
      </c>
      <c r="B477" s="12">
        <f>'[1]9根构件'!$B$46/('[1]10根构件'!$F$46)</f>
        <v>1.2857142857142858</v>
      </c>
      <c r="S477" s="44">
        <v>2</v>
      </c>
      <c r="T477" s="1">
        <v>24</v>
      </c>
      <c r="U477" s="1">
        <v>1.0869276708692766</v>
      </c>
      <c r="Y477" s="45"/>
    </row>
    <row r="478" spans="1:35" ht="15" thickTop="1" x14ac:dyDescent="0.2">
      <c r="A478" s="1">
        <v>3</v>
      </c>
      <c r="S478" s="44">
        <v>2</v>
      </c>
      <c r="T478" s="1">
        <v>29</v>
      </c>
      <c r="U478" s="1">
        <v>1.0593358737071312</v>
      </c>
      <c r="Y478" s="45"/>
      <c r="AA478" s="67" t="s">
        <v>122</v>
      </c>
      <c r="AB478" s="68"/>
      <c r="AC478" s="68"/>
      <c r="AD478" s="68"/>
      <c r="AE478" s="68"/>
      <c r="AF478" s="68"/>
      <c r="AG478" s="68"/>
      <c r="AH478" s="68"/>
      <c r="AI478" s="69"/>
    </row>
    <row r="479" spans="1:35" x14ac:dyDescent="0.2">
      <c r="S479" s="44">
        <v>2</v>
      </c>
      <c r="T479" s="1">
        <v>34</v>
      </c>
      <c r="U479" s="1">
        <v>1.0585616</v>
      </c>
      <c r="Y479" s="45"/>
      <c r="AA479" s="30" t="s">
        <v>7</v>
      </c>
      <c r="AB479" s="1"/>
      <c r="AC479" s="1" t="s">
        <v>136</v>
      </c>
      <c r="AI479" s="21"/>
    </row>
    <row r="480" spans="1:35" x14ac:dyDescent="0.2">
      <c r="S480" s="44">
        <v>2</v>
      </c>
      <c r="T480" s="1">
        <v>39</v>
      </c>
      <c r="U480" s="1">
        <v>1.0570107858243452</v>
      </c>
      <c r="Y480" s="45"/>
      <c r="AA480" s="30">
        <v>9</v>
      </c>
      <c r="AB480" s="37"/>
      <c r="AC480" s="51">
        <v>1.0871352000000001</v>
      </c>
      <c r="AI480" s="21"/>
    </row>
    <row r="481" spans="1:41" x14ac:dyDescent="0.2">
      <c r="A481" s="70" t="s">
        <v>115</v>
      </c>
      <c r="B481" s="70"/>
      <c r="C481" s="70"/>
      <c r="D481" s="70"/>
      <c r="E481" s="70"/>
      <c r="F481" s="70"/>
      <c r="G481" s="70"/>
      <c r="H481" s="70"/>
      <c r="S481" s="44">
        <v>2</v>
      </c>
      <c r="T481" s="1">
        <v>44</v>
      </c>
      <c r="U481" s="1">
        <v>1.0475785896346643</v>
      </c>
      <c r="Y481" s="45"/>
      <c r="AA481" s="30">
        <v>14</v>
      </c>
      <c r="AB481" s="37"/>
      <c r="AC481" s="51">
        <v>1.0698479999999999</v>
      </c>
      <c r="AI481" s="21"/>
    </row>
    <row r="482" spans="1:41" x14ac:dyDescent="0.2">
      <c r="A482" s="1" t="s">
        <v>9</v>
      </c>
      <c r="B482" s="1" t="s">
        <v>43</v>
      </c>
      <c r="S482" s="44">
        <v>2</v>
      </c>
      <c r="T482" s="1">
        <v>49</v>
      </c>
      <c r="U482" s="1">
        <v>1.0395695899999999</v>
      </c>
      <c r="Y482" s="45"/>
      <c r="AA482" s="30">
        <v>19</v>
      </c>
      <c r="AB482" s="37"/>
      <c r="AC482" s="51">
        <v>1.055083</v>
      </c>
      <c r="AI482" s="21"/>
    </row>
    <row r="483" spans="1:41" x14ac:dyDescent="0.2">
      <c r="A483" s="1" t="s">
        <v>112</v>
      </c>
      <c r="B483">
        <f>'[1]9根构件'!$B$46/('[1]10根构件'!$F$46)</f>
        <v>1.2857142857142858</v>
      </c>
      <c r="S483" s="44">
        <v>2.5</v>
      </c>
      <c r="T483" s="1">
        <v>9</v>
      </c>
      <c r="U483" s="1">
        <v>1.157088122605364</v>
      </c>
      <c r="Y483" s="45"/>
      <c r="AA483" s="30">
        <v>24</v>
      </c>
      <c r="AB483" s="37"/>
      <c r="AC483" s="51">
        <v>1.042729</v>
      </c>
      <c r="AI483" s="21"/>
    </row>
    <row r="484" spans="1:41" x14ac:dyDescent="0.2">
      <c r="A484" s="1">
        <v>2.2000000000000002</v>
      </c>
      <c r="B484">
        <v>1.2301472646</v>
      </c>
      <c r="S484" s="44">
        <v>2.5</v>
      </c>
      <c r="T484" s="1">
        <v>14</v>
      </c>
      <c r="U484" s="1">
        <v>1.124197949</v>
      </c>
      <c r="Y484" s="45"/>
      <c r="AA484" s="30">
        <v>29</v>
      </c>
      <c r="AB484" s="37"/>
      <c r="AC484" s="51">
        <v>1.0338639999999999</v>
      </c>
      <c r="AI484" s="21"/>
    </row>
    <row r="485" spans="1:41" x14ac:dyDescent="0.2">
      <c r="A485" s="1" t="s">
        <v>113</v>
      </c>
      <c r="B485">
        <f>'[4]9根构件'!$B$46/('[4]10根构件'!$F$46)</f>
        <v>1.1714285714285713</v>
      </c>
      <c r="S485" s="44">
        <v>2.5</v>
      </c>
      <c r="T485" s="1">
        <v>19</v>
      </c>
      <c r="U485" s="1">
        <v>1.0924855491329479</v>
      </c>
      <c r="Y485" s="45"/>
      <c r="AA485" s="30">
        <v>34</v>
      </c>
      <c r="AB485" s="37"/>
      <c r="AC485" s="51">
        <v>1.025671</v>
      </c>
      <c r="AI485" s="21"/>
    </row>
    <row r="486" spans="1:41" x14ac:dyDescent="0.2">
      <c r="A486" s="1" t="s">
        <v>114</v>
      </c>
      <c r="B486">
        <v>1.14941646949</v>
      </c>
      <c r="S486" s="44">
        <v>2.5</v>
      </c>
      <c r="T486" s="1">
        <v>24</v>
      </c>
      <c r="U486" s="1">
        <v>1.0622406639004149</v>
      </c>
      <c r="Y486" s="45"/>
      <c r="AA486" s="30">
        <v>39</v>
      </c>
      <c r="AB486" s="37"/>
      <c r="AC486" s="51">
        <v>1.02003</v>
      </c>
      <c r="AI486" s="21"/>
    </row>
    <row r="487" spans="1:41" x14ac:dyDescent="0.2">
      <c r="A487" s="1">
        <v>3</v>
      </c>
      <c r="B487">
        <f>'[3]9根构件'!$B$46/('[3]10根构件'!$F$46)</f>
        <v>1.1138686131386861</v>
      </c>
      <c r="S487" s="44">
        <v>2.5</v>
      </c>
      <c r="T487" s="1">
        <v>29</v>
      </c>
      <c r="U487" s="1">
        <v>1.04516498</v>
      </c>
      <c r="Y487" s="45"/>
      <c r="AA487" s="30">
        <v>44</v>
      </c>
      <c r="AB487" s="37"/>
      <c r="AC487" s="51">
        <v>1.0154209999999999</v>
      </c>
      <c r="AI487" s="21"/>
    </row>
    <row r="488" spans="1:41" ht="15" thickBot="1" x14ac:dyDescent="0.25">
      <c r="S488" s="44">
        <v>2.5</v>
      </c>
      <c r="T488" s="1">
        <v>34</v>
      </c>
      <c r="U488" s="1">
        <v>1.0410646509999999</v>
      </c>
      <c r="Y488" s="45"/>
      <c r="AA488" s="31">
        <v>49</v>
      </c>
      <c r="AB488" s="49"/>
      <c r="AC488" s="51">
        <v>1.010246</v>
      </c>
      <c r="AD488" s="23"/>
      <c r="AE488" s="23"/>
      <c r="AF488" s="23"/>
      <c r="AG488" s="23"/>
      <c r="AH488" s="23"/>
      <c r="AI488" s="24"/>
    </row>
    <row r="489" spans="1:41" ht="15" thickTop="1" x14ac:dyDescent="0.2">
      <c r="S489" s="44">
        <v>2.5</v>
      </c>
      <c r="T489" s="1">
        <v>39</v>
      </c>
      <c r="U489" s="1">
        <v>1.039054618</v>
      </c>
      <c r="Y489" s="45"/>
    </row>
    <row r="490" spans="1:41" x14ac:dyDescent="0.2">
      <c r="S490" s="44">
        <v>2.5</v>
      </c>
      <c r="T490" s="1">
        <v>44</v>
      </c>
      <c r="U490" s="1">
        <v>1.03215619</v>
      </c>
      <c r="Y490" s="45"/>
    </row>
    <row r="491" spans="1:41" ht="15" thickBot="1" x14ac:dyDescent="0.25">
      <c r="A491" s="70" t="s">
        <v>111</v>
      </c>
      <c r="B491" s="70"/>
      <c r="C491" s="70"/>
      <c r="D491" s="70"/>
      <c r="E491" s="70"/>
      <c r="F491" s="70"/>
      <c r="G491" s="70"/>
      <c r="H491" s="70"/>
      <c r="S491" s="44">
        <v>2.5</v>
      </c>
      <c r="T491" s="1">
        <v>49</v>
      </c>
      <c r="U491" s="1">
        <v>1.02519191</v>
      </c>
      <c r="Y491" s="45"/>
    </row>
    <row r="492" spans="1:41" x14ac:dyDescent="0.2">
      <c r="A492" s="1" t="s">
        <v>9</v>
      </c>
      <c r="B492" s="1" t="s">
        <v>43</v>
      </c>
      <c r="S492" s="44">
        <v>2.8</v>
      </c>
      <c r="T492" s="1">
        <v>9</v>
      </c>
      <c r="U492">
        <v>1.1493548387096799</v>
      </c>
      <c r="Y492" s="45"/>
      <c r="AA492" s="77" t="s">
        <v>123</v>
      </c>
      <c r="AB492" s="78"/>
      <c r="AC492" s="78"/>
      <c r="AD492" s="78"/>
      <c r="AE492" s="78"/>
      <c r="AF492" s="78"/>
      <c r="AG492" s="79"/>
      <c r="AI492" s="77" t="s">
        <v>123</v>
      </c>
      <c r="AJ492" s="78"/>
      <c r="AK492" s="78"/>
      <c r="AL492" s="78"/>
      <c r="AM492" s="78"/>
      <c r="AN492" s="78"/>
      <c r="AO492" s="79"/>
    </row>
    <row r="493" spans="1:41" x14ac:dyDescent="0.2">
      <c r="A493" s="1" t="s">
        <v>112</v>
      </c>
      <c r="B493">
        <f>'[3]9根构件'!$B$46/('[3]10根构件'!$F$46)</f>
        <v>1.1138686131386861</v>
      </c>
      <c r="S493" s="44">
        <v>2.8</v>
      </c>
      <c r="T493" s="1">
        <v>14</v>
      </c>
      <c r="U493">
        <v>1.1083726</v>
      </c>
      <c r="Y493" s="45"/>
      <c r="AA493" s="44" t="s">
        <v>9</v>
      </c>
      <c r="AB493" s="1" t="s">
        <v>7</v>
      </c>
      <c r="AC493" s="1" t="s">
        <v>127</v>
      </c>
      <c r="AD493" s="1" t="s">
        <v>128</v>
      </c>
      <c r="AE493" s="1" t="s">
        <v>129</v>
      </c>
      <c r="AG493" s="45"/>
      <c r="AI493" s="44" t="s">
        <v>9</v>
      </c>
      <c r="AJ493" s="1" t="s">
        <v>7</v>
      </c>
      <c r="AK493" s="1" t="s">
        <v>127</v>
      </c>
      <c r="AL493" s="1" t="s">
        <v>128</v>
      </c>
      <c r="AO493" s="45"/>
    </row>
    <row r="494" spans="1:41" x14ac:dyDescent="0.2">
      <c r="A494" s="1">
        <v>2.2000000000000002</v>
      </c>
      <c r="S494" s="44">
        <v>2.8</v>
      </c>
      <c r="T494" s="1">
        <v>19</v>
      </c>
      <c r="U494">
        <v>1.0778532000000001</v>
      </c>
      <c r="Y494" s="45"/>
      <c r="AA494" s="44">
        <v>2</v>
      </c>
      <c r="AB494" s="1">
        <v>9</v>
      </c>
      <c r="AC494" s="1">
        <v>1.1723023371456986</v>
      </c>
      <c r="AD494">
        <v>1.1038668373879601</v>
      </c>
      <c r="AE494">
        <f>AD494/AC494</f>
        <v>0.94162299469233834</v>
      </c>
      <c r="AG494" s="45"/>
      <c r="AI494" s="44">
        <v>2</v>
      </c>
      <c r="AJ494" s="1">
        <v>9</v>
      </c>
      <c r="AK494" s="1">
        <v>1.1723023371456986</v>
      </c>
      <c r="AL494">
        <v>1.103866837</v>
      </c>
      <c r="AM494">
        <f>AL494/AK494</f>
        <v>0.94162299436139973</v>
      </c>
      <c r="AO494" s="45"/>
    </row>
    <row r="495" spans="1:41" x14ac:dyDescent="0.2">
      <c r="A495" s="1" t="s">
        <v>113</v>
      </c>
      <c r="B495">
        <f>'[4]9根构件'!$B$46/('[4]10根构件'!$F$46)</f>
        <v>1.1714285714285713</v>
      </c>
      <c r="S495" s="44">
        <v>2.8</v>
      </c>
      <c r="T495" s="1">
        <v>24</v>
      </c>
      <c r="U495">
        <v>1.0537019999999999</v>
      </c>
      <c r="Y495" s="45"/>
      <c r="AA495" s="44">
        <v>2</v>
      </c>
      <c r="AB495" s="1">
        <v>14</v>
      </c>
      <c r="AC495" s="1">
        <v>1.1276065276518585</v>
      </c>
      <c r="AD495">
        <v>1.08303418803419</v>
      </c>
      <c r="AE495">
        <f t="shared" ref="AE495:AE520" si="0">AD495/AC495</f>
        <v>0.96047172615212995</v>
      </c>
      <c r="AG495" s="45"/>
      <c r="AI495" s="44">
        <v>2</v>
      </c>
      <c r="AJ495" s="1">
        <v>11</v>
      </c>
      <c r="AK495">
        <v>1.1471981280000001</v>
      </c>
      <c r="AL495">
        <v>1.097382546</v>
      </c>
      <c r="AM495">
        <f t="shared" ref="AM495:AM544" si="1">AL495/AK495</f>
        <v>0.95657630466426269</v>
      </c>
      <c r="AO495" s="45"/>
    </row>
    <row r="496" spans="1:41" x14ac:dyDescent="0.2">
      <c r="A496" s="1" t="s">
        <v>114</v>
      </c>
      <c r="B496">
        <f>'[1]9根构件'!$B$46/('[1]10根构件'!$F$46)</f>
        <v>1.2857142857142858</v>
      </c>
      <c r="S496" s="44">
        <v>2.8</v>
      </c>
      <c r="T496" s="1">
        <v>29</v>
      </c>
      <c r="U496">
        <v>1.043115</v>
      </c>
      <c r="Y496" s="45"/>
      <c r="AA496" s="44">
        <v>2</v>
      </c>
      <c r="AB496" s="1">
        <v>19</v>
      </c>
      <c r="AC496" s="1">
        <v>1.1025293586269196</v>
      </c>
      <c r="AD496">
        <v>1.06936170212766</v>
      </c>
      <c r="AE496">
        <f t="shared" si="0"/>
        <v>0.96991675891464124</v>
      </c>
      <c r="AG496" s="45"/>
      <c r="AI496" s="44">
        <v>2</v>
      </c>
      <c r="AJ496" s="1">
        <v>14</v>
      </c>
      <c r="AK496" s="1">
        <v>1.1276065276518585</v>
      </c>
      <c r="AL496">
        <v>1.0830341880000001</v>
      </c>
      <c r="AM496">
        <f t="shared" si="1"/>
        <v>0.96047172612180909</v>
      </c>
      <c r="AO496" s="45"/>
    </row>
    <row r="497" spans="1:41" x14ac:dyDescent="0.2">
      <c r="A497" s="1">
        <v>3</v>
      </c>
      <c r="S497" s="44">
        <v>2.8</v>
      </c>
      <c r="T497" s="1">
        <v>34</v>
      </c>
      <c r="U497">
        <v>1.0400590000000001</v>
      </c>
      <c r="Y497" s="45"/>
      <c r="AA497" s="44">
        <v>2</v>
      </c>
      <c r="AB497" s="1">
        <v>24</v>
      </c>
      <c r="AC497" s="1">
        <v>1.0869276708692766</v>
      </c>
      <c r="AD497">
        <v>1.0560360360360399</v>
      </c>
      <c r="AE497">
        <f t="shared" si="0"/>
        <v>0.97157894157894531</v>
      </c>
      <c r="AG497" s="45"/>
      <c r="AI497" s="44">
        <v>2</v>
      </c>
      <c r="AJ497" s="1">
        <v>16</v>
      </c>
      <c r="AK497">
        <v>1.1159229418909999</v>
      </c>
      <c r="AL497">
        <v>1.076892317</v>
      </c>
      <c r="AM497">
        <f t="shared" si="1"/>
        <v>0.96502390673601512</v>
      </c>
      <c r="AO497" s="45"/>
    </row>
    <row r="498" spans="1:41" x14ac:dyDescent="0.2">
      <c r="S498" s="44">
        <v>2.8</v>
      </c>
      <c r="T498" s="1">
        <v>39</v>
      </c>
      <c r="U498">
        <v>1.0356080000000001</v>
      </c>
      <c r="Y498" s="45"/>
      <c r="AA498" s="44">
        <v>2</v>
      </c>
      <c r="AB498" s="1">
        <v>29</v>
      </c>
      <c r="AC498" s="1">
        <v>1.0593358737071312</v>
      </c>
      <c r="AD498">
        <v>1.0393164933135199</v>
      </c>
      <c r="AE498">
        <f t="shared" si="0"/>
        <v>0.98110195180726412</v>
      </c>
      <c r="AG498" s="45"/>
      <c r="AI498" s="44">
        <v>2</v>
      </c>
      <c r="AJ498" s="1">
        <v>19</v>
      </c>
      <c r="AK498" s="1">
        <v>1.1025293586269196</v>
      </c>
      <c r="AL498">
        <v>1.0693617019999999</v>
      </c>
      <c r="AM498">
        <f t="shared" si="1"/>
        <v>0.96991675879885286</v>
      </c>
      <c r="AO498" s="45"/>
    </row>
    <row r="499" spans="1:41" x14ac:dyDescent="0.2">
      <c r="S499" s="44">
        <v>2.8</v>
      </c>
      <c r="T499" s="1">
        <v>44</v>
      </c>
      <c r="U499">
        <v>1.0286740000000001</v>
      </c>
      <c r="Y499" s="45"/>
      <c r="AA499" s="44">
        <v>2</v>
      </c>
      <c r="AB499" s="1">
        <v>34</v>
      </c>
      <c r="AC499" s="1">
        <v>1.0585616</v>
      </c>
      <c r="AD499">
        <v>1.0370754424091899</v>
      </c>
      <c r="AE499">
        <f t="shared" si="0"/>
        <v>0.97970249667963571</v>
      </c>
      <c r="AG499" s="45"/>
      <c r="AI499" s="44">
        <v>2</v>
      </c>
      <c r="AJ499" s="1">
        <v>21</v>
      </c>
      <c r="AK499">
        <v>1.0941912899999999</v>
      </c>
      <c r="AL499">
        <v>1.0628041589999999</v>
      </c>
      <c r="AM499">
        <f t="shared" si="1"/>
        <v>0.9713147680055102</v>
      </c>
      <c r="AO499" s="45"/>
    </row>
    <row r="500" spans="1:41" ht="15" thickBot="1" x14ac:dyDescent="0.25">
      <c r="S500" s="46">
        <v>2.8</v>
      </c>
      <c r="T500" s="52">
        <v>49</v>
      </c>
      <c r="U500" s="47">
        <v>1.018329</v>
      </c>
      <c r="V500" s="47"/>
      <c r="W500" s="47"/>
      <c r="X500" s="47"/>
      <c r="Y500" s="48"/>
      <c r="AA500" s="44">
        <v>2</v>
      </c>
      <c r="AB500" s="1">
        <v>39</v>
      </c>
      <c r="AC500" s="1">
        <v>1.0570107858243452</v>
      </c>
      <c r="AD500">
        <v>1.0220597322348099</v>
      </c>
      <c r="AE500">
        <f t="shared" si="0"/>
        <v>0.96693406154576045</v>
      </c>
      <c r="AG500" s="45"/>
      <c r="AI500" s="44">
        <v>2</v>
      </c>
      <c r="AJ500" s="1">
        <v>24</v>
      </c>
      <c r="AK500" s="1">
        <v>1.0869276708692766</v>
      </c>
      <c r="AL500">
        <v>1.0560360360000001</v>
      </c>
      <c r="AM500">
        <f t="shared" si="1"/>
        <v>0.97157894154578772</v>
      </c>
      <c r="AO500" s="45"/>
    </row>
    <row r="501" spans="1:41" x14ac:dyDescent="0.2">
      <c r="A501" s="82" t="s">
        <v>117</v>
      </c>
      <c r="B501" s="83"/>
      <c r="C501" s="83"/>
      <c r="D501" s="83"/>
      <c r="E501" s="83"/>
      <c r="F501" s="83"/>
      <c r="G501" s="83"/>
      <c r="H501" s="84"/>
      <c r="S501" s="1"/>
      <c r="T501" s="1"/>
      <c r="U501" s="1"/>
      <c r="AA501" s="44">
        <v>2</v>
      </c>
      <c r="AB501" s="1">
        <v>44</v>
      </c>
      <c r="AC501" s="1">
        <v>1.0475785896346643</v>
      </c>
      <c r="AD501">
        <v>1.0212305168170599</v>
      </c>
      <c r="AE501">
        <f t="shared" si="0"/>
        <v>0.97484859553420888</v>
      </c>
      <c r="AG501" s="45"/>
      <c r="AI501" s="44">
        <v>2</v>
      </c>
      <c r="AJ501" s="1">
        <v>26</v>
      </c>
      <c r="AK501">
        <v>1.069181808</v>
      </c>
      <c r="AL501">
        <v>1.0473628450000001</v>
      </c>
      <c r="AM501">
        <f t="shared" si="1"/>
        <v>0.9795928411456849</v>
      </c>
      <c r="AO501" s="45"/>
    </row>
    <row r="502" spans="1:41" ht="15" thickBot="1" x14ac:dyDescent="0.25">
      <c r="A502" s="44" t="s">
        <v>9</v>
      </c>
      <c r="B502" s="1" t="s">
        <v>43</v>
      </c>
      <c r="C502" s="1"/>
      <c r="H502" s="45"/>
      <c r="S502" s="1"/>
      <c r="T502" s="1"/>
      <c r="U502" s="1"/>
      <c r="AA502" s="44">
        <v>2</v>
      </c>
      <c r="AB502" s="1">
        <v>49</v>
      </c>
      <c r="AC502" s="1">
        <v>1.0395695899999999</v>
      </c>
      <c r="AD502">
        <v>1.01513236</v>
      </c>
      <c r="AE502">
        <f t="shared" si="0"/>
        <v>0.97649293492704037</v>
      </c>
      <c r="AG502" s="45"/>
      <c r="AI502" s="44">
        <v>2</v>
      </c>
      <c r="AJ502" s="1">
        <v>29</v>
      </c>
      <c r="AK502" s="1">
        <v>1.0593358737071312</v>
      </c>
      <c r="AL502">
        <v>1.0393164930000001</v>
      </c>
      <c r="AM502">
        <f t="shared" si="1"/>
        <v>0.9811019515113053</v>
      </c>
      <c r="AO502" s="45"/>
    </row>
    <row r="503" spans="1:41" x14ac:dyDescent="0.2">
      <c r="A503" s="44">
        <v>2</v>
      </c>
      <c r="B503">
        <f>'[3]8根构件开始'!$B$46/'[3]9根构件'!$F$46</f>
        <v>1.0865892291446673</v>
      </c>
      <c r="H503" s="45"/>
      <c r="S503" s="77" t="s">
        <v>126</v>
      </c>
      <c r="T503" s="78"/>
      <c r="U503" s="78"/>
      <c r="V503" s="78"/>
      <c r="W503" s="78"/>
      <c r="X503" s="78"/>
      <c r="Y503" s="79"/>
      <c r="AA503" s="44">
        <v>2.5</v>
      </c>
      <c r="AB503" s="1">
        <v>9</v>
      </c>
      <c r="AC503" s="1">
        <v>1.157088122605364</v>
      </c>
      <c r="AD503" s="51">
        <v>1.0973824999999999</v>
      </c>
      <c r="AE503">
        <f t="shared" si="0"/>
        <v>0.94840010761589399</v>
      </c>
      <c r="AG503" s="45"/>
      <c r="AI503" s="44">
        <v>2</v>
      </c>
      <c r="AJ503" s="1">
        <v>31</v>
      </c>
      <c r="AK503">
        <v>1.0590598289211099</v>
      </c>
      <c r="AL503">
        <v>1.038095271</v>
      </c>
      <c r="AM503">
        <f t="shared" si="1"/>
        <v>0.98020455752488789</v>
      </c>
      <c r="AO503" s="45"/>
    </row>
    <row r="504" spans="1:41" x14ac:dyDescent="0.2">
      <c r="A504" s="44">
        <v>2.2000000000000002</v>
      </c>
      <c r="H504" s="45"/>
      <c r="S504" s="44" t="s">
        <v>9</v>
      </c>
      <c r="T504" s="1" t="s">
        <v>7</v>
      </c>
      <c r="U504" s="1" t="s">
        <v>124</v>
      </c>
      <c r="Y504" s="45"/>
      <c r="AA504" s="44">
        <v>2.5</v>
      </c>
      <c r="AB504" s="1">
        <v>14</v>
      </c>
      <c r="AC504" s="1">
        <v>1.124197949</v>
      </c>
      <c r="AD504" s="51">
        <v>1.0768922999999999</v>
      </c>
      <c r="AE504">
        <f t="shared" si="0"/>
        <v>0.95792053433109392</v>
      </c>
      <c r="AG504" s="45"/>
      <c r="AI504" s="44">
        <v>2</v>
      </c>
      <c r="AJ504" s="1">
        <v>34</v>
      </c>
      <c r="AK504" s="1">
        <v>1.0585616</v>
      </c>
      <c r="AL504">
        <v>1.0370754419999999</v>
      </c>
      <c r="AM504">
        <f t="shared" si="1"/>
        <v>0.97970249629308293</v>
      </c>
      <c r="AO504" s="45"/>
    </row>
    <row r="505" spans="1:41" x14ac:dyDescent="0.2">
      <c r="A505" s="44">
        <v>2.5</v>
      </c>
      <c r="B505">
        <f>'[4]8根构件开始'!$B$46/'[4]9根构件'!$F$46</f>
        <v>1.2923076923076922</v>
      </c>
      <c r="H505" s="45"/>
      <c r="S505" s="44">
        <v>2</v>
      </c>
      <c r="T505" s="1">
        <v>9</v>
      </c>
      <c r="U505">
        <v>1.1038668373879601</v>
      </c>
      <c r="Y505" s="45"/>
      <c r="AA505" s="44">
        <v>2.5</v>
      </c>
      <c r="AB505" s="1">
        <v>19</v>
      </c>
      <c r="AC505" s="1">
        <v>1.0924855491329479</v>
      </c>
      <c r="AD505" s="51">
        <v>1.0628040999999999</v>
      </c>
      <c r="AE505">
        <f t="shared" si="0"/>
        <v>0.9728312661375661</v>
      </c>
      <c r="AG505" s="45"/>
      <c r="AI505" s="44">
        <v>2</v>
      </c>
      <c r="AJ505" s="1">
        <v>36</v>
      </c>
      <c r="AK505">
        <v>1.0577121518799999</v>
      </c>
      <c r="AL505">
        <v>1.0296345870000001</v>
      </c>
      <c r="AM505">
        <f t="shared" si="1"/>
        <v>0.97345443670086029</v>
      </c>
      <c r="AO505" s="45"/>
    </row>
    <row r="506" spans="1:41" x14ac:dyDescent="0.2">
      <c r="A506" s="44">
        <v>2.8</v>
      </c>
      <c r="B506">
        <f>'[1]8根构件开始'!$B$46/'[1]9根构件'!$F$46</f>
        <v>0.72727272727272718</v>
      </c>
      <c r="H506" s="45"/>
      <c r="S506" s="44">
        <v>2</v>
      </c>
      <c r="T506" s="1">
        <v>14</v>
      </c>
      <c r="U506">
        <v>1.08303418803419</v>
      </c>
      <c r="Y506" s="45"/>
      <c r="AA506" s="44">
        <v>2.5</v>
      </c>
      <c r="AB506" s="1">
        <v>24</v>
      </c>
      <c r="AC506" s="1">
        <v>1.0622406639004149</v>
      </c>
      <c r="AD506" s="51">
        <v>1.0473627999999999</v>
      </c>
      <c r="AE506">
        <f t="shared" si="0"/>
        <v>0.98599388593749993</v>
      </c>
      <c r="AG506" s="45"/>
      <c r="AI506" s="44">
        <v>2</v>
      </c>
      <c r="AJ506" s="1">
        <v>39</v>
      </c>
      <c r="AK506" s="1">
        <v>1.0570107858243452</v>
      </c>
      <c r="AL506">
        <v>1.022059732</v>
      </c>
      <c r="AM506">
        <f t="shared" si="1"/>
        <v>0.96693406132361515</v>
      </c>
      <c r="AO506" s="45"/>
    </row>
    <row r="507" spans="1:41" ht="15" thickBot="1" x14ac:dyDescent="0.25">
      <c r="A507" s="46">
        <v>3</v>
      </c>
      <c r="B507" s="47"/>
      <c r="C507" s="47"/>
      <c r="D507" s="47"/>
      <c r="E507" s="47"/>
      <c r="F507" s="47"/>
      <c r="G507" s="47"/>
      <c r="H507" s="48"/>
      <c r="S507" s="44">
        <v>2</v>
      </c>
      <c r="T507" s="1">
        <v>19</v>
      </c>
      <c r="U507">
        <v>1.06936170212766</v>
      </c>
      <c r="Y507" s="45"/>
      <c r="AA507" s="44">
        <v>2.5</v>
      </c>
      <c r="AB507" s="1">
        <v>29</v>
      </c>
      <c r="AC507" s="1">
        <v>1.04516498</v>
      </c>
      <c r="AD507" s="51">
        <v>1.038095</v>
      </c>
      <c r="AE507">
        <f t="shared" si="0"/>
        <v>0.9932355368431881</v>
      </c>
      <c r="AG507" s="45"/>
      <c r="AI507" s="44">
        <v>2</v>
      </c>
      <c r="AJ507" s="1">
        <v>41</v>
      </c>
      <c r="AK507">
        <f>'[3]40根构件  '!$T$46/'[3]41根构件  '!$T$46</f>
        <v>1.0569366479550923</v>
      </c>
      <c r="AL507">
        <v>1.021708329</v>
      </c>
      <c r="AM507">
        <f t="shared" si="1"/>
        <v>0.9666694129461304</v>
      </c>
      <c r="AO507" s="45"/>
    </row>
    <row r="508" spans="1:41" ht="15" thickBot="1" x14ac:dyDescent="0.25">
      <c r="S508" s="44">
        <v>2</v>
      </c>
      <c r="T508" s="1">
        <v>24</v>
      </c>
      <c r="U508">
        <v>1.0560360360360399</v>
      </c>
      <c r="Y508" s="45"/>
      <c r="AA508" s="44">
        <v>2.5</v>
      </c>
      <c r="AB508" s="1">
        <v>34</v>
      </c>
      <c r="AC508" s="1">
        <v>1.0410646509999999</v>
      </c>
      <c r="AD508" s="51">
        <v>1.0296339999999999</v>
      </c>
      <c r="AE508">
        <f t="shared" si="0"/>
        <v>0.98902022944586565</v>
      </c>
      <c r="AG508" s="45"/>
      <c r="AI508" s="44">
        <v>2</v>
      </c>
      <c r="AJ508" s="1">
        <v>44</v>
      </c>
      <c r="AK508" s="1">
        <v>1.0475785896346643</v>
      </c>
      <c r="AL508">
        <v>1.021230517</v>
      </c>
      <c r="AM508">
        <f t="shared" si="1"/>
        <v>0.9748485957088403</v>
      </c>
      <c r="AO508" s="45"/>
    </row>
    <row r="509" spans="1:41" x14ac:dyDescent="0.2">
      <c r="A509" s="82" t="s">
        <v>118</v>
      </c>
      <c r="B509" s="83"/>
      <c r="C509" s="83"/>
      <c r="D509" s="83"/>
      <c r="E509" s="83"/>
      <c r="F509" s="83"/>
      <c r="G509" s="83"/>
      <c r="H509" s="84"/>
      <c r="S509" s="44">
        <v>2</v>
      </c>
      <c r="T509" s="1">
        <v>29</v>
      </c>
      <c r="U509">
        <v>1.0393164933135199</v>
      </c>
      <c r="Y509" s="45"/>
      <c r="AA509" s="44">
        <v>2.5</v>
      </c>
      <c r="AB509" s="1">
        <v>39</v>
      </c>
      <c r="AC509" s="1">
        <v>1.039054618</v>
      </c>
      <c r="AD509" s="51">
        <v>1.0217080000000001</v>
      </c>
      <c r="AE509">
        <f t="shared" si="0"/>
        <v>0.98330538385615462</v>
      </c>
      <c r="AG509" s="45"/>
      <c r="AI509" s="44">
        <v>2</v>
      </c>
      <c r="AJ509" s="1">
        <v>46</v>
      </c>
      <c r="AK509">
        <v>1.043512818</v>
      </c>
      <c r="AL509">
        <v>1.0183527640000001</v>
      </c>
      <c r="AM509">
        <f t="shared" si="1"/>
        <v>0.97588908007069652</v>
      </c>
      <c r="AO509" s="45"/>
    </row>
    <row r="510" spans="1:41" x14ac:dyDescent="0.2">
      <c r="A510" s="44" t="s">
        <v>9</v>
      </c>
      <c r="B510" s="1" t="s">
        <v>43</v>
      </c>
      <c r="C510" s="1"/>
      <c r="H510" s="45"/>
      <c r="S510" s="44">
        <v>2</v>
      </c>
      <c r="T510" s="1">
        <v>34</v>
      </c>
      <c r="U510">
        <v>1.0370754424091899</v>
      </c>
      <c r="Y510" s="45"/>
      <c r="AA510" s="44">
        <v>2.5</v>
      </c>
      <c r="AB510" s="1">
        <v>44</v>
      </c>
      <c r="AC510" s="1">
        <v>1.03215619</v>
      </c>
      <c r="AD510" s="51">
        <v>1.0183519999999999</v>
      </c>
      <c r="AE510">
        <f t="shared" si="0"/>
        <v>0.98662587103217381</v>
      </c>
      <c r="AG510" s="45"/>
      <c r="AI510" s="44">
        <v>2</v>
      </c>
      <c r="AJ510" s="1">
        <v>49</v>
      </c>
      <c r="AK510" s="1">
        <v>1.0395695899999999</v>
      </c>
      <c r="AL510">
        <v>1.01513236</v>
      </c>
      <c r="AM510">
        <f t="shared" si="1"/>
        <v>0.97649293492704037</v>
      </c>
      <c r="AO510" s="45"/>
    </row>
    <row r="511" spans="1:41" x14ac:dyDescent="0.2">
      <c r="A511" s="44">
        <v>2</v>
      </c>
      <c r="B511">
        <f>'[3]8根构件开始'!$B$46/'[3]9根构件'!$B$46</f>
        <v>1.3486238532110091</v>
      </c>
      <c r="H511" s="45"/>
      <c r="S511" s="44">
        <v>2</v>
      </c>
      <c r="T511" s="1">
        <v>39</v>
      </c>
      <c r="U511">
        <v>1.0220597322348099</v>
      </c>
      <c r="Y511" s="45"/>
      <c r="AA511" s="44">
        <v>2.5</v>
      </c>
      <c r="AB511" s="1">
        <v>49</v>
      </c>
      <c r="AC511" s="1">
        <v>1.02519191</v>
      </c>
      <c r="AD511" s="51">
        <v>1.012489</v>
      </c>
      <c r="AE511">
        <f t="shared" si="0"/>
        <v>0.98760923698666325</v>
      </c>
      <c r="AG511" s="45"/>
      <c r="AI511" s="44">
        <v>2.5</v>
      </c>
      <c r="AJ511" s="1">
        <v>9</v>
      </c>
      <c r="AK511">
        <v>1.1570881230000001</v>
      </c>
      <c r="AL511">
        <v>1.0973824999999999</v>
      </c>
      <c r="AM511">
        <f t="shared" si="1"/>
        <v>0.94840010729243296</v>
      </c>
      <c r="AO511" s="45"/>
    </row>
    <row r="512" spans="1:41" x14ac:dyDescent="0.2">
      <c r="A512" s="44">
        <v>2.2000000000000002</v>
      </c>
      <c r="H512" s="45"/>
      <c r="S512" s="44">
        <v>2</v>
      </c>
      <c r="T512" s="1">
        <v>44</v>
      </c>
      <c r="U512">
        <v>1.0212305168170599</v>
      </c>
      <c r="Y512" s="45"/>
      <c r="AA512" s="44">
        <v>2.8</v>
      </c>
      <c r="AB512" s="1">
        <v>9</v>
      </c>
      <c r="AC512">
        <v>1.1493548387096799</v>
      </c>
      <c r="AD512" s="51">
        <v>1.0871352000000001</v>
      </c>
      <c r="AE512">
        <f t="shared" si="0"/>
        <v>0.94586559640751977</v>
      </c>
      <c r="AG512" s="45"/>
      <c r="AI512" s="44">
        <v>2.5</v>
      </c>
      <c r="AJ512" s="1">
        <v>11</v>
      </c>
      <c r="AK512">
        <v>1.1428672950000001</v>
      </c>
      <c r="AL512">
        <v>1.0862547</v>
      </c>
      <c r="AM512">
        <f t="shared" si="1"/>
        <v>0.95046441940575432</v>
      </c>
      <c r="AO512" s="45"/>
    </row>
    <row r="513" spans="1:41" x14ac:dyDescent="0.2">
      <c r="A513" s="44">
        <v>2.5</v>
      </c>
      <c r="B513">
        <f>'[4]8根构件开始'!$B$46/'[4]9根构件'!$B$46</f>
        <v>2.0487804878048781</v>
      </c>
      <c r="H513" s="45"/>
      <c r="S513" s="44">
        <v>2</v>
      </c>
      <c r="T513" s="1">
        <v>49</v>
      </c>
      <c r="U513">
        <v>1.01513236</v>
      </c>
      <c r="Y513" s="45"/>
      <c r="AA513" s="44">
        <v>2.8</v>
      </c>
      <c r="AB513" s="1">
        <v>14</v>
      </c>
      <c r="AC513">
        <v>1.1083726</v>
      </c>
      <c r="AD513" s="51">
        <v>1.0698479999999999</v>
      </c>
      <c r="AE513">
        <f t="shared" si="0"/>
        <v>0.96524219382543364</v>
      </c>
      <c r="AG513" s="45"/>
      <c r="AI513" s="44">
        <v>2.5</v>
      </c>
      <c r="AJ513" s="1">
        <v>14</v>
      </c>
      <c r="AK513">
        <v>1.124197949</v>
      </c>
      <c r="AL513">
        <v>1.0768922999999999</v>
      </c>
      <c r="AM513">
        <f t="shared" si="1"/>
        <v>0.95792053433109392</v>
      </c>
      <c r="AO513" s="45"/>
    </row>
    <row r="514" spans="1:41" x14ac:dyDescent="0.2">
      <c r="A514" s="44">
        <v>2.8</v>
      </c>
      <c r="B514">
        <f>'[1]8根构件开始'!$B$46/'[1]9根构件'!$B$46</f>
        <v>0.88888888888888884</v>
      </c>
      <c r="H514" s="45"/>
      <c r="S514" s="44">
        <v>2.5</v>
      </c>
      <c r="T514" s="1">
        <v>9</v>
      </c>
      <c r="U514" s="51">
        <v>1.0973824999999999</v>
      </c>
      <c r="Y514" s="45"/>
      <c r="AA514" s="44">
        <v>2.8</v>
      </c>
      <c r="AB514" s="1">
        <v>19</v>
      </c>
      <c r="AC514">
        <v>1.0778532000000001</v>
      </c>
      <c r="AD514" s="51">
        <v>1.055083</v>
      </c>
      <c r="AE514">
        <f t="shared" si="0"/>
        <v>0.97887448865949456</v>
      </c>
      <c r="AG514" s="45"/>
      <c r="AI514" s="44">
        <v>2.5</v>
      </c>
      <c r="AJ514" s="1">
        <v>16</v>
      </c>
      <c r="AK514">
        <v>1.1153287460000001</v>
      </c>
      <c r="AL514">
        <v>1.0698375</v>
      </c>
      <c r="AM514">
        <f t="shared" si="1"/>
        <v>0.95921270193819597</v>
      </c>
      <c r="AO514" s="45"/>
    </row>
    <row r="515" spans="1:41" ht="15" thickBot="1" x14ac:dyDescent="0.25">
      <c r="A515" s="46">
        <v>3</v>
      </c>
      <c r="B515" s="47"/>
      <c r="C515" s="47"/>
      <c r="D515" s="47"/>
      <c r="E515" s="47"/>
      <c r="F515" s="47"/>
      <c r="G515" s="47"/>
      <c r="H515" s="48"/>
      <c r="S515" s="44">
        <v>2.5</v>
      </c>
      <c r="T515" s="1">
        <v>14</v>
      </c>
      <c r="U515" s="51">
        <v>1.0768922999999999</v>
      </c>
      <c r="Y515" s="45"/>
      <c r="AA515" s="44">
        <v>2.8</v>
      </c>
      <c r="AB515" s="1">
        <v>24</v>
      </c>
      <c r="AC515">
        <v>1.0537019999999999</v>
      </c>
      <c r="AD515" s="51">
        <v>1.042729</v>
      </c>
      <c r="AE515">
        <f t="shared" si="0"/>
        <v>0.98958623975279547</v>
      </c>
      <c r="AG515" s="45"/>
      <c r="AI515" s="44">
        <v>2.5</v>
      </c>
      <c r="AJ515" s="1">
        <v>19</v>
      </c>
      <c r="AK515">
        <v>1.0924855490000001</v>
      </c>
      <c r="AL515">
        <v>1.0628040999999999</v>
      </c>
      <c r="AM515">
        <f t="shared" si="1"/>
        <v>0.97283126625595284</v>
      </c>
      <c r="AO515" s="45"/>
    </row>
    <row r="516" spans="1:41" x14ac:dyDescent="0.2">
      <c r="S516" s="44">
        <v>2.5</v>
      </c>
      <c r="T516" s="1">
        <v>19</v>
      </c>
      <c r="U516" s="51">
        <v>1.0628040999999999</v>
      </c>
      <c r="Y516" s="45"/>
      <c r="AA516" s="44">
        <v>2.8</v>
      </c>
      <c r="AB516" s="1">
        <v>29</v>
      </c>
      <c r="AC516">
        <v>1.043115</v>
      </c>
      <c r="AD516" s="51">
        <v>1.0338639999999999</v>
      </c>
      <c r="AE516">
        <f t="shared" si="0"/>
        <v>0.99113137094184234</v>
      </c>
      <c r="AG516" s="45"/>
      <c r="AI516" s="44">
        <v>2.5</v>
      </c>
      <c r="AJ516" s="1">
        <v>21</v>
      </c>
      <c r="AK516">
        <v>1.083726481</v>
      </c>
      <c r="AL516">
        <v>1.0551263</v>
      </c>
      <c r="AM516">
        <f t="shared" si="1"/>
        <v>0.97360941021427339</v>
      </c>
      <c r="AO516" s="45"/>
    </row>
    <row r="517" spans="1:41" x14ac:dyDescent="0.2">
      <c r="S517" s="44">
        <v>2.5</v>
      </c>
      <c r="T517" s="1">
        <v>24</v>
      </c>
      <c r="U517" s="51">
        <v>1.0473627999999999</v>
      </c>
      <c r="Y517" s="45"/>
      <c r="AA517" s="44">
        <v>2.8</v>
      </c>
      <c r="AB517" s="1">
        <v>34</v>
      </c>
      <c r="AC517">
        <v>1.0400590000000001</v>
      </c>
      <c r="AD517" s="51">
        <v>1.025671</v>
      </c>
      <c r="AE517">
        <f t="shared" si="0"/>
        <v>0.98616616941923485</v>
      </c>
      <c r="AG517" s="45"/>
      <c r="AI517" s="44">
        <v>2.5</v>
      </c>
      <c r="AJ517" s="1">
        <v>24</v>
      </c>
      <c r="AK517">
        <v>1.0622406639999999</v>
      </c>
      <c r="AL517">
        <v>1.0473627999999999</v>
      </c>
      <c r="AM517">
        <f t="shared" si="1"/>
        <v>0.98599388584506309</v>
      </c>
      <c r="AO517" s="45"/>
    </row>
    <row r="518" spans="1:41" x14ac:dyDescent="0.2">
      <c r="A518" s="1"/>
      <c r="S518" s="44">
        <v>2.5</v>
      </c>
      <c r="T518" s="1">
        <v>29</v>
      </c>
      <c r="U518" s="51">
        <v>1.038095</v>
      </c>
      <c r="Y518" s="45"/>
      <c r="AA518" s="44">
        <v>2.8</v>
      </c>
      <c r="AB518" s="1">
        <v>39</v>
      </c>
      <c r="AC518">
        <v>1.0356080000000001</v>
      </c>
      <c r="AD518" s="51">
        <v>1.02003</v>
      </c>
      <c r="AE518">
        <f t="shared" si="0"/>
        <v>0.98495762875528181</v>
      </c>
      <c r="AG518" s="45"/>
      <c r="AI518" s="44">
        <v>2.5</v>
      </c>
      <c r="AJ518" s="1">
        <v>26</v>
      </c>
      <c r="AK518">
        <v>1.0573194020000001</v>
      </c>
      <c r="AL518">
        <v>1.0427584000000001</v>
      </c>
      <c r="AM518">
        <f t="shared" si="1"/>
        <v>0.98622837907593797</v>
      </c>
      <c r="AO518" s="45"/>
    </row>
    <row r="519" spans="1:41" x14ac:dyDescent="0.2">
      <c r="S519" s="44">
        <v>2.5</v>
      </c>
      <c r="T519" s="1">
        <v>34</v>
      </c>
      <c r="U519" s="51">
        <v>1.0296339999999999</v>
      </c>
      <c r="Y519" s="45"/>
      <c r="AA519" s="44">
        <v>2.8</v>
      </c>
      <c r="AB519" s="1">
        <v>44</v>
      </c>
      <c r="AC519">
        <v>1.0286740000000001</v>
      </c>
      <c r="AD519" s="51">
        <v>1.0154209999999999</v>
      </c>
      <c r="AE519">
        <f t="shared" si="0"/>
        <v>0.98711642366775076</v>
      </c>
      <c r="AG519" s="45"/>
      <c r="AI519" s="44">
        <v>2.5</v>
      </c>
      <c r="AJ519" s="1">
        <v>29</v>
      </c>
      <c r="AK519">
        <v>1.04516498</v>
      </c>
      <c r="AL519">
        <v>1.038095</v>
      </c>
      <c r="AM519">
        <f t="shared" si="1"/>
        <v>0.9932355368431881</v>
      </c>
      <c r="AO519" s="45"/>
    </row>
    <row r="520" spans="1:41" ht="15" thickBot="1" x14ac:dyDescent="0.25">
      <c r="S520" s="44">
        <v>2.5</v>
      </c>
      <c r="T520" s="1">
        <v>39</v>
      </c>
      <c r="U520" s="51">
        <v>1.0217080000000001</v>
      </c>
      <c r="Y520" s="45"/>
      <c r="AA520" s="46">
        <v>2.8</v>
      </c>
      <c r="AB520" s="52">
        <v>49</v>
      </c>
      <c r="AC520" s="47">
        <v>1.018329</v>
      </c>
      <c r="AD520" s="51">
        <v>1.010246</v>
      </c>
      <c r="AE520">
        <f t="shared" si="0"/>
        <v>0.99206248668161268</v>
      </c>
      <c r="AF520" s="47"/>
      <c r="AG520" s="48"/>
      <c r="AI520" s="44">
        <v>2.5</v>
      </c>
      <c r="AJ520" s="1">
        <v>31</v>
      </c>
      <c r="AK520">
        <v>1.0438762150000001</v>
      </c>
      <c r="AL520">
        <v>1.0339726</v>
      </c>
      <c r="AM520">
        <f t="shared" si="1"/>
        <v>0.99051265383989995</v>
      </c>
      <c r="AO520" s="45"/>
    </row>
    <row r="521" spans="1:41" x14ac:dyDescent="0.2">
      <c r="S521" s="44">
        <v>2.5</v>
      </c>
      <c r="T521" s="1">
        <v>44</v>
      </c>
      <c r="U521" s="51">
        <v>1.0183519999999999</v>
      </c>
      <c r="Y521" s="45"/>
      <c r="AI521" s="44">
        <v>2.5</v>
      </c>
      <c r="AJ521" s="1">
        <v>34</v>
      </c>
      <c r="AK521">
        <v>1.0410646509999999</v>
      </c>
      <c r="AL521">
        <v>1.0296339999999999</v>
      </c>
      <c r="AM521">
        <f t="shared" si="1"/>
        <v>0.98902022944586565</v>
      </c>
      <c r="AO521" s="45"/>
    </row>
    <row r="522" spans="1:41" ht="15" thickBot="1" x14ac:dyDescent="0.25">
      <c r="S522" s="44">
        <v>2.5</v>
      </c>
      <c r="T522" s="1">
        <v>49</v>
      </c>
      <c r="U522" s="51">
        <v>1.012489</v>
      </c>
      <c r="Y522" s="45"/>
      <c r="AI522" s="44">
        <v>2.5</v>
      </c>
      <c r="AJ522" s="1">
        <v>36</v>
      </c>
      <c r="AK522">
        <v>1.039827364</v>
      </c>
      <c r="AL522">
        <v>1.0258419000000001</v>
      </c>
      <c r="AM522">
        <f t="shared" si="1"/>
        <v>0.98655020584743924</v>
      </c>
      <c r="AO522" s="45"/>
    </row>
    <row r="523" spans="1:41" x14ac:dyDescent="0.2">
      <c r="S523" s="44">
        <v>2.8</v>
      </c>
      <c r="T523" s="1">
        <v>9</v>
      </c>
      <c r="U523" s="51">
        <v>1.0871352000000001</v>
      </c>
      <c r="Y523" s="45"/>
      <c r="AA523" s="77" t="s">
        <v>135</v>
      </c>
      <c r="AB523" s="78"/>
      <c r="AC523" s="78"/>
      <c r="AD523" s="78"/>
      <c r="AE523" s="78"/>
      <c r="AF523" s="78"/>
      <c r="AG523" s="79"/>
      <c r="AI523" s="44">
        <v>2.5</v>
      </c>
      <c r="AJ523" s="1">
        <v>39</v>
      </c>
      <c r="AK523">
        <v>1.039054618</v>
      </c>
      <c r="AL523">
        <v>1.0217080000000001</v>
      </c>
      <c r="AM523">
        <f t="shared" si="1"/>
        <v>0.98330538385615462</v>
      </c>
      <c r="AO523" s="45"/>
    </row>
    <row r="524" spans="1:41" x14ac:dyDescent="0.2">
      <c r="S524" s="44">
        <v>2.8</v>
      </c>
      <c r="T524" s="1">
        <v>14</v>
      </c>
      <c r="U524" s="51">
        <v>1.0698479999999999</v>
      </c>
      <c r="Y524" s="45"/>
      <c r="AA524" s="56" t="s">
        <v>9</v>
      </c>
      <c r="AB524" s="57" t="s">
        <v>7</v>
      </c>
      <c r="AC524" s="57" t="s">
        <v>127</v>
      </c>
      <c r="AD524" s="57" t="s">
        <v>128</v>
      </c>
      <c r="AE524" s="57" t="s">
        <v>130</v>
      </c>
      <c r="AF524" s="57" t="s">
        <v>131</v>
      </c>
      <c r="AG524" s="58"/>
      <c r="AI524" s="44">
        <v>2.5</v>
      </c>
      <c r="AJ524" s="1">
        <v>41</v>
      </c>
      <c r="AK524">
        <v>1.036492857</v>
      </c>
      <c r="AL524">
        <v>1.0198265</v>
      </c>
      <c r="AM524">
        <f t="shared" si="1"/>
        <v>0.98392043236241999</v>
      </c>
      <c r="AO524" s="45"/>
    </row>
    <row r="525" spans="1:41" x14ac:dyDescent="0.2">
      <c r="S525" s="44">
        <v>2.8</v>
      </c>
      <c r="T525" s="1">
        <v>19</v>
      </c>
      <c r="U525" s="51">
        <v>1.055083</v>
      </c>
      <c r="Y525" s="45"/>
      <c r="AA525" s="44">
        <v>2</v>
      </c>
      <c r="AB525" s="1">
        <v>9</v>
      </c>
      <c r="AC525" s="1">
        <v>1.1723023371456986</v>
      </c>
      <c r="AD525">
        <v>1.103866837</v>
      </c>
      <c r="AE525">
        <f>(-0.015*AA525 + 0.003*AB525 + 0.004*AA525^2 - 7.514*10^(-5)*AB525^2 + 4.893*10^(-4)*AA525*AB525 + 0.93)*AC525</f>
        <v>1.1086710089259075</v>
      </c>
      <c r="AF525">
        <f>ABS(AE525-AD525)/AD525</f>
        <v>4.3521299534316398E-3</v>
      </c>
      <c r="AG525" s="45"/>
      <c r="AI525" s="44">
        <v>2.5</v>
      </c>
      <c r="AJ525" s="1">
        <v>44</v>
      </c>
      <c r="AK525">
        <v>1.03215619</v>
      </c>
      <c r="AL525">
        <v>1.0183519999999999</v>
      </c>
      <c r="AM525">
        <f t="shared" si="1"/>
        <v>0.98662587103217381</v>
      </c>
      <c r="AO525" s="45"/>
    </row>
    <row r="526" spans="1:41" x14ac:dyDescent="0.2">
      <c r="S526" s="44">
        <v>2.8</v>
      </c>
      <c r="T526" s="1">
        <v>24</v>
      </c>
      <c r="U526" s="51">
        <v>1.042729</v>
      </c>
      <c r="Y526" s="45"/>
      <c r="AA526" s="44">
        <v>2</v>
      </c>
      <c r="AB526" s="1">
        <v>11</v>
      </c>
      <c r="AC526">
        <v>1.1471981280000001</v>
      </c>
      <c r="AD526">
        <v>1.097382546</v>
      </c>
      <c r="AE526">
        <f t="shared" ref="AE526:AE575" si="2">(-0.015*AA526 + 0.003*AB526 + 0.004*AA526^2 - 7.514*10^(-5)*AB526^2 + 4.893*10^(-4)*AA526*AB526 + 0.93)*AC526</f>
        <v>1.0906098958927806</v>
      </c>
      <c r="AF526">
        <f t="shared" ref="AF526:AF536" si="3">ABS(AE526-AD526)/AD526</f>
        <v>6.1716400829464179E-3</v>
      </c>
      <c r="AG526" s="45"/>
      <c r="AI526" s="44">
        <v>2.5</v>
      </c>
      <c r="AJ526" s="1">
        <v>46</v>
      </c>
      <c r="AK526">
        <v>1.0297436280000001</v>
      </c>
      <c r="AL526">
        <v>1.0154283</v>
      </c>
      <c r="AM526">
        <f t="shared" si="1"/>
        <v>0.98609816306627329</v>
      </c>
      <c r="AO526" s="45"/>
    </row>
    <row r="527" spans="1:41" x14ac:dyDescent="0.2">
      <c r="S527" s="44">
        <v>2.8</v>
      </c>
      <c r="T527" s="1">
        <v>29</v>
      </c>
      <c r="U527" s="51">
        <v>1.0338639999999999</v>
      </c>
      <c r="Y527" s="45"/>
      <c r="AA527" s="44">
        <v>2</v>
      </c>
      <c r="AB527" s="1">
        <v>14</v>
      </c>
      <c r="AC527" s="1">
        <v>1.1276065276518585</v>
      </c>
      <c r="AD527">
        <v>1.0830341880000001</v>
      </c>
      <c r="AE527">
        <f t="shared" si="2"/>
        <v>1.0790889564823209</v>
      </c>
      <c r="AF527">
        <f t="shared" si="3"/>
        <v>3.6427580600799235E-3</v>
      </c>
      <c r="AG527" s="45"/>
      <c r="AI527" s="44">
        <v>2.5</v>
      </c>
      <c r="AJ527" s="1">
        <v>49</v>
      </c>
      <c r="AK527">
        <v>1.02519191</v>
      </c>
      <c r="AL527">
        <v>1.012489</v>
      </c>
      <c r="AM527">
        <f t="shared" si="1"/>
        <v>0.98760923698666325</v>
      </c>
      <c r="AO527" s="45"/>
    </row>
    <row r="528" spans="1:41" x14ac:dyDescent="0.2">
      <c r="S528" s="44">
        <v>2.8</v>
      </c>
      <c r="T528" s="1">
        <v>34</v>
      </c>
      <c r="U528" s="51">
        <v>1.025671</v>
      </c>
      <c r="Y528" s="45"/>
      <c r="AA528" s="44">
        <v>2</v>
      </c>
      <c r="AB528" s="1">
        <v>16</v>
      </c>
      <c r="AC528">
        <v>1.1159229418909999</v>
      </c>
      <c r="AD528">
        <v>1.076892317</v>
      </c>
      <c r="AE528">
        <f t="shared" si="2"/>
        <v>1.0717566758753319</v>
      </c>
      <c r="AF528">
        <f t="shared" si="3"/>
        <v>4.7689458301410957E-3</v>
      </c>
      <c r="AG528" s="45"/>
      <c r="AI528" s="44">
        <v>2.8</v>
      </c>
      <c r="AJ528" s="1">
        <v>9</v>
      </c>
      <c r="AK528">
        <v>1.1493548389999999</v>
      </c>
      <c r="AL528">
        <v>1.0871352000000001</v>
      </c>
      <c r="AM528">
        <f t="shared" si="1"/>
        <v>0.94586559616859989</v>
      </c>
      <c r="AO528" s="45"/>
    </row>
    <row r="529" spans="18:41" x14ac:dyDescent="0.2">
      <c r="S529" s="44">
        <v>2.8</v>
      </c>
      <c r="T529" s="1">
        <v>39</v>
      </c>
      <c r="U529" s="51">
        <v>1.02003</v>
      </c>
      <c r="Y529" s="45"/>
      <c r="AA529" s="44">
        <v>2</v>
      </c>
      <c r="AB529" s="1">
        <v>19</v>
      </c>
      <c r="AC529" s="1">
        <v>1.1025293586269196</v>
      </c>
      <c r="AD529">
        <v>1.0693617019999999</v>
      </c>
      <c r="AE529">
        <f t="shared" si="2"/>
        <v>1.0633541311020778</v>
      </c>
      <c r="AF529">
        <f t="shared" si="3"/>
        <v>5.6179035462803062E-3</v>
      </c>
      <c r="AG529" s="45"/>
      <c r="AI529" s="44">
        <v>2.8</v>
      </c>
      <c r="AJ529" s="1">
        <v>11</v>
      </c>
      <c r="AK529">
        <v>1.1228563170000001</v>
      </c>
      <c r="AL529">
        <v>1.0753286</v>
      </c>
      <c r="AM529">
        <f t="shared" si="1"/>
        <v>0.95767248553494122</v>
      </c>
      <c r="AO529" s="45"/>
    </row>
    <row r="530" spans="18:41" x14ac:dyDescent="0.2">
      <c r="S530" s="44">
        <v>2.8</v>
      </c>
      <c r="T530" s="1">
        <v>44</v>
      </c>
      <c r="U530" s="51">
        <v>1.0154209999999999</v>
      </c>
      <c r="Y530" s="45"/>
      <c r="AA530" s="44">
        <v>2</v>
      </c>
      <c r="AB530" s="1">
        <v>21</v>
      </c>
      <c r="AC530">
        <v>1.0941912899999999</v>
      </c>
      <c r="AD530">
        <v>1.0628041589999999</v>
      </c>
      <c r="AE530">
        <f t="shared" si="2"/>
        <v>1.0574416281472794</v>
      </c>
      <c r="AF530">
        <f t="shared" si="3"/>
        <v>5.0456434586840359E-3</v>
      </c>
      <c r="AG530" s="45"/>
      <c r="AI530" s="44">
        <v>2.8</v>
      </c>
      <c r="AJ530" s="1">
        <v>14</v>
      </c>
      <c r="AK530">
        <v>1.1083726</v>
      </c>
      <c r="AL530">
        <v>1.0698479999999999</v>
      </c>
      <c r="AM530">
        <f t="shared" si="1"/>
        <v>0.96524219382543364</v>
      </c>
      <c r="AO530" s="45"/>
    </row>
    <row r="531" spans="18:41" ht="15" thickBot="1" x14ac:dyDescent="0.25">
      <c r="S531" s="46">
        <v>2.8</v>
      </c>
      <c r="T531" s="52">
        <v>49</v>
      </c>
      <c r="U531" s="51">
        <v>1.010246</v>
      </c>
      <c r="V531" s="47"/>
      <c r="W531" s="47"/>
      <c r="X531" s="47"/>
      <c r="Y531" s="48"/>
      <c r="AA531" s="44">
        <v>2</v>
      </c>
      <c r="AB531" s="1">
        <v>24</v>
      </c>
      <c r="AC531" s="1">
        <v>1.0869276708692766</v>
      </c>
      <c r="AD531">
        <v>1.0560360360000001</v>
      </c>
      <c r="AE531">
        <f t="shared" si="2"/>
        <v>1.0523696316390179</v>
      </c>
      <c r="AF531">
        <f t="shared" si="3"/>
        <v>3.4718553496238839E-3</v>
      </c>
      <c r="AG531" s="45"/>
      <c r="AI531" s="44">
        <v>2.8</v>
      </c>
      <c r="AJ531" s="1">
        <v>16</v>
      </c>
      <c r="AK531">
        <v>1.0852194630000001</v>
      </c>
      <c r="AL531">
        <v>1.0604927</v>
      </c>
      <c r="AM531">
        <f t="shared" si="1"/>
        <v>0.97721496541202368</v>
      </c>
      <c r="AO531" s="45"/>
    </row>
    <row r="532" spans="18:41" x14ac:dyDescent="0.2">
      <c r="AA532" s="44">
        <v>2</v>
      </c>
      <c r="AB532" s="1">
        <v>26</v>
      </c>
      <c r="AC532">
        <v>1.069181808</v>
      </c>
      <c r="AD532">
        <v>1.0473628450000001</v>
      </c>
      <c r="AE532">
        <f t="shared" si="2"/>
        <v>1.0356618463701197</v>
      </c>
      <c r="AF532">
        <f t="shared" si="3"/>
        <v>1.1171867214633136E-2</v>
      </c>
      <c r="AG532" s="45"/>
      <c r="AI532" s="44">
        <v>2.8</v>
      </c>
      <c r="AJ532" s="1">
        <v>19</v>
      </c>
      <c r="AK532">
        <v>1.0778532000000001</v>
      </c>
      <c r="AL532">
        <v>1.055083</v>
      </c>
      <c r="AM532">
        <f t="shared" si="1"/>
        <v>0.97887448865949456</v>
      </c>
      <c r="AO532" s="45"/>
    </row>
    <row r="533" spans="18:41" x14ac:dyDescent="0.2">
      <c r="AA533" s="44">
        <v>2</v>
      </c>
      <c r="AB533" s="1">
        <v>29</v>
      </c>
      <c r="AC533" s="1">
        <v>1.0593358737071312</v>
      </c>
      <c r="AD533">
        <v>1.0393164930000001</v>
      </c>
      <c r="AE533">
        <f t="shared" si="2"/>
        <v>1.0256348613826893</v>
      </c>
      <c r="AF533">
        <f t="shared" si="3"/>
        <v>1.3164066681765561E-2</v>
      </c>
      <c r="AG533" s="45"/>
      <c r="AI533" s="44">
        <v>2.8</v>
      </c>
      <c r="AJ533" s="1">
        <v>21</v>
      </c>
      <c r="AK533">
        <v>1.0583276239999999</v>
      </c>
      <c r="AL533">
        <v>1.0472158</v>
      </c>
      <c r="AM533">
        <f>AL533/AK533</f>
        <v>0.9895005820995183</v>
      </c>
      <c r="AO533" s="45"/>
    </row>
    <row r="534" spans="18:41" ht="15" thickBot="1" x14ac:dyDescent="0.25">
      <c r="AA534" s="44">
        <v>2</v>
      </c>
      <c r="AB534" s="1">
        <v>31</v>
      </c>
      <c r="AC534">
        <v>1.0590598289211099</v>
      </c>
      <c r="AD534">
        <v>1.038095271</v>
      </c>
      <c r="AE534">
        <f t="shared" si="2"/>
        <v>1.0242454187085761</v>
      </c>
      <c r="AF534">
        <f t="shared" si="3"/>
        <v>1.334160040829613E-2</v>
      </c>
      <c r="AG534" s="45"/>
      <c r="AI534" s="44">
        <v>2.8</v>
      </c>
      <c r="AJ534" s="1">
        <v>24</v>
      </c>
      <c r="AK534">
        <v>1.0537019999999999</v>
      </c>
      <c r="AL534">
        <v>1.042729</v>
      </c>
      <c r="AM534">
        <f t="shared" si="1"/>
        <v>0.98958623975279547</v>
      </c>
      <c r="AO534" s="45"/>
    </row>
    <row r="535" spans="18:41" x14ac:dyDescent="0.2">
      <c r="R535" s="80" t="s">
        <v>132</v>
      </c>
      <c r="S535" s="81"/>
      <c r="T535" s="53" t="s">
        <v>7</v>
      </c>
      <c r="U535" s="53" t="s">
        <v>127</v>
      </c>
      <c r="V535" s="54" t="s">
        <v>130</v>
      </c>
      <c r="W535" s="1"/>
      <c r="X535" s="1"/>
      <c r="Y535" s="1"/>
      <c r="Z535" s="1"/>
      <c r="AA535" s="44">
        <v>2</v>
      </c>
      <c r="AB535" s="1">
        <v>34</v>
      </c>
      <c r="AC535" s="1">
        <v>1.0585616</v>
      </c>
      <c r="AD535">
        <v>1.0370754419999999</v>
      </c>
      <c r="AE535">
        <f t="shared" si="2"/>
        <v>1.020887985450496</v>
      </c>
      <c r="AF535">
        <f t="shared" si="3"/>
        <v>1.5608755056706794E-2</v>
      </c>
      <c r="AG535" s="45"/>
      <c r="AI535" s="44">
        <v>2.8</v>
      </c>
      <c r="AJ535" s="1">
        <v>26</v>
      </c>
      <c r="AK535">
        <v>1.045119876</v>
      </c>
      <c r="AL535">
        <v>1.0372844999999999</v>
      </c>
      <c r="AM535">
        <f t="shared" si="1"/>
        <v>0.99250289255813551</v>
      </c>
      <c r="AO535" s="45"/>
    </row>
    <row r="536" spans="18:41" ht="15" thickBot="1" x14ac:dyDescent="0.25">
      <c r="R536" s="55"/>
      <c r="S536" s="47">
        <v>3.0421719999999999</v>
      </c>
      <c r="T536" s="52">
        <v>29</v>
      </c>
      <c r="U536" s="47">
        <v>1.5880000000000001</v>
      </c>
      <c r="V536" s="48">
        <f>(-0.025*S536 + 0.003*T536 + 0.003*S536^2 - 7.514*10^(-5)*T536^2 + 4.893*10^(-4)*S536*T536+0.93)*U536</f>
        <v>1.5065116203443096</v>
      </c>
      <c r="AA536" s="44">
        <v>2</v>
      </c>
      <c r="AB536" s="1">
        <v>36</v>
      </c>
      <c r="AC536">
        <v>1.0577121518799999</v>
      </c>
      <c r="AD536">
        <v>1.0296345870000001</v>
      </c>
      <c r="AE536">
        <f t="shared" si="2"/>
        <v>1.0173584870954184</v>
      </c>
      <c r="AF536">
        <f t="shared" si="3"/>
        <v>1.1922773437856232E-2</v>
      </c>
      <c r="AG536" s="45"/>
      <c r="AI536" s="44">
        <v>2.8</v>
      </c>
      <c r="AJ536" s="1">
        <v>29</v>
      </c>
      <c r="AK536">
        <v>1.043115</v>
      </c>
      <c r="AL536">
        <v>1.0338639999999999</v>
      </c>
      <c r="AM536">
        <f t="shared" si="1"/>
        <v>0.99113137094184234</v>
      </c>
      <c r="AO536" s="45"/>
    </row>
    <row r="537" spans="18:41" x14ac:dyDescent="0.2">
      <c r="AA537" s="44">
        <v>2</v>
      </c>
      <c r="AB537" s="1">
        <v>39</v>
      </c>
      <c r="AC537" s="1">
        <v>1.0570107858243452</v>
      </c>
      <c r="AD537">
        <v>1.022059732</v>
      </c>
      <c r="AE537">
        <f t="shared" si="2"/>
        <v>1.0114297959322034</v>
      </c>
      <c r="AF537">
        <f t="shared" ref="AF537:AF540" si="4">ABS(AE537-AD537)/AD537</f>
        <v>1.0400503742570505E-2</v>
      </c>
      <c r="AG537" s="45"/>
      <c r="AI537" s="44">
        <v>2.8</v>
      </c>
      <c r="AJ537" s="1">
        <v>31</v>
      </c>
      <c r="AK537">
        <v>1.0398473619999999</v>
      </c>
      <c r="AL537">
        <v>1.0283172</v>
      </c>
      <c r="AM537">
        <f t="shared" si="1"/>
        <v>0.98891167836611782</v>
      </c>
      <c r="AO537" s="45"/>
    </row>
    <row r="538" spans="18:41" ht="15" thickBot="1" x14ac:dyDescent="0.25">
      <c r="AA538" s="44">
        <v>2</v>
      </c>
      <c r="AB538" s="1">
        <v>41</v>
      </c>
      <c r="AC538">
        <f>'[3]40根构件  '!$T$46/'[3]41根构件  '!$T$46</f>
        <v>1.0569366479550923</v>
      </c>
      <c r="AD538">
        <v>1.021708329</v>
      </c>
      <c r="AE538">
        <f t="shared" si="2"/>
        <v>1.007062196214916</v>
      </c>
      <c r="AF538">
        <f t="shared" si="4"/>
        <v>1.4334945081067238E-2</v>
      </c>
      <c r="AG538" s="45"/>
      <c r="AI538" s="44">
        <v>2.8</v>
      </c>
      <c r="AJ538" s="1">
        <v>34</v>
      </c>
      <c r="AK538">
        <v>1.0400590000000001</v>
      </c>
      <c r="AL538">
        <v>1.025671</v>
      </c>
      <c r="AM538">
        <f t="shared" si="1"/>
        <v>0.98616616941923485</v>
      </c>
      <c r="AO538" s="45"/>
    </row>
    <row r="539" spans="18:41" x14ac:dyDescent="0.2">
      <c r="S539" s="77" t="s">
        <v>106</v>
      </c>
      <c r="T539" s="78"/>
      <c r="U539" s="78"/>
      <c r="V539" s="78"/>
      <c r="W539" s="78"/>
      <c r="X539" s="78"/>
      <c r="Y539" s="79"/>
      <c r="AA539" s="44">
        <v>2</v>
      </c>
      <c r="AB539" s="1">
        <v>44</v>
      </c>
      <c r="AC539" s="1">
        <v>1.0475785896346643</v>
      </c>
      <c r="AD539">
        <v>1.021230517</v>
      </c>
      <c r="AE539">
        <f t="shared" si="2"/>
        <v>0.99057707296516573</v>
      </c>
      <c r="AF539">
        <f t="shared" si="4"/>
        <v>3.0016184910810179E-2</v>
      </c>
      <c r="AG539" s="45"/>
      <c r="AI539" s="44">
        <v>2.8</v>
      </c>
      <c r="AJ539" s="1">
        <v>36</v>
      </c>
      <c r="AK539">
        <v>1.0341287450000001</v>
      </c>
      <c r="AL539">
        <v>1.0228463000000001</v>
      </c>
      <c r="AM539">
        <f t="shared" si="1"/>
        <v>0.98908990292112997</v>
      </c>
      <c r="AO539" s="45"/>
    </row>
    <row r="540" spans="18:41" x14ac:dyDescent="0.2">
      <c r="S540" s="44" t="s">
        <v>7</v>
      </c>
      <c r="T540" s="1"/>
      <c r="U540" s="1" t="s">
        <v>136</v>
      </c>
      <c r="Y540" s="45"/>
      <c r="AA540" s="44">
        <v>2</v>
      </c>
      <c r="AB540" s="1">
        <v>46</v>
      </c>
      <c r="AC540">
        <v>1.043512818</v>
      </c>
      <c r="AD540">
        <v>1.0183527640000001</v>
      </c>
      <c r="AE540">
        <f t="shared" si="2"/>
        <v>0.98092225132815647</v>
      </c>
      <c r="AF540">
        <f t="shared" si="4"/>
        <v>3.6755939587005043E-2</v>
      </c>
      <c r="AG540" s="45"/>
      <c r="AI540" s="44">
        <v>2.8</v>
      </c>
      <c r="AJ540" s="1">
        <v>39</v>
      </c>
      <c r="AK540">
        <v>1.0356080000000001</v>
      </c>
      <c r="AL540">
        <v>1.02003</v>
      </c>
      <c r="AM540">
        <f t="shared" si="1"/>
        <v>0.98495762875528181</v>
      </c>
      <c r="AO540" s="45"/>
    </row>
    <row r="541" spans="18:41" x14ac:dyDescent="0.2">
      <c r="S541" s="44">
        <v>9</v>
      </c>
      <c r="U541">
        <f>'[3]8根构件开始'!$T$46/'[3]9根构件'!$T$46</f>
        <v>1.1723023371456986</v>
      </c>
      <c r="Y541" s="45"/>
      <c r="AA541" s="44">
        <v>2</v>
      </c>
      <c r="AB541" s="1">
        <v>49</v>
      </c>
      <c r="AC541" s="1">
        <v>1.0395695899999999</v>
      </c>
      <c r="AD541">
        <v>1.01513236</v>
      </c>
      <c r="AE541">
        <f t="shared" si="2"/>
        <v>0.96736135656669342</v>
      </c>
      <c r="AF541">
        <f>ABS(AE541-AD541)/AD541</f>
        <v>4.7058891348224323E-2</v>
      </c>
      <c r="AG541" s="45"/>
      <c r="AI541" s="44">
        <v>2.8</v>
      </c>
      <c r="AJ541" s="1">
        <v>41</v>
      </c>
      <c r="AK541">
        <v>1.025146882</v>
      </c>
      <c r="AL541">
        <v>1.0175924000000001</v>
      </c>
      <c r="AM541">
        <f t="shared" si="1"/>
        <v>0.99263082965705207</v>
      </c>
      <c r="AO541" s="45"/>
    </row>
    <row r="542" spans="18:41" x14ac:dyDescent="0.2">
      <c r="S542" s="44">
        <v>11</v>
      </c>
      <c r="U542">
        <v>1.1471981280000001</v>
      </c>
      <c r="Y542" s="45"/>
      <c r="AA542" s="44">
        <v>2.5</v>
      </c>
      <c r="AB542" s="1">
        <v>9</v>
      </c>
      <c r="AC542">
        <v>1.1570881230000001</v>
      </c>
      <c r="AD542">
        <v>1.0973824999999999</v>
      </c>
      <c r="AE542">
        <f t="shared" si="2"/>
        <v>1.0985659728650981</v>
      </c>
      <c r="AF542">
        <f>ABS(AE542-AD542)/AD542</f>
        <v>1.0784506451470869E-3</v>
      </c>
      <c r="AG542" s="45"/>
      <c r="AI542" s="44">
        <v>2.8</v>
      </c>
      <c r="AJ542" s="1">
        <v>44</v>
      </c>
      <c r="AK542">
        <v>1.0286740000000001</v>
      </c>
      <c r="AL542">
        <v>1.0154209999999999</v>
      </c>
      <c r="AM542">
        <f t="shared" si="1"/>
        <v>0.98711642366775076</v>
      </c>
      <c r="AO542" s="45"/>
    </row>
    <row r="543" spans="18:41" x14ac:dyDescent="0.2">
      <c r="S543" s="44">
        <v>14</v>
      </c>
      <c r="U543">
        <f>'[3]13根构件'!$T$46/'[3]14根构件'!$T$46</f>
        <v>1.1276065276518585</v>
      </c>
      <c r="Y543" s="45"/>
      <c r="AA543" s="44">
        <v>2.5</v>
      </c>
      <c r="AB543" s="1">
        <v>11</v>
      </c>
      <c r="AC543">
        <v>1.1428672950000001</v>
      </c>
      <c r="AD543">
        <v>1.0862547</v>
      </c>
      <c r="AE543">
        <f t="shared" si="2"/>
        <v>1.091282619628094</v>
      </c>
      <c r="AF543">
        <f t="shared" ref="AF543:AF557" si="5">ABS(AE543-AD543)/AD543</f>
        <v>4.6286746820004675E-3</v>
      </c>
      <c r="AG543" s="45"/>
      <c r="AI543" s="44">
        <v>2.8</v>
      </c>
      <c r="AJ543" s="1">
        <v>46</v>
      </c>
      <c r="AK543">
        <v>1.015501947</v>
      </c>
      <c r="AL543">
        <v>1.0128579</v>
      </c>
      <c r="AM543">
        <f t="shared" si="1"/>
        <v>0.99739631518402205</v>
      </c>
      <c r="AO543" s="45"/>
    </row>
    <row r="544" spans="18:41" ht="15" thickBot="1" x14ac:dyDescent="0.25">
      <c r="S544" s="44">
        <v>16</v>
      </c>
      <c r="U544">
        <v>1.1159229418909999</v>
      </c>
      <c r="Y544" s="45"/>
      <c r="AA544" s="44">
        <v>2.5</v>
      </c>
      <c r="AB544" s="1">
        <v>14</v>
      </c>
      <c r="AC544">
        <v>1.124197949</v>
      </c>
      <c r="AD544">
        <v>1.0768922999999999</v>
      </c>
      <c r="AE544">
        <f t="shared" si="2"/>
        <v>1.081363826199079</v>
      </c>
      <c r="AF544">
        <f t="shared" si="5"/>
        <v>4.1522501359505404E-3</v>
      </c>
      <c r="AG544" s="45"/>
      <c r="AI544" s="46">
        <v>2.8</v>
      </c>
      <c r="AJ544" s="52">
        <v>49</v>
      </c>
      <c r="AK544" s="47">
        <v>1.018329</v>
      </c>
      <c r="AL544" s="47">
        <v>1.010246</v>
      </c>
      <c r="AM544" s="47">
        <f t="shared" si="1"/>
        <v>0.99206248668161268</v>
      </c>
      <c r="AN544" s="47"/>
      <c r="AO544" s="48"/>
    </row>
    <row r="545" spans="17:41" x14ac:dyDescent="0.2">
      <c r="S545" s="44">
        <v>19</v>
      </c>
      <c r="U545">
        <f>'[3]23根构件'!$T$46/'[3]24根构件 '!$T$46</f>
        <v>1.1025293586269196</v>
      </c>
      <c r="Y545" s="45"/>
      <c r="AA545" s="44">
        <v>2.5</v>
      </c>
      <c r="AB545" s="1">
        <v>16</v>
      </c>
      <c r="AC545">
        <v>1.1153287460000001</v>
      </c>
      <c r="AD545">
        <v>1.0698375</v>
      </c>
      <c r="AE545">
        <f t="shared" si="2"/>
        <v>1.0772248331742555</v>
      </c>
      <c r="AF545">
        <f t="shared" si="5"/>
        <v>6.9050983670469121E-3</v>
      </c>
      <c r="AG545" s="45"/>
    </row>
    <row r="546" spans="17:41" ht="15" thickBot="1" x14ac:dyDescent="0.25">
      <c r="S546" s="44">
        <v>21</v>
      </c>
      <c r="U546">
        <v>1.0941912899999999</v>
      </c>
      <c r="Y546" s="45"/>
      <c r="AA546" s="44">
        <v>2.5</v>
      </c>
      <c r="AB546" s="1">
        <v>19</v>
      </c>
      <c r="AC546">
        <v>1.0924855490000001</v>
      </c>
      <c r="AD546">
        <v>1.0628040999999999</v>
      </c>
      <c r="AE546">
        <f t="shared" si="2"/>
        <v>1.0603841830501495</v>
      </c>
      <c r="AF546">
        <f t="shared" si="5"/>
        <v>2.2769172134831268E-3</v>
      </c>
      <c r="AG546" s="45"/>
    </row>
    <row r="547" spans="17:41" x14ac:dyDescent="0.2">
      <c r="S547" s="44">
        <v>24</v>
      </c>
      <c r="U547">
        <f>'[3]18根构件  '!$T$46/'[3]19根构件'!$T$46</f>
        <v>1.0869276708692766</v>
      </c>
      <c r="Y547" s="45"/>
      <c r="AA547" s="44">
        <v>2.5</v>
      </c>
      <c r="AB547" s="1">
        <v>21</v>
      </c>
      <c r="AC547">
        <v>1.083726481</v>
      </c>
      <c r="AD547">
        <v>1.0551263</v>
      </c>
      <c r="AE547">
        <f t="shared" si="2"/>
        <v>1.0545216887640363</v>
      </c>
      <c r="AF547">
        <f t="shared" si="5"/>
        <v>5.7302261915343237E-4</v>
      </c>
      <c r="AG547" s="45"/>
      <c r="AI547" s="77" t="s">
        <v>123</v>
      </c>
      <c r="AJ547" s="78"/>
      <c r="AK547" s="78"/>
      <c r="AL547" s="78"/>
      <c r="AM547" s="78"/>
      <c r="AN547" s="78"/>
      <c r="AO547" s="79"/>
    </row>
    <row r="548" spans="17:41" x14ac:dyDescent="0.2">
      <c r="S548" s="44">
        <v>26</v>
      </c>
      <c r="U548">
        <v>1.069181808</v>
      </c>
      <c r="Y548" s="45"/>
      <c r="AA548" s="44">
        <v>2.5</v>
      </c>
      <c r="AB548" s="1">
        <v>24</v>
      </c>
      <c r="AC548">
        <v>1.0622406639999999</v>
      </c>
      <c r="AD548">
        <v>1.0473627999999999</v>
      </c>
      <c r="AE548">
        <f t="shared" si="2"/>
        <v>1.0362979426697672</v>
      </c>
      <c r="AF548">
        <f t="shared" si="5"/>
        <v>1.0564493344839792E-2</v>
      </c>
      <c r="AG548" s="45"/>
      <c r="AI548" s="44" t="s">
        <v>9</v>
      </c>
      <c r="AJ548" s="1" t="s">
        <v>7</v>
      </c>
      <c r="AK548" s="1" t="s">
        <v>127</v>
      </c>
      <c r="AL548" s="1" t="s">
        <v>128</v>
      </c>
      <c r="AO548" s="45"/>
    </row>
    <row r="549" spans="17:41" x14ac:dyDescent="0.2">
      <c r="S549" s="44">
        <v>29</v>
      </c>
      <c r="U549">
        <f>'[3]28根构件'!$T$46/'[3]29根构件 '!$T$46</f>
        <v>1.0593358737071312</v>
      </c>
      <c r="Y549" s="45"/>
      <c r="AA549" s="44">
        <v>2.5</v>
      </c>
      <c r="AB549" s="1">
        <v>26</v>
      </c>
      <c r="AC549">
        <v>1.0573194020000001</v>
      </c>
      <c r="AD549">
        <v>1.0427584000000001</v>
      </c>
      <c r="AE549">
        <f t="shared" si="2"/>
        <v>1.0324828212223038</v>
      </c>
      <c r="AF549">
        <f t="shared" si="5"/>
        <v>9.8542277652198702E-3</v>
      </c>
      <c r="AG549" s="45"/>
      <c r="AI549" s="44">
        <v>2</v>
      </c>
      <c r="AJ549" s="1">
        <v>9</v>
      </c>
      <c r="AK549" s="1">
        <v>1.1723023371456986</v>
      </c>
      <c r="AL549">
        <v>1.103866837</v>
      </c>
      <c r="AM549">
        <f>AL549/AK549</f>
        <v>0.94162299436139973</v>
      </c>
      <c r="AO549" s="45"/>
    </row>
    <row r="550" spans="17:41" x14ac:dyDescent="0.2">
      <c r="S550" s="44">
        <v>31</v>
      </c>
      <c r="U550">
        <v>1.0590598289211099</v>
      </c>
      <c r="Y550" s="45"/>
      <c r="AA550" s="44">
        <v>2.5</v>
      </c>
      <c r="AB550" s="1">
        <v>29</v>
      </c>
      <c r="AC550">
        <v>1.04516498</v>
      </c>
      <c r="AD550">
        <v>1.038095</v>
      </c>
      <c r="AE550">
        <f t="shared" si="2"/>
        <v>1.0208978273635199</v>
      </c>
      <c r="AF550">
        <f t="shared" si="5"/>
        <v>1.6566087531950477E-2</v>
      </c>
      <c r="AG550" s="45"/>
      <c r="AI550" s="44">
        <v>2</v>
      </c>
      <c r="AJ550" s="1">
        <v>11</v>
      </c>
      <c r="AK550">
        <v>1.1471981280000001</v>
      </c>
      <c r="AL550">
        <v>1.097382546</v>
      </c>
      <c r="AM550">
        <f t="shared" ref="AM550:AM581" si="6">AL550/AK550</f>
        <v>0.95657630466426269</v>
      </c>
      <c r="AO550" s="45"/>
    </row>
    <row r="551" spans="17:41" x14ac:dyDescent="0.2">
      <c r="S551" s="44">
        <v>34</v>
      </c>
      <c r="U551">
        <v>1.0585616</v>
      </c>
      <c r="Y551" s="45"/>
      <c r="AA551" s="44">
        <v>2.5</v>
      </c>
      <c r="AB551" s="1">
        <v>31</v>
      </c>
      <c r="AC551">
        <v>1.0438762150000001</v>
      </c>
      <c r="AD551">
        <v>1.0339726</v>
      </c>
      <c r="AE551">
        <f t="shared" si="2"/>
        <v>1.0190436629353703</v>
      </c>
      <c r="AF551">
        <f t="shared" si="5"/>
        <v>1.4438426187144341E-2</v>
      </c>
      <c r="AG551" s="45"/>
      <c r="AI551" s="44">
        <v>2</v>
      </c>
      <c r="AJ551" s="1">
        <v>14</v>
      </c>
      <c r="AK551" s="1">
        <v>1.1276065276518585</v>
      </c>
      <c r="AL551">
        <v>1.0830341880000001</v>
      </c>
      <c r="AM551">
        <f t="shared" si="6"/>
        <v>0.96047172612180909</v>
      </c>
      <c r="AO551" s="45"/>
    </row>
    <row r="552" spans="17:41" x14ac:dyDescent="0.2">
      <c r="S552" s="44">
        <v>36</v>
      </c>
      <c r="U552">
        <v>1.0577121518799999</v>
      </c>
      <c r="Y552" s="45"/>
      <c r="AA552" s="44">
        <v>2.5</v>
      </c>
      <c r="AB552" s="1">
        <v>34</v>
      </c>
      <c r="AC552">
        <v>1.0410646509999999</v>
      </c>
      <c r="AD552">
        <v>1.0296339999999999</v>
      </c>
      <c r="AE552">
        <f t="shared" si="2"/>
        <v>1.0142350199170977</v>
      </c>
      <c r="AF552">
        <f t="shared" si="5"/>
        <v>1.4955780484038204E-2</v>
      </c>
      <c r="AG552" s="45"/>
      <c r="AI552" s="44">
        <v>2</v>
      </c>
      <c r="AJ552" s="1">
        <v>16</v>
      </c>
      <c r="AK552">
        <v>1.1159229418909999</v>
      </c>
      <c r="AL552">
        <v>1.076892317</v>
      </c>
      <c r="AM552">
        <f t="shared" si="6"/>
        <v>0.96502390673601512</v>
      </c>
      <c r="AO552" s="45"/>
    </row>
    <row r="553" spans="17:41" x14ac:dyDescent="0.2">
      <c r="S553" s="44">
        <v>39</v>
      </c>
      <c r="U553">
        <f>'[3]38根构件  '!$T$46/'[3]39根构件   '!$T$46</f>
        <v>1.0570107858243452</v>
      </c>
      <c r="Y553" s="45"/>
      <c r="AA553" s="44">
        <v>2.5</v>
      </c>
      <c r="AB553" s="1">
        <v>36</v>
      </c>
      <c r="AC553">
        <v>1.039827364</v>
      </c>
      <c r="AD553">
        <v>1.0258419000000001</v>
      </c>
      <c r="AE553">
        <f t="shared" si="2"/>
        <v>1.0108739533527438</v>
      </c>
      <c r="AF553">
        <f t="shared" si="5"/>
        <v>1.4590890318728756E-2</v>
      </c>
      <c r="AG553" s="45"/>
      <c r="AI553" s="44">
        <v>2</v>
      </c>
      <c r="AJ553" s="1">
        <v>19</v>
      </c>
      <c r="AK553" s="1">
        <v>1.1025293586269196</v>
      </c>
      <c r="AL553">
        <v>1.0693617019999999</v>
      </c>
      <c r="AM553">
        <f t="shared" si="6"/>
        <v>0.96991675879885286</v>
      </c>
      <c r="AO553" s="45"/>
    </row>
    <row r="554" spans="17:41" x14ac:dyDescent="0.2">
      <c r="S554" s="44">
        <v>41</v>
      </c>
      <c r="U554">
        <f>'[3]40根构件  '!$T$46/'[3]41根构件  '!$T$46</f>
        <v>1.0569366479550923</v>
      </c>
      <c r="Y554" s="45"/>
      <c r="AA554" s="44">
        <v>2.5</v>
      </c>
      <c r="AB554" s="1">
        <v>39</v>
      </c>
      <c r="AC554">
        <v>1.039054618</v>
      </c>
      <c r="AD554">
        <v>1.0217080000000001</v>
      </c>
      <c r="AE554">
        <f t="shared" si="2"/>
        <v>1.0057205093795645</v>
      </c>
      <c r="AF554">
        <f t="shared" si="5"/>
        <v>1.5647808004278702E-2</v>
      </c>
      <c r="AG554" s="45"/>
      <c r="AI554" s="44">
        <v>2</v>
      </c>
      <c r="AJ554" s="1">
        <v>21</v>
      </c>
      <c r="AK554">
        <v>1.0941912899999999</v>
      </c>
      <c r="AL554">
        <v>1.0628041589999999</v>
      </c>
      <c r="AM554">
        <f t="shared" si="6"/>
        <v>0.9713147680055102</v>
      </c>
      <c r="AO554" s="45"/>
    </row>
    <row r="555" spans="17:41" x14ac:dyDescent="0.2">
      <c r="S555" s="44">
        <v>44</v>
      </c>
      <c r="U555">
        <f>'[3]43根构件   '!$T$46/'[3]44根构件 '!$T$46</f>
        <v>1.0475785896346643</v>
      </c>
      <c r="Y555" s="45"/>
      <c r="AA555" s="44">
        <v>2.5</v>
      </c>
      <c r="AB555" s="1">
        <v>41</v>
      </c>
      <c r="AC555">
        <v>1.036492857</v>
      </c>
      <c r="AD555">
        <v>1.0198265</v>
      </c>
      <c r="AE555">
        <f t="shared" si="2"/>
        <v>0.99953453791359392</v>
      </c>
      <c r="AF555">
        <f t="shared" si="5"/>
        <v>1.9897464996649964E-2</v>
      </c>
      <c r="AG555" s="45"/>
      <c r="AI555" s="44">
        <v>2</v>
      </c>
      <c r="AJ555" s="1">
        <v>24</v>
      </c>
      <c r="AK555" s="1">
        <v>1.0869276708692766</v>
      </c>
      <c r="AL555">
        <v>1.0560360360000001</v>
      </c>
      <c r="AM555">
        <f t="shared" si="6"/>
        <v>0.97157894154578772</v>
      </c>
      <c r="AO555" s="45"/>
    </row>
    <row r="556" spans="17:41" x14ac:dyDescent="0.2">
      <c r="S556" s="44">
        <v>46</v>
      </c>
      <c r="U556">
        <v>1.043512818</v>
      </c>
      <c r="Y556" s="45"/>
      <c r="AA556" s="44">
        <v>2.5</v>
      </c>
      <c r="AB556" s="1">
        <v>44</v>
      </c>
      <c r="AC556">
        <v>1.03215619</v>
      </c>
      <c r="AD556">
        <v>1.0183519999999999</v>
      </c>
      <c r="AE556">
        <f t="shared" si="2"/>
        <v>0.98865282961763246</v>
      </c>
      <c r="AF556">
        <f t="shared" si="5"/>
        <v>2.9163953507596069E-2</v>
      </c>
      <c r="AG556" s="45"/>
      <c r="AI556" s="44">
        <v>2</v>
      </c>
      <c r="AJ556" s="1">
        <v>26</v>
      </c>
      <c r="AK556">
        <v>1.069181808</v>
      </c>
      <c r="AL556">
        <v>1.0473628450000001</v>
      </c>
      <c r="AM556">
        <f t="shared" si="6"/>
        <v>0.9795928411456849</v>
      </c>
      <c r="AO556" s="45"/>
    </row>
    <row r="557" spans="17:41" ht="15" thickBot="1" x14ac:dyDescent="0.25">
      <c r="S557" s="46">
        <v>49</v>
      </c>
      <c r="T557" s="47"/>
      <c r="U557" s="47">
        <v>1.0395695899999999</v>
      </c>
      <c r="V557" s="47"/>
      <c r="W557" s="47"/>
      <c r="X557" s="47"/>
      <c r="Y557" s="48"/>
      <c r="AA557" s="44">
        <v>2.5</v>
      </c>
      <c r="AB557" s="1">
        <v>46</v>
      </c>
      <c r="AC557">
        <v>1.0297436280000001</v>
      </c>
      <c r="AD557">
        <v>1.0154283</v>
      </c>
      <c r="AE557">
        <f t="shared" si="2"/>
        <v>0.98111219341378741</v>
      </c>
      <c r="AF557">
        <f t="shared" si="5"/>
        <v>3.3794711636668522E-2</v>
      </c>
      <c r="AG557" s="45"/>
      <c r="AI557" s="44">
        <v>2</v>
      </c>
      <c r="AJ557" s="1">
        <v>29</v>
      </c>
      <c r="AK557" s="1">
        <v>1.0593358737071312</v>
      </c>
      <c r="AL557">
        <v>1.0393164930000001</v>
      </c>
      <c r="AM557">
        <f t="shared" si="6"/>
        <v>0.9811019515113053</v>
      </c>
      <c r="AO557" s="45"/>
    </row>
    <row r="558" spans="17:41" x14ac:dyDescent="0.2">
      <c r="AA558" s="44">
        <v>2.5</v>
      </c>
      <c r="AB558" s="1">
        <v>49</v>
      </c>
      <c r="AC558">
        <v>1.02519191</v>
      </c>
      <c r="AD558">
        <v>1.012489</v>
      </c>
      <c r="AE558">
        <f t="shared" si="2"/>
        <v>0.96780998118459016</v>
      </c>
      <c r="AF558">
        <f>ABS(AE558-AD558)/AD558</f>
        <v>4.4127905404809147E-2</v>
      </c>
      <c r="AG558" s="45"/>
      <c r="AI558" s="44">
        <v>2</v>
      </c>
      <c r="AJ558" s="1">
        <v>31</v>
      </c>
      <c r="AK558">
        <v>1.0590598289211099</v>
      </c>
      <c r="AL558">
        <v>1.038095271</v>
      </c>
      <c r="AM558">
        <f t="shared" si="6"/>
        <v>0.98020455752488789</v>
      </c>
      <c r="AO558" s="45"/>
    </row>
    <row r="559" spans="17:41" ht="15" thickBot="1" x14ac:dyDescent="0.25">
      <c r="AA559" s="44">
        <v>2.8</v>
      </c>
      <c r="AB559" s="1">
        <v>9</v>
      </c>
      <c r="AC559">
        <v>1.1493548389999999</v>
      </c>
      <c r="AD559">
        <v>1.0871352000000001</v>
      </c>
      <c r="AE559">
        <f t="shared" si="2"/>
        <v>1.0948800400378529</v>
      </c>
      <c r="AF559">
        <f>ABS(AE559-AD559)/AD559</f>
        <v>7.1240817497702277E-3</v>
      </c>
      <c r="AG559" s="45"/>
      <c r="AI559" s="44">
        <v>2</v>
      </c>
      <c r="AJ559" s="1">
        <v>34</v>
      </c>
      <c r="AK559" s="1">
        <v>1.0585616</v>
      </c>
      <c r="AL559">
        <v>1.0370754419999999</v>
      </c>
      <c r="AM559">
        <f t="shared" si="6"/>
        <v>0.97970249629308293</v>
      </c>
      <c r="AO559" s="45"/>
    </row>
    <row r="560" spans="17:41" ht="15" thickTop="1" x14ac:dyDescent="0.2">
      <c r="Q560" s="67" t="s">
        <v>109</v>
      </c>
      <c r="R560" s="68"/>
      <c r="S560" s="68"/>
      <c r="T560" s="68"/>
      <c r="U560" s="68"/>
      <c r="V560" s="68"/>
      <c r="W560" s="68"/>
      <c r="X560" s="68"/>
      <c r="Y560" s="69"/>
      <c r="AA560" s="44">
        <v>2.8</v>
      </c>
      <c r="AB560" s="1">
        <v>11</v>
      </c>
      <c r="AC560">
        <v>1.1228563170000001</v>
      </c>
      <c r="AD560">
        <v>1.0753286</v>
      </c>
      <c r="AE560">
        <f t="shared" si="2"/>
        <v>1.0760764385493047</v>
      </c>
      <c r="AF560">
        <f t="shared" ref="AF560:AF575" si="7">ABS(AE560-AD560)/AD560</f>
        <v>6.9545118515839115E-4</v>
      </c>
      <c r="AG560" s="45"/>
      <c r="AI560" s="44">
        <v>2</v>
      </c>
      <c r="AJ560" s="1">
        <v>36</v>
      </c>
      <c r="AK560">
        <v>1.0577121518799999</v>
      </c>
      <c r="AL560">
        <v>1.0296345870000001</v>
      </c>
      <c r="AM560">
        <f t="shared" si="6"/>
        <v>0.97345443670086029</v>
      </c>
      <c r="AO560" s="45"/>
    </row>
    <row r="561" spans="17:41" x14ac:dyDescent="0.2">
      <c r="Q561" s="30" t="s">
        <v>7</v>
      </c>
      <c r="R561" s="1"/>
      <c r="S561" s="1" t="s">
        <v>43</v>
      </c>
      <c r="Y561" s="21"/>
      <c r="AA561" s="44">
        <v>2.8</v>
      </c>
      <c r="AB561" s="1">
        <v>14</v>
      </c>
      <c r="AC561">
        <v>1.1083726</v>
      </c>
      <c r="AD561">
        <v>1.0698479999999999</v>
      </c>
      <c r="AE561">
        <f t="shared" si="2"/>
        <v>1.0704807989285121</v>
      </c>
      <c r="AF561">
        <f t="shared" si="7"/>
        <v>5.9148489179042404E-4</v>
      </c>
      <c r="AG561" s="45"/>
      <c r="AI561" s="44">
        <v>2</v>
      </c>
      <c r="AJ561" s="1">
        <v>41</v>
      </c>
      <c r="AK561">
        <f>'[3]40根构件  '!$T$46/'[3]41根构件  '!$T$46</f>
        <v>1.0569366479550923</v>
      </c>
      <c r="AL561">
        <v>1.021708329</v>
      </c>
      <c r="AM561">
        <f t="shared" si="6"/>
        <v>0.9666694129461304</v>
      </c>
      <c r="AO561" s="45"/>
    </row>
    <row r="562" spans="17:41" x14ac:dyDescent="0.2">
      <c r="Q562" s="44">
        <v>9</v>
      </c>
      <c r="S562">
        <v>1.103866837</v>
      </c>
      <c r="T562" s="10"/>
      <c r="Y562" s="21"/>
      <c r="AA562" s="44">
        <v>2.8</v>
      </c>
      <c r="AB562" s="1">
        <v>16</v>
      </c>
      <c r="AC562">
        <v>1.0852194630000001</v>
      </c>
      <c r="AD562">
        <v>1.0604927</v>
      </c>
      <c r="AE562">
        <f t="shared" si="2"/>
        <v>1.0527114969419424</v>
      </c>
      <c r="AF562">
        <f t="shared" si="7"/>
        <v>7.337347119935402E-3</v>
      </c>
      <c r="AG562" s="45"/>
      <c r="AI562" s="44">
        <v>2</v>
      </c>
      <c r="AJ562" s="1">
        <v>44</v>
      </c>
      <c r="AK562" s="1">
        <v>1.0475785896346643</v>
      </c>
      <c r="AL562">
        <v>1.021230517</v>
      </c>
      <c r="AM562">
        <f t="shared" si="6"/>
        <v>0.9748485957088403</v>
      </c>
      <c r="AO562" s="45"/>
    </row>
    <row r="563" spans="17:41" x14ac:dyDescent="0.2">
      <c r="Q563" s="44">
        <v>11</v>
      </c>
      <c r="R563" s="4"/>
      <c r="S563">
        <v>1.097382546</v>
      </c>
      <c r="T563" s="10"/>
      <c r="Y563" s="21"/>
      <c r="AA563" s="44">
        <v>2.8</v>
      </c>
      <c r="AB563" s="1">
        <v>19</v>
      </c>
      <c r="AC563">
        <v>1.0778532000000001</v>
      </c>
      <c r="AD563">
        <v>1.055083</v>
      </c>
      <c r="AE563">
        <f t="shared" si="2"/>
        <v>1.051192738225704</v>
      </c>
      <c r="AF563">
        <f t="shared" si="7"/>
        <v>3.6871618387330348E-3</v>
      </c>
      <c r="AG563" s="45"/>
      <c r="AI563" s="44">
        <v>2.5</v>
      </c>
      <c r="AJ563" s="1">
        <v>9</v>
      </c>
      <c r="AK563">
        <v>1.1570881230000001</v>
      </c>
      <c r="AL563">
        <v>1.0973824999999999</v>
      </c>
      <c r="AM563">
        <f t="shared" si="6"/>
        <v>0.94840010729243296</v>
      </c>
      <c r="AO563" s="45"/>
    </row>
    <row r="564" spans="17:41" x14ac:dyDescent="0.2">
      <c r="Q564" s="44">
        <v>14</v>
      </c>
      <c r="S564">
        <v>1.0830341880000001</v>
      </c>
      <c r="T564" s="10"/>
      <c r="Y564" s="21"/>
      <c r="AA564" s="44">
        <v>2.8</v>
      </c>
      <c r="AB564" s="1">
        <v>21</v>
      </c>
      <c r="AC564">
        <v>1.0583276239999999</v>
      </c>
      <c r="AD564">
        <v>1.0472158</v>
      </c>
      <c r="AE564">
        <f t="shared" si="2"/>
        <v>1.0350381721390185</v>
      </c>
      <c r="AF564">
        <f t="shared" si="7"/>
        <v>1.1628575371935309E-2</v>
      </c>
      <c r="AG564" s="45"/>
      <c r="AI564" s="44">
        <v>2.5</v>
      </c>
      <c r="AJ564" s="1">
        <v>11</v>
      </c>
      <c r="AK564">
        <v>1.1428672950000001</v>
      </c>
      <c r="AL564">
        <v>1.0862547</v>
      </c>
      <c r="AM564">
        <f t="shared" si="6"/>
        <v>0.95046441940575432</v>
      </c>
      <c r="AO564" s="45"/>
    </row>
    <row r="565" spans="17:41" x14ac:dyDescent="0.2">
      <c r="Q565" s="44">
        <v>16</v>
      </c>
      <c r="S565">
        <v>1.076892317</v>
      </c>
      <c r="T565" s="10"/>
      <c r="Y565" s="21"/>
      <c r="AA565" s="44">
        <v>2.8</v>
      </c>
      <c r="AB565" s="1">
        <v>24</v>
      </c>
      <c r="AC565">
        <v>1.0537019999999999</v>
      </c>
      <c r="AD565">
        <v>1.042729</v>
      </c>
      <c r="AE565">
        <f t="shared" si="2"/>
        <v>1.0336398511046401</v>
      </c>
      <c r="AF565">
        <f t="shared" si="7"/>
        <v>8.7166933070432912E-3</v>
      </c>
      <c r="AG565" s="45"/>
      <c r="AI565" s="44">
        <v>2.5</v>
      </c>
      <c r="AJ565" s="1">
        <v>14</v>
      </c>
      <c r="AK565">
        <v>1.124197949</v>
      </c>
      <c r="AL565">
        <v>1.0768922999999999</v>
      </c>
      <c r="AM565">
        <f t="shared" si="6"/>
        <v>0.95792053433109392</v>
      </c>
      <c r="AO565" s="45"/>
    </row>
    <row r="566" spans="17:41" x14ac:dyDescent="0.2">
      <c r="Q566" s="44">
        <v>19</v>
      </c>
      <c r="S566">
        <v>1.0693617019999999</v>
      </c>
      <c r="T566" s="10"/>
      <c r="Y566" s="21"/>
      <c r="AA566" s="44">
        <v>2.8</v>
      </c>
      <c r="AB566" s="1">
        <v>26</v>
      </c>
      <c r="AC566">
        <v>1.045119876</v>
      </c>
      <c r="AD566">
        <v>1.0372844999999999</v>
      </c>
      <c r="AE566">
        <f t="shared" si="2"/>
        <v>1.0265025285768865</v>
      </c>
      <c r="AF566">
        <f t="shared" si="7"/>
        <v>1.0394420646518323E-2</v>
      </c>
      <c r="AG566" s="45" t="s">
        <v>134</v>
      </c>
      <c r="AI566" s="44">
        <v>2.5</v>
      </c>
      <c r="AJ566" s="1">
        <v>16</v>
      </c>
      <c r="AK566">
        <v>1.1153287460000001</v>
      </c>
      <c r="AL566">
        <v>1.0698375</v>
      </c>
      <c r="AM566">
        <f t="shared" si="6"/>
        <v>0.95921270193819597</v>
      </c>
      <c r="AO566" s="45"/>
    </row>
    <row r="567" spans="17:41" x14ac:dyDescent="0.2">
      <c r="Q567" s="44">
        <v>21</v>
      </c>
      <c r="S567">
        <v>1.0628041589999999</v>
      </c>
      <c r="T567" s="10"/>
      <c r="Y567" s="21"/>
      <c r="AA567" s="44">
        <v>2.8</v>
      </c>
      <c r="AB567" s="1">
        <v>29</v>
      </c>
      <c r="AC567">
        <v>1.043115</v>
      </c>
      <c r="AD567">
        <v>1.0338639999999999</v>
      </c>
      <c r="AE567">
        <f t="shared" si="2"/>
        <v>1.0252760853783001</v>
      </c>
      <c r="AF567">
        <f t="shared" si="7"/>
        <v>8.3066192668473163E-3</v>
      </c>
      <c r="AG567" s="45"/>
      <c r="AI567" s="44">
        <v>2.5</v>
      </c>
      <c r="AJ567" s="1">
        <v>19</v>
      </c>
      <c r="AK567">
        <v>1.0924855490000001</v>
      </c>
      <c r="AL567">
        <v>1.0628040999999999</v>
      </c>
      <c r="AM567">
        <f t="shared" si="6"/>
        <v>0.97283126625595284</v>
      </c>
      <c r="AO567" s="45"/>
    </row>
    <row r="568" spans="17:41" x14ac:dyDescent="0.2">
      <c r="Q568" s="44">
        <v>24</v>
      </c>
      <c r="S568">
        <v>1.0560360360000001</v>
      </c>
      <c r="T568" s="10"/>
      <c r="Y568" s="21"/>
      <c r="AA568" s="44">
        <v>2.8</v>
      </c>
      <c r="AB568" s="1">
        <v>31</v>
      </c>
      <c r="AC568">
        <v>1.0398473619999999</v>
      </c>
      <c r="AD568">
        <v>1.0283172</v>
      </c>
      <c r="AE568">
        <f t="shared" si="2"/>
        <v>1.0217765825889553</v>
      </c>
      <c r="AF568">
        <f t="shared" si="7"/>
        <v>6.3605056990632116E-3</v>
      </c>
      <c r="AG568" s="45"/>
      <c r="AI568" s="44">
        <v>2.5</v>
      </c>
      <c r="AJ568" s="1">
        <v>21</v>
      </c>
      <c r="AK568">
        <v>1.083726481</v>
      </c>
      <c r="AL568">
        <v>1.0551263</v>
      </c>
      <c r="AM568">
        <f t="shared" si="6"/>
        <v>0.97360941021427339</v>
      </c>
      <c r="AO568" s="45"/>
    </row>
    <row r="569" spans="17:41" x14ac:dyDescent="0.2">
      <c r="Q569" s="44">
        <v>26</v>
      </c>
      <c r="R569" s="4"/>
      <c r="S569">
        <v>1.0473628450000001</v>
      </c>
      <c r="T569" s="10"/>
      <c r="Y569" s="21"/>
      <c r="AA569" s="44">
        <v>2.8</v>
      </c>
      <c r="AB569" s="1">
        <v>34</v>
      </c>
      <c r="AC569">
        <v>1.0400590000000001</v>
      </c>
      <c r="AD569">
        <v>1.025671</v>
      </c>
      <c r="AE569">
        <f t="shared" si="2"/>
        <v>1.0203805844916802</v>
      </c>
      <c r="AF569">
        <f t="shared" si="7"/>
        <v>5.1580043779338282E-3</v>
      </c>
      <c r="AG569" s="45"/>
      <c r="AI569" s="44">
        <v>2.5</v>
      </c>
      <c r="AJ569" s="1">
        <v>24</v>
      </c>
      <c r="AK569">
        <v>1.0622406639999999</v>
      </c>
      <c r="AL569">
        <v>1.0473627999999999</v>
      </c>
      <c r="AM569">
        <f t="shared" si="6"/>
        <v>0.98599388584506309</v>
      </c>
      <c r="AO569" s="45"/>
    </row>
    <row r="570" spans="17:41" x14ac:dyDescent="0.2">
      <c r="Q570" s="44">
        <v>29</v>
      </c>
      <c r="S570">
        <v>1.0393164930000001</v>
      </c>
      <c r="T570" s="10"/>
      <c r="Y570" s="21"/>
      <c r="AA570" s="44">
        <v>2.8</v>
      </c>
      <c r="AB570" s="1">
        <v>36</v>
      </c>
      <c r="AC570">
        <v>1.0341287450000001</v>
      </c>
      <c r="AD570">
        <v>1.0228463000000001</v>
      </c>
      <c r="AE570">
        <f t="shared" si="2"/>
        <v>1.0127222799785001</v>
      </c>
      <c r="AF570">
        <f t="shared" si="7"/>
        <v>9.897889860382772E-3</v>
      </c>
      <c r="AG570" s="45"/>
      <c r="AI570" s="44">
        <v>2.5</v>
      </c>
      <c r="AJ570" s="1">
        <v>26</v>
      </c>
      <c r="AK570">
        <v>1.0573194020000001</v>
      </c>
      <c r="AL570">
        <v>1.0427584000000001</v>
      </c>
      <c r="AM570">
        <f t="shared" si="6"/>
        <v>0.98622837907593797</v>
      </c>
      <c r="AO570" s="45"/>
    </row>
    <row r="571" spans="17:41" x14ac:dyDescent="0.2">
      <c r="Q571" s="44">
        <v>31</v>
      </c>
      <c r="S571">
        <v>1.038095271</v>
      </c>
      <c r="T571" s="10"/>
      <c r="Y571" s="21"/>
      <c r="AA571" s="44">
        <v>2.8</v>
      </c>
      <c r="AB571" s="1">
        <v>39</v>
      </c>
      <c r="AC571">
        <v>1.0356080000000001</v>
      </c>
      <c r="AD571">
        <v>1.02003</v>
      </c>
      <c r="AE571">
        <f t="shared" si="2"/>
        <v>1.0102393529009601</v>
      </c>
      <c r="AF571">
        <f t="shared" si="7"/>
        <v>9.5983913208825943E-3</v>
      </c>
      <c r="AG571" s="45"/>
      <c r="AI571" s="44">
        <v>2.5</v>
      </c>
      <c r="AJ571" s="1">
        <v>29</v>
      </c>
      <c r="AK571">
        <v>1.04516498</v>
      </c>
      <c r="AL571">
        <v>1.038095</v>
      </c>
      <c r="AM571">
        <f t="shared" si="6"/>
        <v>0.9932355368431881</v>
      </c>
      <c r="AO571" s="45"/>
    </row>
    <row r="572" spans="17:41" x14ac:dyDescent="0.2">
      <c r="Q572" s="44">
        <v>34</v>
      </c>
      <c r="S572">
        <v>1.0370754419999999</v>
      </c>
      <c r="T572" s="10"/>
      <c r="Y572" s="21"/>
      <c r="AA572" s="44">
        <v>2.8</v>
      </c>
      <c r="AB572" s="1">
        <v>41</v>
      </c>
      <c r="AC572">
        <v>1.025146882</v>
      </c>
      <c r="AD572">
        <v>1.0175924000000001</v>
      </c>
      <c r="AE572">
        <f t="shared" si="2"/>
        <v>0.9966696343089867</v>
      </c>
      <c r="AF572">
        <f t="shared" si="7"/>
        <v>2.0561047518646333E-2</v>
      </c>
      <c r="AG572" s="45"/>
      <c r="AI572" s="44">
        <v>2.5</v>
      </c>
      <c r="AJ572" s="1">
        <v>31</v>
      </c>
      <c r="AK572">
        <v>1.0438762150000001</v>
      </c>
      <c r="AL572">
        <v>1.0339726</v>
      </c>
      <c r="AM572">
        <f t="shared" si="6"/>
        <v>0.99051265383989995</v>
      </c>
      <c r="AO572" s="45"/>
    </row>
    <row r="573" spans="17:41" x14ac:dyDescent="0.2">
      <c r="Q573" s="44">
        <v>36</v>
      </c>
      <c r="S573">
        <v>1.0296345870000001</v>
      </c>
      <c r="T573" s="10"/>
      <c r="Y573" s="21"/>
      <c r="AA573" s="44">
        <v>2.8</v>
      </c>
      <c r="AB573" s="1">
        <v>44</v>
      </c>
      <c r="AC573">
        <v>1.0286740000000001</v>
      </c>
      <c r="AD573">
        <v>1.0154209999999999</v>
      </c>
      <c r="AE573">
        <f t="shared" si="2"/>
        <v>0.99387469922528016</v>
      </c>
      <c r="AF573">
        <f t="shared" si="7"/>
        <v>2.1219081321658458E-2</v>
      </c>
      <c r="AG573" s="45"/>
      <c r="AI573" s="44">
        <v>2.5</v>
      </c>
      <c r="AJ573" s="1">
        <v>34</v>
      </c>
      <c r="AK573">
        <v>1.0410646509999999</v>
      </c>
      <c r="AL573">
        <v>1.0296339999999999</v>
      </c>
      <c r="AM573">
        <f t="shared" si="6"/>
        <v>0.98902022944586565</v>
      </c>
      <c r="AO573" s="45"/>
    </row>
    <row r="574" spans="17:41" x14ac:dyDescent="0.2">
      <c r="Q574" s="44">
        <v>39</v>
      </c>
      <c r="S574">
        <v>1.022059732</v>
      </c>
      <c r="T574" s="10"/>
      <c r="Y574" s="21"/>
      <c r="AA574" s="44">
        <v>2.8</v>
      </c>
      <c r="AB574" s="1">
        <v>46</v>
      </c>
      <c r="AC574">
        <v>1.015501947</v>
      </c>
      <c r="AD574">
        <v>1.0128579</v>
      </c>
      <c r="AE574">
        <f t="shared" si="2"/>
        <v>0.97628894861776327</v>
      </c>
      <c r="AF574">
        <f t="shared" si="7"/>
        <v>3.6104720496563936E-2</v>
      </c>
      <c r="AG574" s="45"/>
      <c r="AI574" s="44">
        <v>2.5</v>
      </c>
      <c r="AJ574" s="1">
        <v>36</v>
      </c>
      <c r="AK574">
        <v>1.039827364</v>
      </c>
      <c r="AL574">
        <v>1.0258419000000001</v>
      </c>
      <c r="AM574">
        <f t="shared" si="6"/>
        <v>0.98655020584743924</v>
      </c>
      <c r="AO574" s="45"/>
    </row>
    <row r="575" spans="17:41" ht="15" thickBot="1" x14ac:dyDescent="0.25">
      <c r="Q575" s="44">
        <v>41</v>
      </c>
      <c r="R575" s="4"/>
      <c r="S575">
        <v>1.021708329</v>
      </c>
      <c r="T575" s="10"/>
      <c r="Y575" s="21"/>
      <c r="AA575" s="46">
        <v>2.8</v>
      </c>
      <c r="AB575" s="52">
        <v>49</v>
      </c>
      <c r="AC575" s="47">
        <v>1.018329</v>
      </c>
      <c r="AD575" s="47">
        <v>1.010246</v>
      </c>
      <c r="AE575">
        <f t="shared" si="2"/>
        <v>0.97054983834978004</v>
      </c>
      <c r="AF575" s="47">
        <f t="shared" si="7"/>
        <v>3.9293559836138865E-2</v>
      </c>
      <c r="AG575" s="48"/>
      <c r="AI575" s="44">
        <v>2.5</v>
      </c>
      <c r="AJ575" s="1">
        <v>41</v>
      </c>
      <c r="AK575">
        <v>1.036492857</v>
      </c>
      <c r="AL575">
        <v>1.0198265</v>
      </c>
      <c r="AM575">
        <f t="shared" si="6"/>
        <v>0.98392043236241999</v>
      </c>
      <c r="AO575" s="45"/>
    </row>
    <row r="576" spans="17:41" ht="15" thickBot="1" x14ac:dyDescent="0.25">
      <c r="Q576" s="44">
        <v>44</v>
      </c>
      <c r="S576">
        <v>1.021230517</v>
      </c>
      <c r="T576" s="10"/>
      <c r="Y576" s="21"/>
      <c r="AE576">
        <f t="shared" ref="AE576" si="8">(-0.017*AA576 + 0.003*AB576 + 0.004*AA576^2 - 7.514*10^(-5)*AB576^2 + 4.893*10^(-4)*AA576*AB576 + 0.93)*AC576</f>
        <v>0</v>
      </c>
      <c r="AI576" s="44">
        <v>2.5</v>
      </c>
      <c r="AJ576" s="1">
        <v>44</v>
      </c>
      <c r="AK576">
        <v>1.03215619</v>
      </c>
      <c r="AL576">
        <v>1.0183519999999999</v>
      </c>
      <c r="AM576">
        <f t="shared" si="6"/>
        <v>0.98662587103217381</v>
      </c>
      <c r="AO576" s="45"/>
    </row>
    <row r="577" spans="17:41" ht="15" thickTop="1" x14ac:dyDescent="0.2">
      <c r="Q577" s="44">
        <v>46</v>
      </c>
      <c r="S577">
        <v>1.0183527640000001</v>
      </c>
      <c r="T577" s="10"/>
      <c r="Y577" s="21"/>
      <c r="AA577" s="59">
        <v>3.0421719999999999</v>
      </c>
      <c r="AB577" s="60">
        <v>29</v>
      </c>
      <c r="AC577" s="61">
        <v>1.5880000000000001</v>
      </c>
      <c r="AD577" s="61"/>
      <c r="AE577" s="62">
        <f>(-0.017*AA577 + 0.003*AB577 + 0.004*AA577^2 - 7.514*10^(-5)*AB577^2 + 4.893*10^(-4)*AA577*AB577 + 0.872)*AC577</f>
        <v>1.4677520124707129</v>
      </c>
      <c r="AI577" s="44">
        <v>2.8</v>
      </c>
      <c r="AJ577" s="1">
        <v>9</v>
      </c>
      <c r="AK577">
        <v>1.1493548389999999</v>
      </c>
      <c r="AL577">
        <v>1.0871352000000001</v>
      </c>
      <c r="AM577">
        <f t="shared" si="6"/>
        <v>0.94586559616859989</v>
      </c>
      <c r="AO577" s="45"/>
    </row>
    <row r="578" spans="17:41" ht="15" thickBot="1" x14ac:dyDescent="0.25">
      <c r="Q578" s="46">
        <v>49</v>
      </c>
      <c r="R578" s="38"/>
      <c r="S578" s="23">
        <v>1.01513236</v>
      </c>
      <c r="T578" s="10"/>
      <c r="U578" s="23"/>
      <c r="V578" s="23"/>
      <c r="W578" s="23"/>
      <c r="X578" s="23"/>
      <c r="Y578" s="24"/>
      <c r="AA578" s="63" t="s">
        <v>133</v>
      </c>
      <c r="AB578" s="64" t="s">
        <v>7</v>
      </c>
      <c r="AC578" s="64" t="s">
        <v>127</v>
      </c>
      <c r="AD578" s="64"/>
      <c r="AE578" s="65" t="s">
        <v>130</v>
      </c>
      <c r="AI578" s="44">
        <v>2.8</v>
      </c>
      <c r="AJ578" s="1">
        <v>11</v>
      </c>
      <c r="AK578">
        <v>1.1228563170000001</v>
      </c>
      <c r="AL578">
        <v>1.0753286</v>
      </c>
      <c r="AM578">
        <f t="shared" si="6"/>
        <v>0.95767248553494122</v>
      </c>
      <c r="AO578" s="45"/>
    </row>
    <row r="579" spans="17:41" x14ac:dyDescent="0.2">
      <c r="AI579" s="44">
        <v>2.8</v>
      </c>
      <c r="AJ579" s="1">
        <v>14</v>
      </c>
      <c r="AK579">
        <v>1.1083726</v>
      </c>
      <c r="AL579">
        <v>1.0698479999999999</v>
      </c>
      <c r="AM579">
        <f t="shared" si="6"/>
        <v>0.96524219382543364</v>
      </c>
      <c r="AO579" s="45"/>
    </row>
    <row r="580" spans="17:41" ht="15" thickBot="1" x14ac:dyDescent="0.25">
      <c r="AI580" s="44">
        <v>2.8</v>
      </c>
      <c r="AJ580" s="1">
        <v>16</v>
      </c>
      <c r="AK580">
        <v>1.0852194630000001</v>
      </c>
      <c r="AL580">
        <v>1.0604927</v>
      </c>
      <c r="AM580">
        <f t="shared" si="6"/>
        <v>0.97721496541202368</v>
      </c>
      <c r="AO580" s="45"/>
    </row>
    <row r="581" spans="17:41" ht="15" thickTop="1" x14ac:dyDescent="0.2">
      <c r="Q581" s="67" t="s">
        <v>119</v>
      </c>
      <c r="R581" s="68"/>
      <c r="S581" s="68"/>
      <c r="T581" s="68"/>
      <c r="U581" s="68"/>
      <c r="V581" s="68"/>
      <c r="W581" s="68"/>
      <c r="X581" s="68"/>
      <c r="Y581" s="69"/>
      <c r="AA581" s="77" t="s">
        <v>123</v>
      </c>
      <c r="AB581" s="78"/>
      <c r="AC581" s="78"/>
      <c r="AD581" s="78"/>
      <c r="AE581" s="78"/>
      <c r="AF581" s="78"/>
      <c r="AG581" s="79"/>
      <c r="AI581" s="44">
        <v>2.8</v>
      </c>
      <c r="AJ581" s="1">
        <v>19</v>
      </c>
      <c r="AK581">
        <v>1.0778532000000001</v>
      </c>
      <c r="AL581">
        <v>1.055083</v>
      </c>
      <c r="AM581">
        <f t="shared" si="6"/>
        <v>0.97887448865949456</v>
      </c>
      <c r="AO581" s="45"/>
    </row>
    <row r="582" spans="17:41" x14ac:dyDescent="0.2">
      <c r="Q582" s="30" t="s">
        <v>7</v>
      </c>
      <c r="R582" s="1"/>
      <c r="S582" s="1" t="s">
        <v>43</v>
      </c>
      <c r="Y582" s="21"/>
      <c r="AA582" s="56" t="s">
        <v>9</v>
      </c>
      <c r="AB582" s="57" t="s">
        <v>7</v>
      </c>
      <c r="AC582" s="57" t="s">
        <v>127</v>
      </c>
      <c r="AD582" s="57" t="s">
        <v>128</v>
      </c>
      <c r="AE582" s="57" t="s">
        <v>130</v>
      </c>
      <c r="AF582" s="57" t="s">
        <v>131</v>
      </c>
      <c r="AG582" s="58"/>
      <c r="AI582" s="44">
        <v>2.8</v>
      </c>
      <c r="AJ582" s="1">
        <v>21</v>
      </c>
      <c r="AK582">
        <v>1.0583276239999999</v>
      </c>
      <c r="AL582">
        <v>1.0472158</v>
      </c>
      <c r="AM582">
        <f>AL582/AK582</f>
        <v>0.9895005820995183</v>
      </c>
      <c r="AO582" s="45"/>
    </row>
    <row r="583" spans="17:41" x14ac:dyDescent="0.2">
      <c r="Q583" s="44">
        <v>9</v>
      </c>
      <c r="S583">
        <v>1.1570881230000001</v>
      </c>
      <c r="Y583" s="21"/>
      <c r="AA583" s="44">
        <v>2</v>
      </c>
      <c r="AB583" s="1">
        <v>9</v>
      </c>
      <c r="AC583" s="1">
        <v>1.1723023371456986</v>
      </c>
      <c r="AD583">
        <v>1.103866837</v>
      </c>
      <c r="AE583">
        <f>(-0.015*AA583 + 0.003*AB583 + 0.004*AA583^2 - 7.514*10^(-5)*AB583^2 + 4.893*10^(-4)*AA583*AB583 + 0.94)*AC583</f>
        <v>1.1203940322973645</v>
      </c>
      <c r="AF583">
        <f>ABS(AE583-AD583)/AD583</f>
        <v>1.4972091509045363E-2</v>
      </c>
      <c r="AG583" s="45"/>
      <c r="AI583" s="44">
        <v>2.8</v>
      </c>
      <c r="AJ583" s="1">
        <v>24</v>
      </c>
      <c r="AK583">
        <v>1.0537019999999999</v>
      </c>
      <c r="AL583">
        <v>1.042729</v>
      </c>
      <c r="AM583">
        <f t="shared" ref="AM583:AM590" si="9">AL583/AK583</f>
        <v>0.98958623975279547</v>
      </c>
      <c r="AO583" s="45"/>
    </row>
    <row r="584" spans="17:41" x14ac:dyDescent="0.2">
      <c r="Q584" s="44">
        <v>11</v>
      </c>
      <c r="S584">
        <v>1.1428672950000001</v>
      </c>
      <c r="Y584" s="21"/>
      <c r="AA584" s="44">
        <v>2</v>
      </c>
      <c r="AB584" s="1">
        <v>11</v>
      </c>
      <c r="AC584">
        <v>1.1471981280000001</v>
      </c>
      <c r="AD584">
        <v>1.097382546</v>
      </c>
      <c r="AE584">
        <f t="shared" ref="AE584:AE627" si="10">(-0.015*AA584 + 0.003*AB584 + 0.004*AA584^2 - 7.514*10^(-5)*AB584^2 + 4.893*10^(-4)*AA584*AB584 + 0.94)*AC584</f>
        <v>1.1020818771727805</v>
      </c>
      <c r="AF584">
        <f t="shared" ref="AF584:AF597" si="11">ABS(AE584-AD584)/AD584</f>
        <v>4.2823090178623459E-3</v>
      </c>
      <c r="AG584" s="45"/>
      <c r="AI584" s="44">
        <v>2.8</v>
      </c>
      <c r="AJ584" s="1">
        <v>26</v>
      </c>
      <c r="AK584">
        <v>1.045119876</v>
      </c>
      <c r="AL584">
        <v>1.0372844999999999</v>
      </c>
      <c r="AM584">
        <f t="shared" si="9"/>
        <v>0.99250289255813551</v>
      </c>
      <c r="AO584" s="45"/>
    </row>
    <row r="585" spans="17:41" x14ac:dyDescent="0.2">
      <c r="Q585" s="44">
        <v>14</v>
      </c>
      <c r="S585">
        <v>1.124197949</v>
      </c>
      <c r="Y585" s="21"/>
      <c r="AA585" s="44">
        <v>2</v>
      </c>
      <c r="AB585" s="1">
        <v>14</v>
      </c>
      <c r="AC585" s="1">
        <v>1.1276065276518585</v>
      </c>
      <c r="AD585">
        <v>1.0830341880000001</v>
      </c>
      <c r="AE585">
        <f t="shared" si="10"/>
        <v>1.0903650217588394</v>
      </c>
      <c r="AF585">
        <f t="shared" si="11"/>
        <v>6.7687925645052317E-3</v>
      </c>
      <c r="AG585" s="45"/>
      <c r="AI585" s="44">
        <v>2.8</v>
      </c>
      <c r="AJ585" s="1">
        <v>29</v>
      </c>
      <c r="AK585">
        <v>1.043115</v>
      </c>
      <c r="AL585">
        <v>1.0338639999999999</v>
      </c>
      <c r="AM585">
        <f t="shared" si="9"/>
        <v>0.99113137094184234</v>
      </c>
      <c r="AO585" s="45"/>
    </row>
    <row r="586" spans="17:41" x14ac:dyDescent="0.2">
      <c r="Q586" s="44">
        <v>16</v>
      </c>
      <c r="S586">
        <v>1.1153287460000001</v>
      </c>
      <c r="Y586" s="21"/>
      <c r="AA586" s="44">
        <v>2</v>
      </c>
      <c r="AB586" s="1">
        <v>16</v>
      </c>
      <c r="AC586">
        <v>1.1159229418909999</v>
      </c>
      <c r="AD586">
        <v>1.076892317</v>
      </c>
      <c r="AE586">
        <f t="shared" si="10"/>
        <v>1.0829159052942419</v>
      </c>
      <c r="AF586">
        <f t="shared" si="11"/>
        <v>5.5934917532166565E-3</v>
      </c>
      <c r="AG586" s="45"/>
      <c r="AI586" s="44">
        <v>2.8</v>
      </c>
      <c r="AJ586" s="1">
        <v>31</v>
      </c>
      <c r="AK586">
        <v>1.0398473619999999</v>
      </c>
      <c r="AL586">
        <v>1.0283172</v>
      </c>
      <c r="AM586">
        <f t="shared" si="9"/>
        <v>0.98891167836611782</v>
      </c>
      <c r="AO586" s="45"/>
    </row>
    <row r="587" spans="17:41" x14ac:dyDescent="0.2">
      <c r="Q587" s="44">
        <v>19</v>
      </c>
      <c r="S587">
        <v>1.0924855490000001</v>
      </c>
      <c r="Y587" s="21"/>
      <c r="AA587" s="44">
        <v>2</v>
      </c>
      <c r="AB587" s="1">
        <v>19</v>
      </c>
      <c r="AC587" s="1">
        <v>1.1025293586269196</v>
      </c>
      <c r="AD587">
        <v>1.0693617019999999</v>
      </c>
      <c r="AE587">
        <f t="shared" si="10"/>
        <v>1.0743794246883469</v>
      </c>
      <c r="AF587">
        <f t="shared" si="11"/>
        <v>4.6922595778046607E-3</v>
      </c>
      <c r="AG587" s="45"/>
      <c r="AI587" s="44">
        <v>2.8</v>
      </c>
      <c r="AJ587" s="1">
        <v>34</v>
      </c>
      <c r="AK587">
        <v>1.0400590000000001</v>
      </c>
      <c r="AL587">
        <v>1.025671</v>
      </c>
      <c r="AM587">
        <f t="shared" si="9"/>
        <v>0.98616616941923485</v>
      </c>
      <c r="AO587" s="45"/>
    </row>
    <row r="588" spans="17:41" x14ac:dyDescent="0.2">
      <c r="Q588" s="44">
        <v>21</v>
      </c>
      <c r="S588">
        <v>1.083726481</v>
      </c>
      <c r="Y588" s="21"/>
      <c r="AA588" s="44">
        <v>2</v>
      </c>
      <c r="AB588" s="1">
        <v>21</v>
      </c>
      <c r="AC588">
        <v>1.0941912899999999</v>
      </c>
      <c r="AD588">
        <v>1.0628041589999999</v>
      </c>
      <c r="AE588">
        <f t="shared" si="10"/>
        <v>1.0683835410472793</v>
      </c>
      <c r="AF588">
        <f t="shared" si="11"/>
        <v>5.2496802915497146E-3</v>
      </c>
      <c r="AG588" s="45"/>
      <c r="AI588" s="44">
        <v>2.8</v>
      </c>
      <c r="AJ588" s="1">
        <v>36</v>
      </c>
      <c r="AK588">
        <v>1.0341287450000001</v>
      </c>
      <c r="AL588">
        <v>1.0228463000000001</v>
      </c>
      <c r="AM588">
        <f t="shared" si="9"/>
        <v>0.98908990292112997</v>
      </c>
      <c r="AO588" s="45"/>
    </row>
    <row r="589" spans="17:41" x14ac:dyDescent="0.2">
      <c r="Q589" s="44">
        <v>24</v>
      </c>
      <c r="S589">
        <v>1.0622406639999999</v>
      </c>
      <c r="Y589" s="21"/>
      <c r="AA589" s="44">
        <v>2</v>
      </c>
      <c r="AB589" s="1">
        <v>24</v>
      </c>
      <c r="AC589" s="1">
        <v>1.0869276708692766</v>
      </c>
      <c r="AD589">
        <v>1.0560360360000001</v>
      </c>
      <c r="AE589">
        <f t="shared" si="10"/>
        <v>1.0632389083477105</v>
      </c>
      <c r="AF589">
        <f t="shared" si="11"/>
        <v>6.8206690890901022E-3</v>
      </c>
      <c r="AG589" s="45"/>
      <c r="AI589" s="44">
        <v>2.8</v>
      </c>
      <c r="AJ589" s="1">
        <v>41</v>
      </c>
      <c r="AK589">
        <v>1.025146882</v>
      </c>
      <c r="AL589">
        <v>1.0175924000000001</v>
      </c>
      <c r="AM589">
        <f t="shared" si="9"/>
        <v>0.99263082965705207</v>
      </c>
      <c r="AO589" s="45"/>
    </row>
    <row r="590" spans="17:41" x14ac:dyDescent="0.2">
      <c r="Q590" s="44">
        <v>26</v>
      </c>
      <c r="S590">
        <v>1.0573194020000001</v>
      </c>
      <c r="Y590" s="21"/>
      <c r="AA590" s="44">
        <v>2</v>
      </c>
      <c r="AB590" s="1">
        <v>26</v>
      </c>
      <c r="AC590">
        <v>1.069181808</v>
      </c>
      <c r="AD590">
        <v>1.0473628450000001</v>
      </c>
      <c r="AE590">
        <f t="shared" si="10"/>
        <v>1.0463536644501195</v>
      </c>
      <c r="AF590">
        <f t="shared" si="11"/>
        <v>9.6354434826322229E-4</v>
      </c>
      <c r="AG590" s="45"/>
      <c r="AI590" s="44">
        <v>2.8</v>
      </c>
      <c r="AJ590" s="1">
        <v>44</v>
      </c>
      <c r="AK590">
        <v>1.0286740000000001</v>
      </c>
      <c r="AL590">
        <v>1.0154209999999999</v>
      </c>
      <c r="AM590">
        <f t="shared" si="9"/>
        <v>0.98711642366775076</v>
      </c>
      <c r="AO590" s="45"/>
    </row>
    <row r="591" spans="17:41" x14ac:dyDescent="0.2">
      <c r="Q591" s="44">
        <v>29</v>
      </c>
      <c r="S591">
        <v>1.04516498</v>
      </c>
      <c r="Y591" s="21"/>
      <c r="AA591" s="44">
        <v>2</v>
      </c>
      <c r="AB591" s="1">
        <v>29</v>
      </c>
      <c r="AC591" s="1">
        <v>1.0593358737071312</v>
      </c>
      <c r="AD591">
        <v>1.0393164930000001</v>
      </c>
      <c r="AE591">
        <f t="shared" si="10"/>
        <v>1.0362282201197606</v>
      </c>
      <c r="AF591">
        <f t="shared" si="11"/>
        <v>2.9714460427017349E-3</v>
      </c>
      <c r="AG591" s="45"/>
      <c r="AO591" s="45"/>
    </row>
    <row r="592" spans="17:41" x14ac:dyDescent="0.2">
      <c r="Q592" s="44">
        <v>31</v>
      </c>
      <c r="R592" s="4"/>
      <c r="S592">
        <v>1.0438762150000001</v>
      </c>
      <c r="Y592" s="21"/>
      <c r="AA592" s="44">
        <v>2</v>
      </c>
      <c r="AB592" s="1">
        <v>31</v>
      </c>
      <c r="AC592">
        <v>1.0590598289211099</v>
      </c>
      <c r="AD592">
        <v>1.038095271</v>
      </c>
      <c r="AE592">
        <f t="shared" si="10"/>
        <v>1.034836016997787</v>
      </c>
      <c r="AF592">
        <f t="shared" si="11"/>
        <v>3.1396482512373773E-3</v>
      </c>
      <c r="AG592" s="45"/>
      <c r="AO592" s="45"/>
    </row>
    <row r="593" spans="17:41" x14ac:dyDescent="0.2">
      <c r="Q593" s="44">
        <v>34</v>
      </c>
      <c r="S593">
        <v>1.0410646509999999</v>
      </c>
      <c r="Y593" s="21"/>
      <c r="AA593" s="44">
        <v>2</v>
      </c>
      <c r="AB593" s="1">
        <v>34</v>
      </c>
      <c r="AC593" s="1">
        <v>1.0585616</v>
      </c>
      <c r="AD593">
        <v>1.0370754419999999</v>
      </c>
      <c r="AE593">
        <f t="shared" si="10"/>
        <v>1.0314736014504959</v>
      </c>
      <c r="AF593">
        <f t="shared" si="11"/>
        <v>5.4015747771452554E-3</v>
      </c>
      <c r="AG593" s="45"/>
      <c r="AO593" s="45"/>
    </row>
    <row r="594" spans="17:41" x14ac:dyDescent="0.2">
      <c r="Q594" s="44">
        <v>36</v>
      </c>
      <c r="S594">
        <v>1.039827364</v>
      </c>
      <c r="Y594" s="21"/>
      <c r="AA594" s="44">
        <v>2</v>
      </c>
      <c r="AB594" s="1">
        <v>36</v>
      </c>
      <c r="AC594">
        <v>1.0577121518799999</v>
      </c>
      <c r="AD594">
        <v>1.0296345870000001</v>
      </c>
      <c r="AE594">
        <f t="shared" si="10"/>
        <v>1.0279356086142184</v>
      </c>
      <c r="AF594">
        <f t="shared" si="11"/>
        <v>1.6500789767872298E-3</v>
      </c>
      <c r="AG594" s="45"/>
    </row>
    <row r="595" spans="17:41" x14ac:dyDescent="0.2">
      <c r="Q595" s="44">
        <v>39</v>
      </c>
      <c r="S595">
        <v>1.039054618</v>
      </c>
      <c r="Y595" s="21"/>
      <c r="AA595" s="44">
        <v>2</v>
      </c>
      <c r="AB595" s="1">
        <v>39</v>
      </c>
      <c r="AC595" s="1">
        <v>1.0570107858243452</v>
      </c>
      <c r="AD595">
        <v>1.022059732</v>
      </c>
      <c r="AE595">
        <f t="shared" si="10"/>
        <v>1.0219999037904468</v>
      </c>
      <c r="AF595">
        <f t="shared" si="11"/>
        <v>5.8536901200596485E-5</v>
      </c>
      <c r="AG595" s="45"/>
    </row>
    <row r="596" spans="17:41" x14ac:dyDescent="0.2">
      <c r="Q596" s="44">
        <v>41</v>
      </c>
      <c r="S596">
        <v>1.036492857</v>
      </c>
      <c r="Y596" s="21"/>
      <c r="AA596" s="44">
        <v>2</v>
      </c>
      <c r="AB596" s="1">
        <v>41</v>
      </c>
      <c r="AC596">
        <f>'[3]40根构件  '!$T$46/'[3]41根构件  '!$T$46</f>
        <v>1.0569366479550923</v>
      </c>
      <c r="AD596">
        <v>1.021708329</v>
      </c>
      <c r="AE596">
        <f t="shared" si="10"/>
        <v>1.0176315626944668</v>
      </c>
      <c r="AF596">
        <f t="shared" si="11"/>
        <v>3.9901468842124116E-3</v>
      </c>
      <c r="AG596" s="45"/>
    </row>
    <row r="597" spans="17:41" x14ac:dyDescent="0.2">
      <c r="Q597" s="44">
        <v>44</v>
      </c>
      <c r="S597">
        <v>1.03215619</v>
      </c>
      <c r="Y597" s="21"/>
      <c r="AA597" s="44">
        <v>2</v>
      </c>
      <c r="AB597" s="1">
        <v>44</v>
      </c>
      <c r="AC597" s="1">
        <v>1.0475785896346643</v>
      </c>
      <c r="AD597">
        <v>1.021230517</v>
      </c>
      <c r="AE597">
        <f t="shared" si="10"/>
        <v>1.0010528588615122</v>
      </c>
      <c r="AF597">
        <f t="shared" si="11"/>
        <v>1.9758181725476012E-2</v>
      </c>
      <c r="AG597" s="45"/>
    </row>
    <row r="598" spans="17:41" x14ac:dyDescent="0.2">
      <c r="Q598" s="44">
        <v>46</v>
      </c>
      <c r="S598">
        <v>1.0297436280000001</v>
      </c>
      <c r="Y598" s="21"/>
      <c r="AA598" s="44">
        <v>2.5</v>
      </c>
      <c r="AB598" s="1">
        <v>9</v>
      </c>
      <c r="AC598">
        <v>1.1570881230000001</v>
      </c>
      <c r="AD598">
        <v>1.0973824999999999</v>
      </c>
      <c r="AE598">
        <f t="shared" si="10"/>
        <v>1.110136854095098</v>
      </c>
      <c r="AF598">
        <f>ABS(AE598-AD598)/AD598</f>
        <v>1.1622523682579287E-2</v>
      </c>
      <c r="AG598" s="45"/>
    </row>
    <row r="599" spans="17:41" ht="15" thickBot="1" x14ac:dyDescent="0.25">
      <c r="Q599" s="46">
        <v>49</v>
      </c>
      <c r="R599" s="50"/>
      <c r="S599" s="23">
        <v>1.02519191</v>
      </c>
      <c r="U599" s="23"/>
      <c r="V599" s="23"/>
      <c r="W599" s="23"/>
      <c r="X599" s="23"/>
      <c r="Y599" s="24"/>
      <c r="AA599" s="44">
        <v>2.5</v>
      </c>
      <c r="AB599" s="1">
        <v>11</v>
      </c>
      <c r="AC599">
        <v>1.1428672950000001</v>
      </c>
      <c r="AD599">
        <v>1.0862547</v>
      </c>
      <c r="AE599">
        <f t="shared" si="10"/>
        <v>1.102711292578094</v>
      </c>
      <c r="AF599">
        <f t="shared" ref="AF599:AF612" si="12">ABS(AE599-AD599)/AD599</f>
        <v>1.5149847064499655E-2</v>
      </c>
      <c r="AG599" s="45"/>
    </row>
    <row r="600" spans="17:41" x14ac:dyDescent="0.2">
      <c r="AA600" s="44">
        <v>2.5</v>
      </c>
      <c r="AB600" s="1">
        <v>14</v>
      </c>
      <c r="AC600">
        <v>1.124197949</v>
      </c>
      <c r="AD600">
        <v>1.0768922999999999</v>
      </c>
      <c r="AE600">
        <f t="shared" si="10"/>
        <v>1.0926058056890791</v>
      </c>
      <c r="AF600">
        <f t="shared" si="12"/>
        <v>1.4591529430639577E-2</v>
      </c>
      <c r="AG600" s="45"/>
    </row>
    <row r="601" spans="17:41" ht="15" thickBot="1" x14ac:dyDescent="0.25">
      <c r="AA601" s="44">
        <v>2.5</v>
      </c>
      <c r="AB601" s="1">
        <v>16</v>
      </c>
      <c r="AC601">
        <v>1.1153287460000001</v>
      </c>
      <c r="AD601">
        <v>1.0698375</v>
      </c>
      <c r="AE601">
        <f t="shared" si="10"/>
        <v>1.0883781206342553</v>
      </c>
      <c r="AF601">
        <f t="shared" si="12"/>
        <v>1.7330314776080782E-2</v>
      </c>
      <c r="AG601" s="45"/>
    </row>
    <row r="602" spans="17:41" ht="15" thickTop="1" x14ac:dyDescent="0.2">
      <c r="Q602" s="67" t="s">
        <v>120</v>
      </c>
      <c r="R602" s="68"/>
      <c r="S602" s="68"/>
      <c r="T602" s="68"/>
      <c r="U602" s="68"/>
      <c r="V602" s="68"/>
      <c r="W602" s="68"/>
      <c r="X602" s="68"/>
      <c r="Y602" s="69"/>
      <c r="AA602" s="44">
        <v>2.5</v>
      </c>
      <c r="AB602" s="1">
        <v>19</v>
      </c>
      <c r="AC602">
        <v>1.0924855490000001</v>
      </c>
      <c r="AD602">
        <v>1.0628040999999999</v>
      </c>
      <c r="AE602">
        <f t="shared" si="10"/>
        <v>1.0713090385401494</v>
      </c>
      <c r="AF602">
        <f t="shared" si="12"/>
        <v>8.0023576688774949E-3</v>
      </c>
      <c r="AG602" s="45"/>
    </row>
    <row r="603" spans="17:41" x14ac:dyDescent="0.2">
      <c r="Q603" s="30" t="s">
        <v>7</v>
      </c>
      <c r="R603" s="1"/>
      <c r="S603" s="1" t="s">
        <v>136</v>
      </c>
      <c r="Y603" s="21"/>
      <c r="AA603" s="44">
        <v>2.5</v>
      </c>
      <c r="AB603" s="1">
        <v>21</v>
      </c>
      <c r="AC603">
        <v>1.083726481</v>
      </c>
      <c r="AD603">
        <v>1.0551263</v>
      </c>
      <c r="AE603">
        <f t="shared" si="10"/>
        <v>1.0653589535740362</v>
      </c>
      <c r="AF603">
        <f t="shared" si="12"/>
        <v>9.6980366938405806E-3</v>
      </c>
      <c r="AG603" s="45"/>
    </row>
    <row r="604" spans="17:41" x14ac:dyDescent="0.2">
      <c r="Q604" s="44">
        <v>9</v>
      </c>
      <c r="R604" s="5"/>
      <c r="S604">
        <v>1.0973824999999999</v>
      </c>
      <c r="Y604" s="21"/>
      <c r="AA604" s="44">
        <v>2.5</v>
      </c>
      <c r="AB604" s="1">
        <v>24</v>
      </c>
      <c r="AC604">
        <v>1.0622406639999999</v>
      </c>
      <c r="AD604">
        <v>1.0473627999999999</v>
      </c>
      <c r="AE604">
        <f t="shared" si="10"/>
        <v>1.046920349309767</v>
      </c>
      <c r="AF604">
        <f t="shared" si="12"/>
        <v>4.2244262468837452E-4</v>
      </c>
      <c r="AG604" s="45"/>
    </row>
    <row r="605" spans="17:41" x14ac:dyDescent="0.2">
      <c r="Q605" s="44">
        <v>11</v>
      </c>
      <c r="R605" s="4"/>
      <c r="S605">
        <v>1.0862547</v>
      </c>
      <c r="Y605" s="21"/>
      <c r="AA605" s="44">
        <v>2.5</v>
      </c>
      <c r="AB605" s="1">
        <v>26</v>
      </c>
      <c r="AC605">
        <v>1.0573194020000001</v>
      </c>
      <c r="AD605">
        <v>1.0427584000000001</v>
      </c>
      <c r="AE605">
        <f t="shared" si="10"/>
        <v>1.0430560152423038</v>
      </c>
      <c r="AF605">
        <f t="shared" si="12"/>
        <v>2.8541150309003644E-4</v>
      </c>
      <c r="AG605" s="45"/>
    </row>
    <row r="606" spans="17:41" x14ac:dyDescent="0.2">
      <c r="Q606" s="44">
        <v>14</v>
      </c>
      <c r="R606" s="5"/>
      <c r="S606">
        <v>1.0768922999999999</v>
      </c>
      <c r="Y606" s="21"/>
      <c r="AA606" s="44">
        <v>2.5</v>
      </c>
      <c r="AB606" s="1">
        <v>29</v>
      </c>
      <c r="AC606">
        <v>1.04516498</v>
      </c>
      <c r="AD606">
        <v>1.038095</v>
      </c>
      <c r="AE606">
        <f t="shared" si="10"/>
        <v>1.0313494771635197</v>
      </c>
      <c r="AF606">
        <f t="shared" si="12"/>
        <v>6.4979822044035794E-3</v>
      </c>
      <c r="AG606" s="45"/>
    </row>
    <row r="607" spans="17:41" x14ac:dyDescent="0.2">
      <c r="Q607" s="44">
        <v>16</v>
      </c>
      <c r="R607" s="4"/>
      <c r="S607">
        <v>1.0698375</v>
      </c>
      <c r="Y607" s="21"/>
      <c r="AA607" s="44">
        <v>2.5</v>
      </c>
      <c r="AB607" s="1">
        <v>31</v>
      </c>
      <c r="AC607">
        <v>1.0438762150000001</v>
      </c>
      <c r="AD607">
        <v>1.0339726</v>
      </c>
      <c r="AE607">
        <f t="shared" si="10"/>
        <v>1.02948242508537</v>
      </c>
      <c r="AF607">
        <f t="shared" si="12"/>
        <v>4.3426440068431178E-3</v>
      </c>
      <c r="AG607" s="45"/>
    </row>
    <row r="608" spans="17:41" x14ac:dyDescent="0.2">
      <c r="Q608" s="44">
        <v>19</v>
      </c>
      <c r="R608" s="4"/>
      <c r="S608">
        <v>1.0628040999999999</v>
      </c>
      <c r="Y608" s="21"/>
      <c r="AA608" s="44">
        <v>2.5</v>
      </c>
      <c r="AB608" s="1">
        <v>34</v>
      </c>
      <c r="AC608">
        <v>1.0410646509999999</v>
      </c>
      <c r="AD608">
        <v>1.0296339999999999</v>
      </c>
      <c r="AE608">
        <f t="shared" si="10"/>
        <v>1.0246456664270975</v>
      </c>
      <c r="AF608">
        <f t="shared" si="12"/>
        <v>4.8447638412313539E-3</v>
      </c>
      <c r="AG608" s="45"/>
    </row>
    <row r="609" spans="17:33" x14ac:dyDescent="0.2">
      <c r="Q609" s="44">
        <v>21</v>
      </c>
      <c r="R609" s="5"/>
      <c r="S609">
        <v>1.0551263</v>
      </c>
      <c r="Y609" s="21"/>
      <c r="AA609" s="44">
        <v>2.5</v>
      </c>
      <c r="AB609" s="1">
        <v>36</v>
      </c>
      <c r="AC609">
        <v>1.039827364</v>
      </c>
      <c r="AD609">
        <v>1.0258419000000001</v>
      </c>
      <c r="AE609">
        <f t="shared" si="10"/>
        <v>1.0212722269927437</v>
      </c>
      <c r="AF609">
        <f t="shared" si="12"/>
        <v>4.4545587456082791E-3</v>
      </c>
      <c r="AG609" s="45"/>
    </row>
    <row r="610" spans="17:33" x14ac:dyDescent="0.2">
      <c r="Q610" s="44">
        <v>24</v>
      </c>
      <c r="R610" s="5"/>
      <c r="S610">
        <v>1.0473627999999999</v>
      </c>
      <c r="Y610" s="21"/>
      <c r="AA610" s="44">
        <v>2.5</v>
      </c>
      <c r="AB610" s="1">
        <v>39</v>
      </c>
      <c r="AC610">
        <v>1.039054618</v>
      </c>
      <c r="AD610">
        <v>1.0217080000000001</v>
      </c>
      <c r="AE610">
        <f t="shared" si="10"/>
        <v>1.0161110555595645</v>
      </c>
      <c r="AF610">
        <f t="shared" si="12"/>
        <v>5.4780274211766664E-3</v>
      </c>
      <c r="AG610" s="45"/>
    </row>
    <row r="611" spans="17:33" x14ac:dyDescent="0.2">
      <c r="Q611" s="44">
        <v>26</v>
      </c>
      <c r="R611" s="4"/>
      <c r="S611">
        <v>1.0427584000000001</v>
      </c>
      <c r="Y611" s="21"/>
      <c r="AA611" s="44">
        <v>2.5</v>
      </c>
      <c r="AB611" s="1">
        <v>41</v>
      </c>
      <c r="AC611">
        <v>1.036492857</v>
      </c>
      <c r="AD611">
        <v>1.0198265</v>
      </c>
      <c r="AE611">
        <f t="shared" si="10"/>
        <v>1.0098994664835939</v>
      </c>
      <c r="AF611">
        <f t="shared" si="12"/>
        <v>9.7340415417780518E-3</v>
      </c>
      <c r="AG611" s="45"/>
    </row>
    <row r="612" spans="17:33" x14ac:dyDescent="0.2">
      <c r="Q612" s="44">
        <v>29</v>
      </c>
      <c r="R612" s="5"/>
      <c r="S612">
        <v>1.038095</v>
      </c>
      <c r="Y612" s="21"/>
      <c r="AA612" s="44">
        <v>2.5</v>
      </c>
      <c r="AB612" s="1">
        <v>44</v>
      </c>
      <c r="AC612">
        <v>1.03215619</v>
      </c>
      <c r="AD612">
        <v>1.0183519999999999</v>
      </c>
      <c r="AE612">
        <f t="shared" si="10"/>
        <v>0.99897439151763234</v>
      </c>
      <c r="AF612">
        <f t="shared" si="12"/>
        <v>1.9028399298442564E-2</v>
      </c>
      <c r="AG612" s="45"/>
    </row>
    <row r="613" spans="17:33" x14ac:dyDescent="0.2">
      <c r="Q613" s="44">
        <v>31</v>
      </c>
      <c r="R613" s="4"/>
      <c r="S613">
        <v>1.0339726</v>
      </c>
      <c r="Y613" s="21"/>
      <c r="AA613" s="44">
        <v>2.8</v>
      </c>
      <c r="AB613" s="1">
        <v>9</v>
      </c>
      <c r="AC613">
        <v>1.1493548389999999</v>
      </c>
      <c r="AD613">
        <v>1.0871352000000001</v>
      </c>
      <c r="AE613">
        <f t="shared" si="10"/>
        <v>1.1063735884278525</v>
      </c>
      <c r="AF613">
        <f>ABS(AE613-AD613)/AD613</f>
        <v>1.7696408347234471E-2</v>
      </c>
      <c r="AG613" s="45"/>
    </row>
    <row r="614" spans="17:33" x14ac:dyDescent="0.2">
      <c r="Q614" s="44">
        <v>34</v>
      </c>
      <c r="R614" s="5"/>
      <c r="S614">
        <v>1.0296339999999999</v>
      </c>
      <c r="Y614" s="21"/>
      <c r="AA614" s="44">
        <v>2.8</v>
      </c>
      <c r="AB614" s="1">
        <v>11</v>
      </c>
      <c r="AC614">
        <v>1.1228563170000001</v>
      </c>
      <c r="AD614">
        <v>1.0753286</v>
      </c>
      <c r="AE614">
        <f t="shared" si="10"/>
        <v>1.0873050017193047</v>
      </c>
      <c r="AF614">
        <f t="shared" ref="AF614:AF627" si="13">ABS(AE614-AD614)/AD614</f>
        <v>1.1137434379876717E-2</v>
      </c>
      <c r="AG614" s="45"/>
    </row>
    <row r="615" spans="17:33" x14ac:dyDescent="0.2">
      <c r="Q615" s="44">
        <v>36</v>
      </c>
      <c r="R615" s="4"/>
      <c r="S615">
        <v>1.0258419000000001</v>
      </c>
      <c r="Y615" s="21"/>
      <c r="AA615" s="44">
        <v>2.8</v>
      </c>
      <c r="AB615" s="1">
        <v>14</v>
      </c>
      <c r="AC615">
        <v>1.1083726</v>
      </c>
      <c r="AD615">
        <v>1.0698479999999999</v>
      </c>
      <c r="AE615">
        <f t="shared" si="10"/>
        <v>1.081564524928512</v>
      </c>
      <c r="AF615">
        <f t="shared" si="13"/>
        <v>1.0951579036005164E-2</v>
      </c>
      <c r="AG615" s="45"/>
    </row>
    <row r="616" spans="17:33" x14ac:dyDescent="0.2">
      <c r="Q616" s="44">
        <v>39</v>
      </c>
      <c r="R616" s="5"/>
      <c r="S616">
        <v>1.0217080000000001</v>
      </c>
      <c r="Y616" s="21"/>
      <c r="AA616" s="44">
        <v>2.8</v>
      </c>
      <c r="AB616" s="1">
        <v>16</v>
      </c>
      <c r="AC616">
        <v>1.0852194630000001</v>
      </c>
      <c r="AD616">
        <v>1.0604927</v>
      </c>
      <c r="AE616">
        <f t="shared" si="10"/>
        <v>1.0635636915719424</v>
      </c>
      <c r="AF616">
        <f t="shared" si="13"/>
        <v>2.8958158523320916E-3</v>
      </c>
      <c r="AG616" s="45"/>
    </row>
    <row r="617" spans="17:33" x14ac:dyDescent="0.2">
      <c r="Q617" s="44">
        <v>41</v>
      </c>
      <c r="R617" s="4"/>
      <c r="S617">
        <v>1.0198265</v>
      </c>
      <c r="Y617" s="21"/>
      <c r="AA617" s="44">
        <v>2.8</v>
      </c>
      <c r="AB617" s="1">
        <v>19</v>
      </c>
      <c r="AC617">
        <v>1.0778532000000001</v>
      </c>
      <c r="AD617">
        <v>1.055083</v>
      </c>
      <c r="AE617">
        <f t="shared" si="10"/>
        <v>1.061971270225704</v>
      </c>
      <c r="AF617">
        <f t="shared" si="13"/>
        <v>6.528652462132402E-3</v>
      </c>
      <c r="AG617" s="45"/>
    </row>
    <row r="618" spans="17:33" x14ac:dyDescent="0.2">
      <c r="Q618" s="44">
        <v>44</v>
      </c>
      <c r="R618" s="4"/>
      <c r="S618">
        <v>1.0183519999999999</v>
      </c>
      <c r="Y618" s="21"/>
      <c r="AA618" s="44">
        <v>2.8</v>
      </c>
      <c r="AB618" s="1">
        <v>21</v>
      </c>
      <c r="AC618">
        <v>1.0583276239999999</v>
      </c>
      <c r="AD618">
        <v>1.0472158</v>
      </c>
      <c r="AE618">
        <f t="shared" si="10"/>
        <v>1.0456214483790183</v>
      </c>
      <c r="AF618">
        <f t="shared" si="13"/>
        <v>1.5224671180302663E-3</v>
      </c>
      <c r="AG618" s="45"/>
    </row>
    <row r="619" spans="17:33" x14ac:dyDescent="0.2">
      <c r="Q619" s="44">
        <v>46</v>
      </c>
      <c r="R619" s="5"/>
      <c r="S619">
        <v>1.0154283</v>
      </c>
      <c r="Y619" s="21"/>
      <c r="AA619" s="44">
        <v>2.8</v>
      </c>
      <c r="AB619" s="1">
        <v>24</v>
      </c>
      <c r="AC619">
        <v>1.0537019999999999</v>
      </c>
      <c r="AD619">
        <v>1.042729</v>
      </c>
      <c r="AE619">
        <f t="shared" si="10"/>
        <v>1.04417687110464</v>
      </c>
      <c r="AF619">
        <f t="shared" si="13"/>
        <v>1.3885401716457035E-3</v>
      </c>
      <c r="AG619" s="45"/>
    </row>
    <row r="620" spans="17:33" ht="15" thickBot="1" x14ac:dyDescent="0.25">
      <c r="Q620" s="46">
        <v>49</v>
      </c>
      <c r="R620" s="50"/>
      <c r="S620" s="23">
        <v>1.012489</v>
      </c>
      <c r="U620" s="23"/>
      <c r="V620" s="23"/>
      <c r="W620" s="23"/>
      <c r="X620" s="23"/>
      <c r="Y620" s="24"/>
      <c r="AA620" s="44">
        <v>2.8</v>
      </c>
      <c r="AB620" s="1">
        <v>26</v>
      </c>
      <c r="AC620">
        <v>1.045119876</v>
      </c>
      <c r="AD620">
        <v>1.0372844999999999</v>
      </c>
      <c r="AE620">
        <f t="shared" si="10"/>
        <v>1.0369537273368863</v>
      </c>
      <c r="AF620">
        <f t="shared" si="13"/>
        <v>3.1888326019877312E-4</v>
      </c>
      <c r="AG620" s="45"/>
    </row>
    <row r="621" spans="17:33" x14ac:dyDescent="0.2">
      <c r="AA621" s="44">
        <v>2.8</v>
      </c>
      <c r="AB621" s="1">
        <v>29</v>
      </c>
      <c r="AC621">
        <v>1.043115</v>
      </c>
      <c r="AD621">
        <v>1.0338639999999999</v>
      </c>
      <c r="AE621">
        <f t="shared" si="10"/>
        <v>1.0357072353782999</v>
      </c>
      <c r="AF621">
        <f t="shared" si="13"/>
        <v>1.7828605873693264E-3</v>
      </c>
      <c r="AG621" s="45"/>
    </row>
    <row r="622" spans="17:33" ht="15" thickBot="1" x14ac:dyDescent="0.25">
      <c r="AA622" s="44">
        <v>2.8</v>
      </c>
      <c r="AB622" s="1">
        <v>31</v>
      </c>
      <c r="AC622">
        <v>1.0398473619999999</v>
      </c>
      <c r="AD622">
        <v>1.0283172</v>
      </c>
      <c r="AE622">
        <f t="shared" si="10"/>
        <v>1.0321750562089553</v>
      </c>
      <c r="AF622">
        <f t="shared" si="13"/>
        <v>3.7516208120950329E-3</v>
      </c>
      <c r="AG622" s="45"/>
    </row>
    <row r="623" spans="17:33" ht="15" thickTop="1" x14ac:dyDescent="0.2">
      <c r="Q623" s="67" t="s">
        <v>121</v>
      </c>
      <c r="R623" s="68"/>
      <c r="S623" s="68"/>
      <c r="T623" s="68"/>
      <c r="U623" s="68"/>
      <c r="V623" s="68"/>
      <c r="W623" s="68"/>
      <c r="X623" s="68"/>
      <c r="Y623" s="69"/>
      <c r="AA623" s="44">
        <v>2.8</v>
      </c>
      <c r="AB623" s="1">
        <v>34</v>
      </c>
      <c r="AC623">
        <v>1.0400590000000001</v>
      </c>
      <c r="AD623">
        <v>1.025671</v>
      </c>
      <c r="AE623">
        <f t="shared" si="10"/>
        <v>1.0307811744916802</v>
      </c>
      <c r="AF623">
        <f t="shared" si="13"/>
        <v>4.9822745224152422E-3</v>
      </c>
      <c r="AG623" s="45"/>
    </row>
    <row r="624" spans="17:33" x14ac:dyDescent="0.2">
      <c r="Q624" s="30" t="s">
        <v>7</v>
      </c>
      <c r="R624" s="1" t="s">
        <v>43</v>
      </c>
      <c r="S624" s="1" t="s">
        <v>136</v>
      </c>
      <c r="Y624" s="21"/>
      <c r="AA624" s="44">
        <v>2.8</v>
      </c>
      <c r="AB624" s="1">
        <v>36</v>
      </c>
      <c r="AC624">
        <v>1.0341287450000001</v>
      </c>
      <c r="AD624">
        <v>1.0228463000000001</v>
      </c>
      <c r="AE624">
        <f t="shared" si="10"/>
        <v>1.0230635674285</v>
      </c>
      <c r="AF624">
        <f t="shared" si="13"/>
        <v>2.1241454214569988E-4</v>
      </c>
      <c r="AG624" s="45"/>
    </row>
    <row r="625" spans="17:33" x14ac:dyDescent="0.2">
      <c r="Q625" s="44">
        <v>9</v>
      </c>
      <c r="R625">
        <f>'[1]8根构件开始'!$T$46/'[1]9根构件'!$T$46</f>
        <v>1.4193548387096777</v>
      </c>
      <c r="S625">
        <v>1.1493548389999999</v>
      </c>
      <c r="Y625" s="21"/>
      <c r="AA625" s="44">
        <v>2.8</v>
      </c>
      <c r="AB625" s="1">
        <v>39</v>
      </c>
      <c r="AC625">
        <v>1.0356080000000001</v>
      </c>
      <c r="AD625">
        <v>1.02003</v>
      </c>
      <c r="AE625">
        <f t="shared" si="10"/>
        <v>1.0205954329009599</v>
      </c>
      <c r="AF625">
        <f t="shared" si="13"/>
        <v>5.5432967751918539E-4</v>
      </c>
      <c r="AG625" s="45"/>
    </row>
    <row r="626" spans="17:33" x14ac:dyDescent="0.2">
      <c r="Q626" s="44">
        <v>11</v>
      </c>
      <c r="R626">
        <f>'[1]10根构件'!$T$46/'[1]11根构件 '!$T$46</f>
        <v>1.1693989071038249</v>
      </c>
      <c r="S626">
        <v>1.1228563170000001</v>
      </c>
      <c r="Y626" s="21"/>
      <c r="AA626" s="44">
        <v>2.8</v>
      </c>
      <c r="AB626" s="1">
        <v>41</v>
      </c>
      <c r="AC626">
        <v>1.025146882</v>
      </c>
      <c r="AD626">
        <v>1.0175924000000001</v>
      </c>
      <c r="AE626">
        <f t="shared" si="10"/>
        <v>1.0069211031289866</v>
      </c>
      <c r="AF626">
        <f t="shared" si="13"/>
        <v>1.0486808736988823E-2</v>
      </c>
      <c r="AG626" s="45"/>
    </row>
    <row r="627" spans="17:33" ht="15" thickBot="1" x14ac:dyDescent="0.25">
      <c r="Q627" s="44">
        <v>14</v>
      </c>
      <c r="R627">
        <f>'[1]13根构件'!$T$46/'[1]14根构件'!$T$46</f>
        <v>1.2123893805309733</v>
      </c>
      <c r="S627">
        <v>1.1083726</v>
      </c>
      <c r="Y627" s="21"/>
      <c r="AA627" s="46">
        <v>2.8</v>
      </c>
      <c r="AB627" s="52">
        <v>44</v>
      </c>
      <c r="AC627" s="47">
        <v>1.0286740000000001</v>
      </c>
      <c r="AD627" s="47">
        <v>1.0154209999999999</v>
      </c>
      <c r="AE627" s="47">
        <f t="shared" si="10"/>
        <v>1.00416143922528</v>
      </c>
      <c r="AF627" s="47">
        <f t="shared" si="13"/>
        <v>1.1088564028831295E-2</v>
      </c>
      <c r="AG627" s="48"/>
    </row>
    <row r="628" spans="17:33" x14ac:dyDescent="0.2">
      <c r="Q628" s="44">
        <v>16</v>
      </c>
      <c r="R628">
        <f>'[1]15根构件 '!$T$46/'[1]16根构件  '!$T$46</f>
        <v>0.96551724137931028</v>
      </c>
      <c r="S628">
        <v>1.0852194630000001</v>
      </c>
      <c r="Y628" s="21"/>
    </row>
    <row r="629" spans="17:33" x14ac:dyDescent="0.2">
      <c r="Q629" s="44">
        <v>19</v>
      </c>
      <c r="R629">
        <f>'[1]18根构件  '!$T$46/'[1]19根构件'!$T$46</f>
        <v>1.1029411764705883</v>
      </c>
      <c r="S629">
        <v>1.0778532000000001</v>
      </c>
      <c r="Y629" s="21"/>
    </row>
    <row r="630" spans="17:33" x14ac:dyDescent="0.2">
      <c r="Q630" s="44">
        <v>21</v>
      </c>
      <c r="R630">
        <f>'[1]20根构件'!$T$46/'[1]21根构件 '!$T$46</f>
        <v>1.3750000000000002</v>
      </c>
      <c r="S630">
        <v>1.0583276239999999</v>
      </c>
      <c r="Y630" s="21"/>
    </row>
    <row r="631" spans="17:33" x14ac:dyDescent="0.2">
      <c r="Q631" s="44">
        <v>24</v>
      </c>
      <c r="R631">
        <f>'[1]23根构件'!$T$46/'[1]24根构件 '!$T$46</f>
        <v>0.90566037735849048</v>
      </c>
      <c r="S631">
        <v>1.0537019999999999</v>
      </c>
      <c r="Y631" s="21"/>
    </row>
    <row r="632" spans="17:33" x14ac:dyDescent="0.2">
      <c r="Q632" s="44">
        <v>26</v>
      </c>
      <c r="R632">
        <f>'[1]25根构件 '!$T$46/'[1]26根构件'!$T$46</f>
        <v>0.7142857142857143</v>
      </c>
      <c r="S632">
        <v>1.045119876</v>
      </c>
      <c r="Y632" s="21"/>
    </row>
    <row r="633" spans="17:33" x14ac:dyDescent="0.2">
      <c r="Q633" s="44">
        <v>29</v>
      </c>
      <c r="R633">
        <f>'[1]28根构件'!$T$46/'[1]29根构件 '!$T$46</f>
        <v>0.75609756097560976</v>
      </c>
      <c r="S633">
        <v>1.043115</v>
      </c>
      <c r="Y633" s="21"/>
    </row>
    <row r="634" spans="17:33" x14ac:dyDescent="0.2">
      <c r="Q634" s="44">
        <v>31</v>
      </c>
      <c r="R634">
        <f>'[1]30根构件'!$T$46/'[1]31根构件 '!$T$46</f>
        <v>1.5</v>
      </c>
      <c r="S634">
        <v>1.0398473619999999</v>
      </c>
      <c r="Y634" s="21"/>
    </row>
    <row r="635" spans="17:33" x14ac:dyDescent="0.2">
      <c r="Q635" s="44">
        <v>34</v>
      </c>
      <c r="R635">
        <f>'[1]33根构件 '!$T$46/'[1]34根构件'!$T$46</f>
        <v>1.2500000000000002</v>
      </c>
      <c r="S635">
        <v>1.0400590000000001</v>
      </c>
      <c r="Y635" s="21"/>
    </row>
    <row r="636" spans="17:33" x14ac:dyDescent="0.2">
      <c r="Q636" s="44">
        <v>36</v>
      </c>
      <c r="R636">
        <f>'[1]35根构件 '!$T$46/'[1]36根构件 '!$T$46</f>
        <v>1.75</v>
      </c>
      <c r="S636">
        <v>1.0341287450000001</v>
      </c>
      <c r="Y636" s="21"/>
    </row>
    <row r="637" spans="17:33" x14ac:dyDescent="0.2">
      <c r="Q637" s="44">
        <v>39</v>
      </c>
      <c r="R637">
        <f>'[1]38根构件  '!$T$46/'[1]39根构件   '!$T$46</f>
        <v>0.92592592592592604</v>
      </c>
      <c r="S637">
        <v>1.0356080000000001</v>
      </c>
      <c r="Y637" s="21"/>
    </row>
    <row r="638" spans="17:33" x14ac:dyDescent="0.2">
      <c r="Q638" s="44">
        <v>41</v>
      </c>
      <c r="R638">
        <f>'[1]40根构件  '!$T$46/'[1]41根构件  '!$T$46</f>
        <v>1.3125</v>
      </c>
      <c r="S638">
        <v>1.025146882</v>
      </c>
      <c r="Y638" s="21"/>
    </row>
    <row r="639" spans="17:33" x14ac:dyDescent="0.2">
      <c r="Q639" s="44">
        <v>44</v>
      </c>
      <c r="R639">
        <f>'[1]43根构件   '!$T$46/'[1]44根构件 '!$T$46</f>
        <v>1.4444444444444446</v>
      </c>
      <c r="S639">
        <v>1.0286740000000001</v>
      </c>
      <c r="Y639" s="21"/>
    </row>
    <row r="640" spans="17:33" x14ac:dyDescent="0.2">
      <c r="Q640" s="44">
        <v>46</v>
      </c>
      <c r="R640">
        <f>'[1]45根构件  '!$T$46/'[1]46根构件 '!$T$46</f>
        <v>0.78260869565217384</v>
      </c>
      <c r="S640">
        <v>1.015501947</v>
      </c>
      <c r="Y640" s="21"/>
    </row>
    <row r="641" spans="17:25" ht="15" thickBot="1" x14ac:dyDescent="0.25">
      <c r="Q641" s="46">
        <v>49</v>
      </c>
      <c r="R641" s="50">
        <f>'[1]48根构件 '!$T$46/'[1]49根构件  '!$T$46</f>
        <v>1.0714285714285714</v>
      </c>
      <c r="S641" s="23">
        <v>1.018329</v>
      </c>
      <c r="U641" s="23"/>
      <c r="V641" s="23"/>
      <c r="W641" s="23"/>
      <c r="X641" s="23"/>
      <c r="Y641" s="24"/>
    </row>
    <row r="643" spans="17:25" ht="15" thickBot="1" x14ac:dyDescent="0.25"/>
    <row r="644" spans="17:25" ht="15" thickTop="1" x14ac:dyDescent="0.2">
      <c r="Q644" s="67" t="s">
        <v>122</v>
      </c>
      <c r="R644" s="68"/>
      <c r="S644" s="68"/>
      <c r="T644" s="68"/>
      <c r="U644" s="68"/>
      <c r="V644" s="68"/>
      <c r="W644" s="68"/>
      <c r="X644" s="68"/>
      <c r="Y644" s="69"/>
    </row>
    <row r="645" spans="17:25" x14ac:dyDescent="0.2">
      <c r="Q645" s="30" t="s">
        <v>7</v>
      </c>
      <c r="R645" s="1" t="s">
        <v>43</v>
      </c>
      <c r="S645" s="1" t="s">
        <v>136</v>
      </c>
      <c r="Y645" s="21"/>
    </row>
    <row r="646" spans="17:25" x14ac:dyDescent="0.2">
      <c r="Q646" s="44">
        <v>9</v>
      </c>
      <c r="R646" s="5">
        <f>'[1]8根构件开始'!$T$46/'[1]9根构件'!$X$46</f>
        <v>1.1711026615969584</v>
      </c>
      <c r="S646">
        <v>1.0871352000000001</v>
      </c>
      <c r="Y646" s="21"/>
    </row>
    <row r="647" spans="17:25" x14ac:dyDescent="0.2">
      <c r="Q647" s="44">
        <v>11</v>
      </c>
      <c r="R647" s="5">
        <f>'[1]10根构件'!$T$46/'[1]11根构件 '!$X$46</f>
        <v>0.96832579185520362</v>
      </c>
      <c r="S647">
        <v>1.0753286</v>
      </c>
      <c r="Y647" s="21"/>
    </row>
    <row r="648" spans="17:25" x14ac:dyDescent="0.2">
      <c r="Q648" s="44">
        <v>14</v>
      </c>
      <c r="R648" s="5">
        <f>'[1]13根构件'!$T$46/'[1]14根构件'!$X$46</f>
        <v>1.0959999999999999</v>
      </c>
      <c r="S648">
        <v>1.0698479999999999</v>
      </c>
      <c r="Y648" s="21"/>
    </row>
    <row r="649" spans="17:25" x14ac:dyDescent="0.2">
      <c r="Q649" s="44">
        <v>16</v>
      </c>
      <c r="R649" s="5">
        <f>'[1]15根构件 '!$T$46/'[1]16根构件  '!$X$46</f>
        <v>0.83168316831683164</v>
      </c>
      <c r="S649">
        <v>1.0604927</v>
      </c>
      <c r="Y649" s="21"/>
    </row>
    <row r="650" spans="17:25" x14ac:dyDescent="0.2">
      <c r="Q650" s="44">
        <v>19</v>
      </c>
      <c r="R650" s="5">
        <f>'[1]18根构件  '!$T$46/'[1]19根构件'!$X$46</f>
        <v>0.94936708860759489</v>
      </c>
      <c r="S650">
        <v>1.055083</v>
      </c>
      <c r="Y650" s="21"/>
    </row>
    <row r="651" spans="17:25" x14ac:dyDescent="0.2">
      <c r="Q651" s="44">
        <v>21</v>
      </c>
      <c r="R651" s="5">
        <f>'[1]20根构件'!$T$46/'[1]21根构件 '!$X$46</f>
        <v>1.1379310344827587</v>
      </c>
      <c r="S651">
        <v>1.0472158</v>
      </c>
      <c r="Y651" s="21"/>
    </row>
    <row r="652" spans="17:25" x14ac:dyDescent="0.2">
      <c r="Q652" s="44">
        <v>24</v>
      </c>
      <c r="R652" s="5">
        <f>'[1]23根构件'!$T$46/'[1]24根构件 '!$X$46</f>
        <v>0.8571428571428571</v>
      </c>
      <c r="S652">
        <v>1.042729</v>
      </c>
      <c r="Y652" s="21"/>
    </row>
    <row r="653" spans="17:25" x14ac:dyDescent="0.2">
      <c r="Q653" s="44">
        <v>26</v>
      </c>
      <c r="R653" s="5">
        <f>'[1]25根构件 '!$T$46/'[1]26根构件'!$X$46</f>
        <v>1.0256410256410255</v>
      </c>
      <c r="S653">
        <v>1.0372844999999999</v>
      </c>
      <c r="Y653" s="21"/>
    </row>
    <row r="654" spans="17:25" x14ac:dyDescent="0.2">
      <c r="Q654" s="44">
        <v>29</v>
      </c>
      <c r="R654" s="5">
        <f>'[1]28根构件'!$T$46/'[1]29根构件 '!$X$46</f>
        <v>0.91176470588235292</v>
      </c>
      <c r="S654">
        <v>1.0338639999999999</v>
      </c>
      <c r="Y654" s="21"/>
    </row>
    <row r="655" spans="17:25" x14ac:dyDescent="0.2">
      <c r="Q655" s="44">
        <v>31</v>
      </c>
      <c r="R655" s="5">
        <f>'[1]30根构件'!$T$46/'[1]31根构件 '!$X$46</f>
        <v>1.0465116279069766</v>
      </c>
      <c r="S655">
        <v>1.0283172</v>
      </c>
      <c r="Y655" s="21"/>
    </row>
    <row r="656" spans="17:25" x14ac:dyDescent="0.2">
      <c r="Q656" s="44">
        <v>34</v>
      </c>
      <c r="R656" s="5">
        <f>'[1]33根构件 '!$T$46/'[1]34根构件'!$X$46</f>
        <v>0.67567567567567566</v>
      </c>
      <c r="S656">
        <v>1.025671</v>
      </c>
      <c r="Y656" s="21"/>
    </row>
    <row r="657" spans="17:25" x14ac:dyDescent="0.2">
      <c r="Q657" s="44">
        <v>36</v>
      </c>
      <c r="R657" s="5">
        <f>'[1]35根构件 '!$T$46/'[1]36根构件 '!$X$46</f>
        <v>0.79999999999999993</v>
      </c>
      <c r="S657">
        <v>1.0228463000000001</v>
      </c>
      <c r="Y657" s="21"/>
    </row>
    <row r="658" spans="17:25" x14ac:dyDescent="0.2">
      <c r="Q658" s="44">
        <v>39</v>
      </c>
      <c r="R658" s="5">
        <f>'[1]38根构件  '!$T$46/'[1]39根构件   '!$X$46</f>
        <v>1</v>
      </c>
      <c r="S658">
        <v>1.02003</v>
      </c>
      <c r="Y658" s="21"/>
    </row>
    <row r="659" spans="17:25" x14ac:dyDescent="0.2">
      <c r="Q659" s="44">
        <v>41</v>
      </c>
      <c r="R659" s="5">
        <f>'[1]40根构件  '!$T$46/'[1]41根构件  '!$X$46</f>
        <v>1</v>
      </c>
      <c r="S659">
        <v>1.0175924000000001</v>
      </c>
      <c r="Y659" s="21"/>
    </row>
    <row r="660" spans="17:25" x14ac:dyDescent="0.2">
      <c r="Q660" s="44">
        <v>44</v>
      </c>
      <c r="R660" s="5">
        <f>'[1]43根构件   '!$T$46/'[1]44根构件 '!$X$46</f>
        <v>1.7333333333333334</v>
      </c>
      <c r="S660">
        <v>1.0154209999999999</v>
      </c>
      <c r="Y660" s="21"/>
    </row>
    <row r="661" spans="17:25" x14ac:dyDescent="0.2">
      <c r="Q661" s="44">
        <v>46</v>
      </c>
      <c r="R661" s="5">
        <f>'[1]45根构件  '!$T$46/'[1]46根构件 '!$X$46</f>
        <v>0.85714285714285721</v>
      </c>
      <c r="S661">
        <v>1.0128579</v>
      </c>
      <c r="Y661" s="21"/>
    </row>
    <row r="662" spans="17:25" ht="15" thickBot="1" x14ac:dyDescent="0.25">
      <c r="Q662" s="46">
        <v>49</v>
      </c>
      <c r="R662" s="50">
        <f>'[1]48根构件 '!$T$46/'[1]49根构件  '!$X$46</f>
        <v>0.71428571428571441</v>
      </c>
      <c r="S662" s="23">
        <v>1.010246</v>
      </c>
      <c r="U662" s="23"/>
      <c r="V662" s="23"/>
      <c r="W662" s="23"/>
      <c r="X662" s="23"/>
      <c r="Y662" s="24"/>
    </row>
  </sheetData>
  <mergeCells count="33">
    <mergeCell ref="Q581:Y581"/>
    <mergeCell ref="Q602:Y602"/>
    <mergeCell ref="Q623:Y623"/>
    <mergeCell ref="Q644:Y644"/>
    <mergeCell ref="AI547:AO547"/>
    <mergeCell ref="AA581:AG581"/>
    <mergeCell ref="R535:S535"/>
    <mergeCell ref="AA478:AI478"/>
    <mergeCell ref="A509:H509"/>
    <mergeCell ref="S539:Y539"/>
    <mergeCell ref="Q560:Y560"/>
    <mergeCell ref="S503:Y503"/>
    <mergeCell ref="AI492:AO492"/>
    <mergeCell ref="AA492:AG492"/>
    <mergeCell ref="AA523:AG523"/>
    <mergeCell ref="A481:H481"/>
    <mergeCell ref="A491:H491"/>
    <mergeCell ref="A501:H501"/>
    <mergeCell ref="AA426:AI426"/>
    <mergeCell ref="A463:H463"/>
    <mergeCell ref="A472:H472"/>
    <mergeCell ref="A417:H417"/>
    <mergeCell ref="A426:H426"/>
    <mergeCell ref="A435:H435"/>
    <mergeCell ref="K426:Q426"/>
    <mergeCell ref="S426:Y426"/>
    <mergeCell ref="A444:H444"/>
    <mergeCell ref="AA438:AI438"/>
    <mergeCell ref="A453:H453"/>
    <mergeCell ref="AA439:AI439"/>
    <mergeCell ref="AA452:AI452"/>
    <mergeCell ref="AA465:AI465"/>
    <mergeCell ref="S472:Y4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C14C-D5F1-4254-A65F-164523E1C1C6}">
  <dimension ref="A1:R57"/>
  <sheetViews>
    <sheetView workbookViewId="0">
      <selection activeCell="F23" sqref="F23"/>
    </sheetView>
  </sheetViews>
  <sheetFormatPr defaultRowHeight="14.25" x14ac:dyDescent="0.2"/>
  <sheetData>
    <row r="1" spans="1:18" ht="18" x14ac:dyDescent="0.25">
      <c r="A1" s="2" t="s">
        <v>26</v>
      </c>
      <c r="B1" s="2"/>
      <c r="C1" s="2"/>
      <c r="D1" s="2"/>
      <c r="E1" s="2"/>
      <c r="F1" s="3"/>
      <c r="G1" s="3"/>
      <c r="H1" s="3"/>
      <c r="K1" s="2" t="s">
        <v>40</v>
      </c>
      <c r="L1" s="2"/>
      <c r="M1" s="2"/>
      <c r="N1" s="2"/>
      <c r="O1" s="2"/>
      <c r="P1" s="3"/>
      <c r="Q1" s="3"/>
      <c r="R1" s="3"/>
    </row>
    <row r="2" spans="1:18" x14ac:dyDescent="0.2">
      <c r="A2" t="s">
        <v>7</v>
      </c>
      <c r="B2" t="s">
        <v>0</v>
      </c>
      <c r="C2" t="s">
        <v>1</v>
      </c>
      <c r="D2" t="s">
        <v>2</v>
      </c>
      <c r="K2" t="s">
        <v>7</v>
      </c>
      <c r="L2" t="s">
        <v>0</v>
      </c>
      <c r="M2" t="s">
        <v>1</v>
      </c>
      <c r="N2" t="s">
        <v>2</v>
      </c>
    </row>
    <row r="3" spans="1:18" x14ac:dyDescent="0.2">
      <c r="A3" s="1">
        <v>9</v>
      </c>
      <c r="B3" s="1">
        <v>0.1</v>
      </c>
      <c r="C3">
        <f>'[3]8根构件开始'!$D$13/(0.05*'[3]8根构件开始'!$D$13+0.95*'[3]9根构件'!$D$13)</f>
        <v>1</v>
      </c>
      <c r="K3" s="1">
        <v>9</v>
      </c>
      <c r="L3" s="1">
        <v>0.1</v>
      </c>
      <c r="M3">
        <f>'[4]8根构件开始'!$D$13/(0.05*'[4]9根构件'!$H$13+0.95*'[4]9根构件'!$D$13)</f>
        <v>1</v>
      </c>
    </row>
    <row r="4" spans="1:18" x14ac:dyDescent="0.2">
      <c r="A4" s="1">
        <v>9</v>
      </c>
      <c r="B4" s="1">
        <v>0.3</v>
      </c>
      <c r="C4">
        <f>'[3]8根构件开始'!$V$13/(0.05*'[3]9根构件'!$Z$13+0.95*'[3]9根构件'!$V$13)</f>
        <v>1.0000000000000002</v>
      </c>
      <c r="K4" s="1">
        <v>9</v>
      </c>
      <c r="L4" s="1">
        <v>0.3</v>
      </c>
      <c r="M4">
        <f>'[4]8根构件开始'!$V$13/(0.05*'[4]9根构件'!$Z$13+0.95*'[4]9根构件'!$V$13)</f>
        <v>1</v>
      </c>
    </row>
    <row r="5" spans="1:18" x14ac:dyDescent="0.2">
      <c r="A5" s="1">
        <v>9</v>
      </c>
      <c r="B5" s="1">
        <v>0.5</v>
      </c>
      <c r="C5">
        <f>'[3]8根构件开始'!$D$34/(0.05*'[3]9根构件'!$H$34+0.95*'[3]9根构件'!$D$34)</f>
        <v>1</v>
      </c>
      <c r="K5" s="1">
        <v>9</v>
      </c>
      <c r="L5" s="1">
        <v>0.5</v>
      </c>
      <c r="M5">
        <f>'[4]8根构件开始'!$D$34/(0.05*'[4]9根构件'!$H$34+0.95*'[4]9根构件'!$D$34)</f>
        <v>1</v>
      </c>
    </row>
    <row r="6" spans="1:18" x14ac:dyDescent="0.2">
      <c r="A6" s="1">
        <v>9</v>
      </c>
      <c r="B6" s="1">
        <v>0.7</v>
      </c>
      <c r="C6">
        <f>'[3]8根构件开始'!$V$34/(0.05*'[3]8根构件开始'!$Z$34+0.95*'[3]8根构件开始'!$V$34)</f>
        <v>0.99585062240663902</v>
      </c>
      <c r="K6" s="1">
        <v>9</v>
      </c>
      <c r="L6" s="1">
        <v>0.7</v>
      </c>
      <c r="M6">
        <f>'[4]8根构件开始'!$V$34/(0.05*'[4]9根构件'!$Z$34+0.95*'[4]9根构件'!$V$34)</f>
        <v>1.0562300319488818</v>
      </c>
    </row>
    <row r="7" spans="1:18" x14ac:dyDescent="0.2">
      <c r="A7" s="1">
        <v>9</v>
      </c>
      <c r="B7" s="1">
        <v>0.9</v>
      </c>
      <c r="C7">
        <f>'[3]8根构件开始'!$D$54/(0.05*'[3]9根构件'!$H$54+0.95*'[3]9根构件'!$D$54)</f>
        <v>1.0166079516859587</v>
      </c>
      <c r="K7" s="1">
        <v>9</v>
      </c>
      <c r="L7" s="1">
        <v>0.9</v>
      </c>
      <c r="M7">
        <f>'[4]8根构件开始'!$D$54/(0.05*'[4]9根构件'!$H$54+0.95*'[4]9根构件'!$D$54)</f>
        <v>1.0407239819004526</v>
      </c>
    </row>
    <row r="8" spans="1:18" x14ac:dyDescent="0.2">
      <c r="A8" s="1">
        <v>13</v>
      </c>
      <c r="B8" s="1">
        <v>0.1</v>
      </c>
      <c r="C8">
        <f>'[3]12根构件'!$D$13/(0.05*'[3]13根构件'!$H$13+0.95*'[3]13根构件'!$D$13)</f>
        <v>1</v>
      </c>
      <c r="K8" s="1">
        <v>13</v>
      </c>
      <c r="L8" s="1">
        <v>0.1</v>
      </c>
      <c r="M8">
        <f>'[4]12根构件'!$D$13/(0.05*'[4]13根构件'!$H$13+0.95*'[4]13根构件'!$D$13)</f>
        <v>0.97818832260992616</v>
      </c>
    </row>
    <row r="9" spans="1:18" x14ac:dyDescent="0.2">
      <c r="A9" s="1">
        <v>13</v>
      </c>
      <c r="B9" s="1">
        <v>0.3</v>
      </c>
      <c r="C9">
        <f>'[3]12根构件'!$V$13/(0.05*'[3]13根构件'!$Z$13+0.95*'[3]13根构件'!$V$13)</f>
        <v>1.0000000000000002</v>
      </c>
      <c r="K9" s="1">
        <v>13</v>
      </c>
      <c r="L9" s="1">
        <v>0.3</v>
      </c>
      <c r="M9">
        <f>'[4]12根构件'!$V$13/(0.05*'[4]13根构件'!$Z$13+0.95*'[4]13根构件'!$V$13)</f>
        <v>1</v>
      </c>
    </row>
    <row r="10" spans="1:18" x14ac:dyDescent="0.2">
      <c r="A10" s="1">
        <v>13</v>
      </c>
      <c r="B10" s="1">
        <v>0.5</v>
      </c>
      <c r="C10">
        <f>'[3]12根构件'!$D$34/(0.05*'[3]13根构件'!$H$34+0.95*'[3]13根构件'!$D$34)</f>
        <v>0.99585062240663902</v>
      </c>
      <c r="K10" s="1">
        <v>13</v>
      </c>
      <c r="L10" s="1">
        <v>0.5</v>
      </c>
      <c r="M10">
        <f>'[4]12根构件'!$D$34/(0.05*'[4]13根构件'!$H$34+0.95*'[4]13根构件'!$D$34)</f>
        <v>1</v>
      </c>
    </row>
    <row r="11" spans="1:18" x14ac:dyDescent="0.2">
      <c r="A11" s="1">
        <v>13</v>
      </c>
      <c r="B11" s="1">
        <v>0.7</v>
      </c>
      <c r="C11">
        <f>'[3]12根构件'!$V$34/(0.05*'[3]13根构件'!$Z$34+0.95*'[3]13根构件'!$V$34)</f>
        <v>1.0240963855421688</v>
      </c>
      <c r="K11" s="1">
        <v>13</v>
      </c>
      <c r="L11" s="1">
        <v>0.7</v>
      </c>
      <c r="M11">
        <f>'[4]12根构件'!$V$34/(0.05*'[4]13根构件'!$Z$34+0.95*'[4]13根构件'!$V$34)</f>
        <v>0.9952097304952725</v>
      </c>
    </row>
    <row r="12" spans="1:18" x14ac:dyDescent="0.2">
      <c r="A12" s="1">
        <v>13</v>
      </c>
      <c r="B12" s="1">
        <v>0.9</v>
      </c>
      <c r="C12">
        <f>'[3]12根构件'!$D$54/(0.05*'[3]13根构件'!$H$54+0.95*'[3]13根构件'!$D$54)</f>
        <v>0.99794238683127579</v>
      </c>
      <c r="K12" s="1">
        <v>13</v>
      </c>
      <c r="L12" s="1">
        <v>0.9</v>
      </c>
      <c r="M12">
        <f>'[4]12根构件'!$D$54/(0.05*'[4]13根构件'!$H$54+0.95*'[4]13根构件'!$D$54)</f>
        <v>0.99773242630385495</v>
      </c>
    </row>
    <row r="13" spans="1:18" x14ac:dyDescent="0.2">
      <c r="A13" s="1">
        <v>17</v>
      </c>
      <c r="B13" s="1">
        <v>0.1</v>
      </c>
      <c r="C13">
        <f>'[3]16根构件  '!$D$13/(0.05*'[3]17根构件  '!$H$13+0.95*'[3]17根构件  '!$D$13)</f>
        <v>1</v>
      </c>
      <c r="K13" s="1">
        <v>17</v>
      </c>
      <c r="L13" s="1">
        <v>0.1</v>
      </c>
      <c r="M13">
        <f>'[4]16根构件  '!$D$13/(0.05*'[4]17根构件  '!$H$13+0.95*'[4]17根构件  '!$D$13)</f>
        <v>0.98314908232263609</v>
      </c>
    </row>
    <row r="14" spans="1:18" x14ac:dyDescent="0.2">
      <c r="A14" s="1">
        <v>17</v>
      </c>
      <c r="B14" s="1">
        <v>0.3</v>
      </c>
      <c r="C14">
        <f>'[3]16根构件  '!$V$13/(0.05*'[3]17根构件  '!$Z$13+0.95*'[3]17根构件  '!$V$13)</f>
        <v>1.0304301872505564</v>
      </c>
      <c r="K14" s="1">
        <v>17</v>
      </c>
      <c r="L14" s="1">
        <v>0.3</v>
      </c>
      <c r="M14">
        <f>'[4]16根构件  '!$V$13/(0.05*'[4]17根构件  '!$Z$13+0.95*'[4]17根构件  '!$V$13)</f>
        <v>1</v>
      </c>
    </row>
    <row r="15" spans="1:18" x14ac:dyDescent="0.2">
      <c r="A15" s="1">
        <v>17</v>
      </c>
      <c r="B15" s="1">
        <v>0.5</v>
      </c>
      <c r="C15">
        <f>'[3]16根构件  '!$D$34/(0.05*'[3]17根构件  '!$H$34+0.95*'[3]17根构件  '!$D$34)</f>
        <v>1.0810810810810811</v>
      </c>
      <c r="K15" s="1">
        <v>17</v>
      </c>
      <c r="L15" s="1">
        <v>0.5</v>
      </c>
      <c r="M15">
        <f>'[4]16根构件  '!$D$34/(0.05*'[4]17根构件  '!$H$34+0.95*'[4]17根构件  '!$D$34)</f>
        <v>1.0117015281599098</v>
      </c>
    </row>
    <row r="16" spans="1:18" x14ac:dyDescent="0.2">
      <c r="A16" s="1">
        <v>17</v>
      </c>
      <c r="B16" s="1">
        <v>0.7</v>
      </c>
      <c r="C16">
        <f>'[3]16根构件  '!$V$34/(0.05*'[3]17根构件  '!$Z$34+0.95*'[3]17根构件  '!$V$34)</f>
        <v>1.026438569206843</v>
      </c>
      <c r="K16" s="1">
        <v>17</v>
      </c>
      <c r="L16" s="1">
        <v>0.7</v>
      </c>
      <c r="M16">
        <f>'[4]16根构件  '!$V$34/(0.05*'[4]17根构件  '!$Z$34+0.95*'[4]17根构件  '!$V$34)</f>
        <v>1.0010407465388618</v>
      </c>
    </row>
    <row r="17" spans="1:13" x14ac:dyDescent="0.2">
      <c r="A17" s="1">
        <v>17</v>
      </c>
      <c r="B17" s="1">
        <v>0.9</v>
      </c>
      <c r="C17">
        <f>'[3]16根构件  '!$D$54/(0.05*'[3]17根构件  '!$H$54+0.95*'[3]17根构件  '!$D$54)</f>
        <v>0.99843993759750382</v>
      </c>
      <c r="K17" s="1">
        <v>17</v>
      </c>
      <c r="L17" s="1">
        <v>0.9</v>
      </c>
      <c r="M17">
        <f>'[4]16根构件  '!$D$54/(0.05*'[4]17根构件  '!$H$54+0.95*'[4]17根构件  '!$D$54)</f>
        <v>0.99762470308788609</v>
      </c>
    </row>
    <row r="18" spans="1:13" x14ac:dyDescent="0.2">
      <c r="A18" s="1">
        <v>21</v>
      </c>
      <c r="B18" s="1">
        <v>0.1</v>
      </c>
      <c r="C18">
        <f>'[3]20根构件'!$D$13/(0.05*'[3]21根构件 '!$H$13+0.95*'[3]21根构件 '!$D$13)</f>
        <v>1</v>
      </c>
      <c r="K18" s="1">
        <v>21</v>
      </c>
      <c r="L18" s="1">
        <v>0.1</v>
      </c>
      <c r="M18">
        <f>'[4]20根构件'!$D$13/(0.05*'[4]21根构件 '!$H$13+0.95*'[4]21根构件 '!$D$13)</f>
        <v>0.98486681181625146</v>
      </c>
    </row>
    <row r="19" spans="1:13" x14ac:dyDescent="0.2">
      <c r="A19" s="1">
        <v>21</v>
      </c>
      <c r="B19" s="1">
        <v>0.3</v>
      </c>
      <c r="C19">
        <f>'[3]20根构件'!$V$13/(0.05*'[3]21根构件 '!$Z$13+0.95*'[3]21根构件 '!$V$13)</f>
        <v>1.0045755302682384</v>
      </c>
      <c r="K19" s="1">
        <v>21</v>
      </c>
      <c r="L19" s="1">
        <v>0.3</v>
      </c>
      <c r="M19">
        <f>'[4]20根构件'!$V$13/(0.05*'[4]21根构件 '!$Z$13+0.95*'[4]21根构件 '!$V$13)</f>
        <v>1</v>
      </c>
    </row>
    <row r="20" spans="1:13" x14ac:dyDescent="0.2">
      <c r="A20" s="1">
        <v>21</v>
      </c>
      <c r="B20" s="1">
        <v>0.5</v>
      </c>
      <c r="C20">
        <f>'[3]20根构件'!$D$34/(0.05*'[3]21根构件 '!$H$34+0.95*'[3]21根构件 '!$D$34)</f>
        <v>0.99547511312217218</v>
      </c>
      <c r="K20" s="1">
        <v>21</v>
      </c>
      <c r="L20" s="1">
        <v>0.5</v>
      </c>
      <c r="M20">
        <f>'[4]20根构件'!$D$34/(0.05*'[4]21根构件 '!$H$34+0.95*'[4]21根构件 '!$D$34)</f>
        <v>0.99760847283908438</v>
      </c>
    </row>
    <row r="21" spans="1:13" x14ac:dyDescent="0.2">
      <c r="A21" s="1">
        <v>21</v>
      </c>
      <c r="B21" s="1">
        <v>0.7</v>
      </c>
      <c r="C21">
        <f>'[3]20根构件'!$V$34/(0.05*'[3]21根构件 '!$Z$34+0.95*'[3]21根构件 '!$V$34)</f>
        <v>0.99688473520249221</v>
      </c>
      <c r="K21" s="1">
        <v>21</v>
      </c>
      <c r="L21" s="1">
        <v>0.7</v>
      </c>
      <c r="M21">
        <f>'[4]20根构件'!$V$34/(0.05*'[4]21根构件 '!$Z$34+0.95*'[4]21根构件 '!$V$34)</f>
        <v>1.0047008776163153</v>
      </c>
    </row>
    <row r="22" spans="1:13" x14ac:dyDescent="0.2">
      <c r="A22" s="1">
        <v>21</v>
      </c>
      <c r="B22" s="1">
        <v>0.9</v>
      </c>
      <c r="C22">
        <f>'[3]20根构件'!$D$54/(0.05*'[3]21根构件 '!$H$54+0.95*'[3]21根构件 '!$D$54)</f>
        <v>0.9989484752891693</v>
      </c>
      <c r="K22" s="1">
        <v>21</v>
      </c>
      <c r="L22" s="1">
        <v>0.9</v>
      </c>
      <c r="M22">
        <f>'[4]20根构件'!$D$54/(0.05*'[4]21根构件 '!$H$54+0.95*'[4]21根构件 '!$D$54)</f>
        <v>0.99762470308788609</v>
      </c>
    </row>
    <row r="23" spans="1:13" x14ac:dyDescent="0.2">
      <c r="A23" s="1">
        <v>25</v>
      </c>
      <c r="B23" s="1">
        <v>0.1</v>
      </c>
      <c r="C23">
        <f>'[3]24根构件 '!$D$13/(0.05*'[3]25根构件 '!$H$13+0.95*'[3]25根构件 '!$D$13)</f>
        <v>1</v>
      </c>
      <c r="K23" s="1">
        <v>25</v>
      </c>
      <c r="L23" s="1">
        <v>0.1</v>
      </c>
      <c r="M23">
        <f>'[4]24根构件 '!$D$13/(0.05*'[4]25根构件 '!$H$13+0.95*'[4]25根构件 '!$D$13)</f>
        <v>0.9884269875097792</v>
      </c>
    </row>
    <row r="24" spans="1:13" x14ac:dyDescent="0.2">
      <c r="A24" s="1">
        <v>25</v>
      </c>
      <c r="B24" s="1">
        <v>0.3</v>
      </c>
      <c r="C24">
        <f>'[3]24根构件 '!$V$13/(0.05*'[3]25根构件 '!$Z$13+0.95*'[3]25根构件 '!$V$13)</f>
        <v>0.99623766839468064</v>
      </c>
      <c r="K24" s="1">
        <v>25</v>
      </c>
      <c r="L24" s="1">
        <v>0.3</v>
      </c>
      <c r="M24">
        <f>'[4]24根构件 '!$V$13/(0.05*'[4]25根构件 '!$Z$13+0.95*'[4]25根构件 '!$V$13)</f>
        <v>1</v>
      </c>
    </row>
    <row r="25" spans="1:13" x14ac:dyDescent="0.2">
      <c r="A25" s="1">
        <v>25</v>
      </c>
      <c r="B25" s="1">
        <v>0.5</v>
      </c>
      <c r="C25">
        <f>'[3]24根构件 '!$D$34/(0.05*'[3]25根构件 '!$H$34+0.95*'[3]25根构件 '!$D$34)</f>
        <v>1.0000000000000002</v>
      </c>
      <c r="K25" s="1">
        <v>25</v>
      </c>
      <c r="L25" s="1">
        <v>0.5</v>
      </c>
      <c r="M25">
        <f>'[4]24根构件 '!$D$34/(0.05*'[4]25根构件 '!$H$34+0.95*'[4]25根构件 '!$D$34)</f>
        <v>0.99581072728521403</v>
      </c>
    </row>
    <row r="26" spans="1:13" x14ac:dyDescent="0.2">
      <c r="A26" s="1">
        <v>25</v>
      </c>
      <c r="B26" s="1">
        <v>0.7</v>
      </c>
      <c r="C26">
        <f>'[3]24根构件 '!$V$34/(0.05*'[3]25根构件 '!$Z$34+0.95*'[3]25根构件 '!$V$34)</f>
        <v>1.0289389067524117</v>
      </c>
      <c r="K26" s="1">
        <v>25</v>
      </c>
      <c r="L26" s="1">
        <v>0.7</v>
      </c>
      <c r="M26">
        <f>'[4]24根构件 '!$V$34/(0.05*'[4]25根构件 '!$Z$34+0.95*'[4]25根构件 '!$V$34)</f>
        <v>0.99673955256906999</v>
      </c>
    </row>
    <row r="27" spans="1:13" x14ac:dyDescent="0.2">
      <c r="A27" s="1">
        <v>25</v>
      </c>
      <c r="B27" s="1">
        <v>0.9</v>
      </c>
      <c r="C27">
        <f>'[3]24根构件 '!$D$54/(0.05*'[3]25根构件 '!$H$54+0.95*'[3]25根构件 '!$D$54)</f>
        <v>0.99893730074388953</v>
      </c>
      <c r="K27" s="1">
        <v>25</v>
      </c>
      <c r="L27" s="1">
        <v>0.9</v>
      </c>
      <c r="M27">
        <f>'[4]24根构件 '!$D$54/(0.05*'[4]25根构件 '!$H$54+0.95*'[4]25根构件 '!$D$54)</f>
        <v>1</v>
      </c>
    </row>
    <row r="28" spans="1:13" x14ac:dyDescent="0.2">
      <c r="A28" s="1">
        <v>29</v>
      </c>
      <c r="B28" s="1">
        <v>0.1</v>
      </c>
      <c r="C28">
        <f>'[3]28根构件'!$D$13/(0.05*'[3]29根构件 '!$H$13+0.95*'[3]29根构件 '!$D$13)</f>
        <v>1.0167839410277497</v>
      </c>
      <c r="K28" s="1">
        <v>29</v>
      </c>
      <c r="L28" s="1">
        <v>0.1</v>
      </c>
      <c r="M28">
        <f>'[4]28根构件'!$D$13/(0.05*'[4]29根构件 '!$H$13+0.95*'[4]29根构件 '!$D$13)</f>
        <v>0.98997595309502595</v>
      </c>
    </row>
    <row r="29" spans="1:13" x14ac:dyDescent="0.2">
      <c r="A29" s="1">
        <v>29</v>
      </c>
      <c r="B29" s="1">
        <v>0.3</v>
      </c>
      <c r="C29">
        <f>'[3]28根构件'!$V$13/(0.05*'[3]29根构件 '!$Z$13+0.95*'[3]29根构件 '!$V$13)</f>
        <v>1.0066206050547508</v>
      </c>
      <c r="K29" s="1">
        <v>29</v>
      </c>
      <c r="L29" s="1">
        <v>0.3</v>
      </c>
      <c r="M29">
        <f>'[4]28根构件'!$V$13/(0.05*'[4]29根构件 '!$Z$13+0.95*'[4]29根构件 '!$V$13)</f>
        <v>1.0215830036190441</v>
      </c>
    </row>
    <row r="30" spans="1:13" x14ac:dyDescent="0.2">
      <c r="A30" s="1">
        <v>29</v>
      </c>
      <c r="B30" s="1">
        <v>0.5</v>
      </c>
      <c r="C30">
        <f>'[3]28根构件'!$D$34/(0.05*'[3]29根构件 '!$H$34+0.95*'[3]29根构件 '!$D$34)</f>
        <v>0.99502487562189057</v>
      </c>
      <c r="K30" s="1">
        <v>29</v>
      </c>
      <c r="L30" s="1">
        <v>0.5</v>
      </c>
      <c r="M30">
        <f>'[4]28根构件'!$D$34/(0.05*'[4]29根构件 '!$H$34+0.95*'[4]29根构件 '!$D$34)</f>
        <v>1.0015852428303791</v>
      </c>
    </row>
    <row r="31" spans="1:13" x14ac:dyDescent="0.2">
      <c r="A31" s="1">
        <v>29</v>
      </c>
      <c r="B31" s="1">
        <v>0.7</v>
      </c>
      <c r="C31">
        <f>'[3]28根构件'!$V$34/(0.05*'[3]29根构件 '!$Z$34+0.95*'[3]29根构件 '!$V$34)</f>
        <v>0.99678456591639875</v>
      </c>
      <c r="K31" s="1">
        <v>29</v>
      </c>
      <c r="L31" s="1">
        <v>0.7</v>
      </c>
      <c r="M31">
        <f>'[4]28根构件'!$V$34/(0.05*'[4]29根构件 '!$Z$34+0.95*'[4]29根构件 '!$V$34)</f>
        <v>0.99880547643113127</v>
      </c>
    </row>
    <row r="32" spans="1:13" x14ac:dyDescent="0.2">
      <c r="A32" s="1">
        <v>29</v>
      </c>
      <c r="B32" s="1">
        <v>0.9</v>
      </c>
      <c r="C32">
        <f>'[3]28根构件'!$D$54/(0.05*'[3]29根构件 '!$H$54+0.95*'[3]29根构件 '!$D$54)</f>
        <v>0.99893730074388953</v>
      </c>
      <c r="K32" s="1">
        <v>29</v>
      </c>
      <c r="L32" s="1">
        <v>0.9</v>
      </c>
      <c r="M32">
        <f>'[4]28根构件'!$D$54/(0.05*'[4]29根构件 '!$H$54+0.95*'[4]29根构件 '!$D$54)</f>
        <v>1</v>
      </c>
    </row>
    <row r="33" spans="1:13" x14ac:dyDescent="0.2">
      <c r="A33" s="1">
        <v>33</v>
      </c>
      <c r="B33" s="1">
        <v>0.1</v>
      </c>
      <c r="C33">
        <f>'[3]32根构件'!$D$13/(0.05*'[3]33根构件 '!$H$13+0.95*'[3]33根构件 '!$D$13)</f>
        <v>1.0273650554824147</v>
      </c>
      <c r="K33" s="1">
        <v>33</v>
      </c>
      <c r="L33" s="1">
        <v>0.1</v>
      </c>
      <c r="M33">
        <f>'[4]32根构件'!$D$13/(0.05*'[4]33根构件 '!$H$13+0.95*'[4]33根构件 '!$D$13)</f>
        <v>0.99061832535755812</v>
      </c>
    </row>
    <row r="34" spans="1:13" x14ac:dyDescent="0.2">
      <c r="A34" s="1">
        <v>33</v>
      </c>
      <c r="B34" s="1">
        <v>0.3</v>
      </c>
      <c r="C34">
        <f>'[3]32根构件'!$V$13/(0.05*'[3]33根构件 '!$Z$13+0.95*'[3]33根构件 '!$V$13)</f>
        <v>1.0020499896560158</v>
      </c>
      <c r="K34" s="1">
        <v>33</v>
      </c>
      <c r="L34" s="1">
        <v>0.3</v>
      </c>
      <c r="M34">
        <f>'[4]32根构件'!$V$13/(0.05*'[4]33根构件 '!$Z$13+0.95*'[4]33根构件 '!$V$13)</f>
        <v>1.0085849792879871</v>
      </c>
    </row>
    <row r="35" spans="1:13" x14ac:dyDescent="0.2">
      <c r="A35" s="1">
        <v>33</v>
      </c>
      <c r="B35" s="1">
        <v>0.5</v>
      </c>
      <c r="C35">
        <f>'[3]32根构件'!$D$34/(0.05*'[3]33根构件 '!$H$34+0.95*'[3]33根构件 '!$D$34)</f>
        <v>0.99502487562189057</v>
      </c>
      <c r="K35" s="1">
        <v>33</v>
      </c>
      <c r="L35" s="1">
        <v>0.5</v>
      </c>
      <c r="M35">
        <f>'[4]32根构件'!$D$34/(0.05*'[4]33根构件 '!$H$34+0.95*'[4]33根构件 '!$D$34)</f>
        <v>0.99777704894136532</v>
      </c>
    </row>
    <row r="36" spans="1:13" x14ac:dyDescent="0.2">
      <c r="A36" s="1">
        <v>33</v>
      </c>
      <c r="B36" s="1">
        <v>0.7</v>
      </c>
      <c r="C36">
        <f>'[3]32根构件'!$V$34/(0.05*'[3]33根构件 '!$Z$34+0.95*'[3]33根构件 '!$V$34)</f>
        <v>0.99838969404186806</v>
      </c>
      <c r="K36" s="1">
        <v>33</v>
      </c>
      <c r="L36" s="1">
        <v>0.7</v>
      </c>
      <c r="M36">
        <f>'[4]32根构件'!$V$34/(0.05*'[4]33根构件 '!$Z$34+0.95*'[4]33根构件 '!$V$34)</f>
        <v>1.0004267398927587</v>
      </c>
    </row>
    <row r="37" spans="1:13" x14ac:dyDescent="0.2">
      <c r="A37" s="1">
        <v>33</v>
      </c>
      <c r="B37" s="1">
        <v>0.9</v>
      </c>
      <c r="C37">
        <f>'[3]32根构件'!$D$54/(0.05*'[3]33根构件 '!$H$54+0.95*'[3]33根构件 '!$D$54)</f>
        <v>0.99946836788942051</v>
      </c>
      <c r="K37" s="1">
        <v>33</v>
      </c>
      <c r="L37" s="1">
        <v>0.9</v>
      </c>
      <c r="M37">
        <f>'[4]32根构件'!$D$54/(0.05*'[4]33根构件 '!$H$54+0.95*'[4]33根构件 '!$D$54)</f>
        <v>1</v>
      </c>
    </row>
    <row r="38" spans="1:13" x14ac:dyDescent="0.2">
      <c r="A38" s="1">
        <v>37</v>
      </c>
      <c r="B38" s="1">
        <v>0.1</v>
      </c>
      <c r="C38">
        <f>'[3]36根构件 '!$D$13/(0.05*'[3]37根构件  '!$H$13+0.95*'[3]37根构件  '!$D$13)</f>
        <v>1.015069661643446</v>
      </c>
      <c r="K38" s="1">
        <v>37</v>
      </c>
      <c r="L38" s="1">
        <v>0.1</v>
      </c>
      <c r="M38">
        <f>'[4]36根构件 '!$D$13/(0.05*'[4]37根构件  '!$H$13+0.95*'[4]37根构件  '!$D$13)</f>
        <v>1</v>
      </c>
    </row>
    <row r="39" spans="1:13" x14ac:dyDescent="0.2">
      <c r="A39" s="1">
        <v>37</v>
      </c>
      <c r="B39" s="1">
        <v>0.3</v>
      </c>
      <c r="C39">
        <f>'[3]36根构件 '!$V$13/(0.05*'[3]37根构件  '!$Z$13+0.95*'[3]37根构件  '!$V$13)</f>
        <v>0.99786796619203522</v>
      </c>
      <c r="K39" s="1">
        <v>37</v>
      </c>
      <c r="L39" s="1">
        <v>0.3</v>
      </c>
      <c r="M39">
        <f>'[4]36根构件 '!$V$13/(0.05*'[4]37根构件  '!$Z$13+0.95*'[4]37根构件  '!$V$13)</f>
        <v>0.98729508196721327</v>
      </c>
    </row>
    <row r="40" spans="1:13" x14ac:dyDescent="0.2">
      <c r="A40" s="1">
        <v>37</v>
      </c>
      <c r="B40" s="1">
        <v>0.5</v>
      </c>
      <c r="C40">
        <f>'[3]36根构件 '!$D$34/(0.05*'[3]37根构件  '!$H$34+0.95*'[3]37根构件  '!$D$34)</f>
        <v>0.99502487562189057</v>
      </c>
      <c r="K40" s="1">
        <v>37</v>
      </c>
      <c r="L40" s="1">
        <v>0.5</v>
      </c>
      <c r="M40">
        <f>'[4]36根构件 '!$D$34/(0.05*'[4]37根构件  '!$H$34+0.95*'[4]37根构件  '!$D$34)</f>
        <v>1.0026580035440047</v>
      </c>
    </row>
    <row r="41" spans="1:13" x14ac:dyDescent="0.2">
      <c r="A41" s="1">
        <v>37</v>
      </c>
      <c r="B41" s="1">
        <v>0.7</v>
      </c>
      <c r="C41">
        <f>'[3]36根构件 '!$V$34/(0.05*'[3]37根构件  '!$Z$34+0.95*'[3]37根构件  '!$V$34)</f>
        <v>0.99838969404186806</v>
      </c>
      <c r="K41" s="1">
        <v>37</v>
      </c>
      <c r="L41" s="1">
        <v>0.7</v>
      </c>
      <c r="M41">
        <f>'[4]36根构件 '!$V$34/(0.05*'[4]37根构件  '!$Z$34+0.95*'[4]37根构件  '!$V$34)</f>
        <v>0.99938447764534721</v>
      </c>
    </row>
    <row r="42" spans="1:13" x14ac:dyDescent="0.2">
      <c r="A42" s="1">
        <v>37</v>
      </c>
      <c r="B42" s="1">
        <v>0.9</v>
      </c>
      <c r="C42">
        <f>'[3]36根构件 '!$D$54/(0.05*'[3]37根构件  '!$H$54+0.95*'[3]37根构件  '!$D$54)</f>
        <v>0.9989258861439313</v>
      </c>
      <c r="K42" s="1">
        <v>37</v>
      </c>
      <c r="L42" s="1">
        <v>0.9</v>
      </c>
      <c r="M42">
        <f>'[4]36根构件 '!$D$54/(0.05*'[4]37根构件  '!$H$54+0.95*'[4]37根构件  '!$D$54)</f>
        <v>1</v>
      </c>
    </row>
    <row r="43" spans="1:13" x14ac:dyDescent="0.2">
      <c r="A43" s="1">
        <v>41</v>
      </c>
      <c r="B43" s="1">
        <v>0.1</v>
      </c>
      <c r="C43">
        <f>'[3]40根构件  '!$D$13/(0.05*'[3]41根构件  '!$H$13+0.95*'[3]41根构件  '!$D$13)</f>
        <v>1.0072986703548001</v>
      </c>
      <c r="K43" s="1">
        <v>41</v>
      </c>
      <c r="L43" s="1">
        <v>0.1</v>
      </c>
      <c r="M43">
        <f>'[4]40根构件  '!$D$13/(0.05*'[4]41根构件  '!$H$13+0.95*'[4]41根构件  '!$D$13)</f>
        <v>0.9928732081402597</v>
      </c>
    </row>
    <row r="44" spans="1:13" x14ac:dyDescent="0.2">
      <c r="A44" s="1">
        <v>41</v>
      </c>
      <c r="B44" s="1">
        <v>0.3</v>
      </c>
      <c r="C44">
        <f>'[3]40根构件  '!$V$13/(0.05*'[3]41根构件  '!$Z$13+0.95*'[3]41根构件  '!$V$13)</f>
        <v>1.0155855260600877</v>
      </c>
      <c r="K44" s="1">
        <v>41</v>
      </c>
      <c r="L44" s="1">
        <v>0.3</v>
      </c>
      <c r="M44">
        <f>'[4]40根构件  '!$V$13/(0.05*'[4]41根构件  '!$Z$13+0.95*'[4]41根构件  '!$V$13)</f>
        <v>1.0000425731193323</v>
      </c>
    </row>
    <row r="45" spans="1:13" x14ac:dyDescent="0.2">
      <c r="A45" s="1">
        <v>41</v>
      </c>
      <c r="B45" s="1">
        <v>0.5</v>
      </c>
      <c r="C45">
        <f>'[3]40根构件  '!$D$34/(0.05*'[3]41根构件  '!$H$34+0.95*'[3]41根构件  '!$D$34)</f>
        <v>1</v>
      </c>
      <c r="K45" s="1">
        <v>41</v>
      </c>
      <c r="L45" s="1">
        <v>0.5</v>
      </c>
      <c r="M45">
        <f>'[4]40根构件  '!$D$34/(0.05*'[4]41根构件  '!$H$34+0.95*'[4]41根构件  '!$D$34)</f>
        <v>1.0000375107843502</v>
      </c>
    </row>
    <row r="46" spans="1:13" x14ac:dyDescent="0.2">
      <c r="A46" s="1">
        <v>41</v>
      </c>
      <c r="B46" s="1">
        <v>0.7</v>
      </c>
      <c r="C46">
        <f>'[3]40根构件  '!$V$34/(0.05*'[3]41根构件  '!$Z$34+0.95*'[3]41根构件  '!$V$34)</f>
        <v>0.99833610648918458</v>
      </c>
      <c r="K46" s="1">
        <v>41</v>
      </c>
      <c r="L46" s="1">
        <v>0.7</v>
      </c>
      <c r="M46">
        <f>'[4]40根构件  '!$V$34/(0.05*'[4]41根构件  '!$Z$34+0.95*'[4]41根构件  '!$V$34)</f>
        <v>0.99855336577301002</v>
      </c>
    </row>
    <row r="47" spans="1:13" x14ac:dyDescent="0.2">
      <c r="A47" s="1">
        <v>41</v>
      </c>
      <c r="B47" s="1">
        <v>0.9</v>
      </c>
      <c r="C47">
        <f>'[3]40根构件  '!$D$54/(0.05*'[3]41根构件  '!$H$54+0.95*'[3]41根构件  '!$D$54)</f>
        <v>0.99946265448683502</v>
      </c>
      <c r="K47" s="1">
        <v>41</v>
      </c>
      <c r="L47" s="1">
        <v>0.9</v>
      </c>
      <c r="M47">
        <f>'[4]40根构件  '!$D$54/(0.05*'[4]41根构件  '!$H$54+0.95*'[4]41根构件  '!$D$54)</f>
        <v>1</v>
      </c>
    </row>
    <row r="48" spans="1:13" x14ac:dyDescent="0.2">
      <c r="A48" s="1">
        <v>45</v>
      </c>
      <c r="B48" s="1">
        <v>0.1</v>
      </c>
      <c r="C48">
        <f>'[3]44根构件 '!$D$13/(0.05*'[3]45根构件  '!$H$13+0.95*'[3]45根构件  '!$D$13)</f>
        <v>1.0021798827959121</v>
      </c>
      <c r="K48" s="1">
        <v>45</v>
      </c>
      <c r="L48" s="1">
        <v>0.1</v>
      </c>
      <c r="M48">
        <f>'[4]44根构件 '!$D$13/(0.05*'[4]45根构件  '!$H$13+0.95*'[4]45根构件  '!$D$13)</f>
        <v>1</v>
      </c>
    </row>
    <row r="49" spans="1:13" x14ac:dyDescent="0.2">
      <c r="A49" s="1">
        <v>45</v>
      </c>
      <c r="B49" s="1">
        <v>0.3</v>
      </c>
      <c r="C49">
        <f>'[3]44根构件 '!$V$13/(0.05*'[3]45根构件  '!$Z$13+0.95*'[3]45根构件  '!$V$13)</f>
        <v>1.0010730040138298</v>
      </c>
      <c r="K49" s="1">
        <v>45</v>
      </c>
      <c r="L49" s="1">
        <v>0.3</v>
      </c>
      <c r="M49">
        <f>'[4]44根构件 '!$V$13/(0.05*'[4]45根构件  '!$Z$13+0.95*'[4]45根构件  '!$V$13)</f>
        <v>0.99823359613976137</v>
      </c>
    </row>
    <row r="50" spans="1:13" x14ac:dyDescent="0.2">
      <c r="A50" s="1">
        <v>45</v>
      </c>
      <c r="B50" s="1">
        <v>0.5</v>
      </c>
      <c r="C50">
        <f>'[3]44根构件 '!$D$34/(0.05*'[3]45根构件  '!$H$34+0.95*'[3]45根构件  '!$D$34)</f>
        <v>1.0032404667074653</v>
      </c>
      <c r="K50" s="1">
        <v>45</v>
      </c>
      <c r="L50" s="1">
        <v>0.5</v>
      </c>
      <c r="M50">
        <f>'[4]44根构件 '!$D$34/(0.05*'[4]45根构件  '!$H$34+0.95*'[4]45根构件  '!$D$34)</f>
        <v>0.99804010251771469</v>
      </c>
    </row>
    <row r="51" spans="1:13" x14ac:dyDescent="0.2">
      <c r="A51" s="1">
        <v>45</v>
      </c>
      <c r="B51" s="1">
        <v>0.7</v>
      </c>
      <c r="C51">
        <f>'[3]44根构件 '!$V$34/(0.05*'[3]45根构件  '!$Z$34+0.95*'[3]45根构件  '!$V$34)</f>
        <v>0.99833610648918458</v>
      </c>
      <c r="K51" s="1">
        <v>45</v>
      </c>
      <c r="L51" s="1">
        <v>0.7</v>
      </c>
      <c r="M51">
        <f>'[4]44根构件 '!$V$34/(0.05*'[4]45根构件  '!$Z$34+0.95*'[4]45根构件  '!$V$34)</f>
        <v>0.99965991535671095</v>
      </c>
    </row>
    <row r="52" spans="1:13" x14ac:dyDescent="0.2">
      <c r="A52" s="1">
        <v>45</v>
      </c>
      <c r="B52" s="1">
        <v>0.9</v>
      </c>
      <c r="C52">
        <f>'[3]44根构件 '!$D$54/(0.05*'[3]45根构件  '!$H$54+0.95*'[3]45根构件  '!$D$54)</f>
        <v>0.99978499247473662</v>
      </c>
      <c r="K52" s="1">
        <v>45</v>
      </c>
      <c r="L52" s="1">
        <v>0.9</v>
      </c>
      <c r="M52">
        <f>'[4]44根构件 '!$D$54/(0.05*'[4]45根构件  '!$H$54+0.95*'[4]45根构件  '!$D$54)</f>
        <v>1</v>
      </c>
    </row>
    <row r="53" spans="1:13" x14ac:dyDescent="0.2">
      <c r="A53" s="1">
        <v>49</v>
      </c>
      <c r="B53" s="1">
        <v>0.1</v>
      </c>
      <c r="C53">
        <f>'[3]48根构件 '!$D$13/(0.05*'[3]49根构件  '!$H$13+0.95*'[3]49根构件  '!$D$13)</f>
        <v>0.99900646517588465</v>
      </c>
      <c r="K53" s="1">
        <v>49</v>
      </c>
      <c r="L53" s="1">
        <v>0.1</v>
      </c>
      <c r="M53">
        <f>'[4]48根构件 '!$D$13/(0.05*'[4]49根构件  '!$H$13+0.95*'[4]49根构件  '!$D$13)</f>
        <v>0.99403147042864892</v>
      </c>
    </row>
    <row r="54" spans="1:13" x14ac:dyDescent="0.2">
      <c r="A54" s="1">
        <v>49</v>
      </c>
      <c r="B54" s="1">
        <v>0.3</v>
      </c>
      <c r="C54">
        <f>'[3]48根构件 '!$V$13/(0.05*'[3]49根构件  '!$Z$13+0.95*'[3]49根构件  '!$V$13)</f>
        <v>0.99807676897187292</v>
      </c>
      <c r="K54" s="1">
        <v>49</v>
      </c>
      <c r="L54" s="1">
        <v>0.3</v>
      </c>
      <c r="M54">
        <f>'[4]48根构件 '!$V$13/(0.05*'[4]49根构件  '!$Z$13+0.95*'[4]49根构件  '!$V$13)</f>
        <v>0.99725030852837393</v>
      </c>
    </row>
    <row r="55" spans="1:13" x14ac:dyDescent="0.2">
      <c r="A55" s="1">
        <v>49</v>
      </c>
      <c r="B55" s="1">
        <v>0.5</v>
      </c>
      <c r="C55">
        <f>'[3]48根构件 '!$D$34/(0.05*'[3]49根构件  '!$H$34+0.95*'[3]49根构件  '!$D$34)</f>
        <v>1.0008083257552793</v>
      </c>
      <c r="K55" s="1">
        <v>49</v>
      </c>
      <c r="L55" s="1">
        <v>0.5</v>
      </c>
      <c r="M55">
        <f>'[4]48根构件 '!$D$34/(0.05*'[4]49根构件  '!$H$34+0.95*'[4]49根构件  '!$D$34)</f>
        <v>1.0005711022272985</v>
      </c>
    </row>
    <row r="56" spans="1:13" x14ac:dyDescent="0.2">
      <c r="A56" s="1">
        <v>49</v>
      </c>
      <c r="B56" s="1">
        <v>0.7</v>
      </c>
      <c r="C56">
        <f>'[3]48根构件 '!$V$34/(0.05*'[3]49根构件  '!$Z$34+0.95*'[3]49根构件  '!$V$34)</f>
        <v>0.99833610648918458</v>
      </c>
      <c r="K56" s="1">
        <v>49</v>
      </c>
      <c r="L56" s="1">
        <v>0.7</v>
      </c>
      <c r="M56">
        <f>'[4]48根构件 '!$V$34/(0.05*'[4]49根构件  '!$Z$34+0.95*'[4]49根构件  '!$V$34)</f>
        <v>1.0001800930796865</v>
      </c>
    </row>
    <row r="57" spans="1:13" x14ac:dyDescent="0.2">
      <c r="A57" s="1">
        <v>49</v>
      </c>
      <c r="B57" s="1">
        <v>0.9</v>
      </c>
      <c r="C57">
        <f>'[3]48根构件 '!$D$54/(0.05*'[3]49根构件  '!$H$54+0.95*'[3]49根构件  '!$D$54)</f>
        <v>0.99946265448683502</v>
      </c>
      <c r="K57" s="1">
        <v>49</v>
      </c>
      <c r="L57" s="1">
        <v>0.9</v>
      </c>
      <c r="M57">
        <f>'[4]48根构件 '!$D$54/(0.05*'[4]49根构件  '!$H$54+0.95*'[4]49根构件  '!$D$54)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wurenbin</dc:creator>
  <cp:lastModifiedBy>仁彬 吴</cp:lastModifiedBy>
  <dcterms:created xsi:type="dcterms:W3CDTF">2015-06-05T18:19:34Z</dcterms:created>
  <dcterms:modified xsi:type="dcterms:W3CDTF">2026-07-02T17:03:53Z</dcterms:modified>
</cp:coreProperties>
</file>