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串联单参数" sheetId="1" r:id="rId1"/>
  </sheets>
  <definedNames>
    <definedName name="_xlnm._FilterDatabase" localSheetId="0" hidden="1">串联单参数!$A$2:$X$28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<sst xmlns="http://schemas.openxmlformats.org/spreadsheetml/2006/main" count="100" uniqueCount="56">
  <si>
    <t>串联系统中单参数影响（按原文参数）</t>
  </si>
  <si>
    <t>工况ID</t>
  </si>
  <si>
    <t>单参数项目</t>
  </si>
  <si>
    <t>变化参数取值</t>
  </si>
  <si>
    <t>构件总数 n</t>
  </si>
  <si>
    <t>潜在脆性构件数 n1</t>
  </si>
  <si>
    <t>可靠指标 β</t>
  </si>
  <si>
    <t>相关系数 ρ</t>
  </si>
  <si>
    <t>脆性发生概率 Pbi</t>
  </si>
  <si>
    <r>
      <t>原系统</t>
    </r>
    <r>
      <rPr>
        <b/>
        <sz val="11"/>
        <color rgb="FFFFFFFF"/>
        <rFont val="Calibri"/>
        <charset val="134"/>
      </rPr>
      <t xml:space="preserve">Pf(S) </t>
    </r>
    <r>
      <rPr>
        <b/>
        <sz val="11"/>
        <color rgb="FFFFFFFF"/>
        <rFont val="宋体"/>
        <charset val="134"/>
      </rPr>
      <t>下界</t>
    </r>
  </si>
  <si>
    <r>
      <t>原系统</t>
    </r>
    <r>
      <rPr>
        <b/>
        <sz val="11"/>
        <color rgb="FFFFFFFF"/>
        <rFont val="Calibri"/>
        <charset val="134"/>
      </rPr>
      <t xml:space="preserve">Pf(S) </t>
    </r>
    <r>
      <rPr>
        <b/>
        <sz val="11"/>
        <color rgb="FFFFFFFF"/>
        <rFont val="宋体"/>
        <charset val="134"/>
      </rPr>
      <t>上界</t>
    </r>
  </si>
  <si>
    <r>
      <t>完全可靠后</t>
    </r>
    <r>
      <rPr>
        <b/>
        <sz val="11"/>
        <color rgb="FFFFFFFF"/>
        <rFont val="Calibri"/>
        <charset val="134"/>
      </rPr>
      <t xml:space="preserve">Pf(S_i+) </t>
    </r>
    <r>
      <rPr>
        <b/>
        <sz val="11"/>
        <color rgb="FFFFFFFF"/>
        <rFont val="宋体"/>
        <charset val="134"/>
      </rPr>
      <t>下界</t>
    </r>
  </si>
  <si>
    <r>
      <t>完全可靠后</t>
    </r>
    <r>
      <rPr>
        <b/>
        <sz val="11"/>
        <color rgb="FFFFFFFF"/>
        <rFont val="Calibri"/>
        <charset val="134"/>
      </rPr>
      <t xml:space="preserve">Pf(S_i+) </t>
    </r>
    <r>
      <rPr>
        <b/>
        <sz val="11"/>
        <color rgb="FFFFFFFF"/>
        <rFont val="宋体"/>
        <charset val="134"/>
      </rPr>
      <t>上界</t>
    </r>
  </si>
  <si>
    <t>RRW 下界</t>
  </si>
  <si>
    <t>RRW 上界</t>
  </si>
  <si>
    <t>RRW 均值</t>
  </si>
  <si>
    <r>
      <t>去掉构件后</t>
    </r>
    <r>
      <rPr>
        <b/>
        <sz val="11"/>
        <color rgb="FFFFFFFF"/>
        <rFont val="Calibri"/>
        <charset val="134"/>
      </rPr>
      <t xml:space="preserve">Pf(S_-i) </t>
    </r>
    <r>
      <rPr>
        <b/>
        <sz val="11"/>
        <color rgb="FFFFFFFF"/>
        <rFont val="宋体"/>
        <charset val="134"/>
      </rPr>
      <t>下界</t>
    </r>
  </si>
  <si>
    <r>
      <t>去掉构件后</t>
    </r>
    <r>
      <rPr>
        <b/>
        <sz val="11"/>
        <color rgb="FFFFFFFF"/>
        <rFont val="Calibri"/>
        <charset val="134"/>
      </rPr>
      <t xml:space="preserve">Pf(S_-i) </t>
    </r>
    <r>
      <rPr>
        <b/>
        <sz val="11"/>
        <color rgb="FFFFFFFF"/>
        <rFont val="宋体"/>
        <charset val="134"/>
      </rPr>
      <t>上界</t>
    </r>
  </si>
  <si>
    <r>
      <t xml:space="preserve">RAW </t>
    </r>
    <r>
      <rPr>
        <b/>
        <sz val="11"/>
        <color rgb="FFFFFFFF"/>
        <rFont val="宋体"/>
        <charset val="134"/>
      </rPr>
      <t>下界</t>
    </r>
  </si>
  <si>
    <r>
      <t xml:space="preserve">RAW </t>
    </r>
    <r>
      <rPr>
        <b/>
        <sz val="11"/>
        <color rgb="FFFFFFFF"/>
        <rFont val="宋体"/>
        <charset val="134"/>
      </rPr>
      <t>上界</t>
    </r>
  </si>
  <si>
    <r>
      <t xml:space="preserve">RAW </t>
    </r>
    <r>
      <rPr>
        <b/>
        <sz val="11"/>
        <color rgb="FFFFFFFF"/>
        <rFont val="宋体"/>
        <charset val="134"/>
      </rPr>
      <t>均值</t>
    </r>
  </si>
  <si>
    <t>论文参数设定</t>
  </si>
  <si>
    <t>SP-RHO-01</t>
  </si>
  <si>
    <t>相关系数ρ</t>
  </si>
  <si>
    <t>固定n=8、n1=1、β=3.0、Pbi=0.2；对应毕业论文图2.6</t>
  </si>
  <si>
    <t>SP-RHO-02</t>
  </si>
  <si>
    <t>SP-RHO-03</t>
  </si>
  <si>
    <t>SP-RHO-04</t>
  </si>
  <si>
    <t>SP-RHO-05</t>
  </si>
  <si>
    <t>SP-N-01</t>
  </si>
  <si>
    <t>构件总数n</t>
  </si>
  <si>
    <t>固定n1=1、β=3.0、ρ=0.1、Pbi=0.2；对应毕业论文图2.7</t>
  </si>
  <si>
    <t>SP-N-02</t>
  </si>
  <si>
    <t>SP-N-03</t>
  </si>
  <si>
    <t>SP-N-04</t>
  </si>
  <si>
    <t>SP-N-05</t>
  </si>
  <si>
    <t>SP-N-06</t>
  </si>
  <si>
    <t>SP-N-07</t>
  </si>
  <si>
    <t>SP-N-08</t>
  </si>
  <si>
    <t>SP-N-09</t>
  </si>
  <si>
    <t>SP-N-10</t>
  </si>
  <si>
    <t>SP-N-11</t>
  </si>
  <si>
    <t>SP-BETA-01</t>
  </si>
  <si>
    <t>可靠指标β</t>
  </si>
  <si>
    <t>固定n=10、n1=1、ρ=0.1、Pbi=0.2；对应毕业论文图2.8</t>
  </si>
  <si>
    <t>SP-BETA-02</t>
  </si>
  <si>
    <t>SP-BETA-03</t>
  </si>
  <si>
    <t>SP-BETA-04</t>
  </si>
  <si>
    <t>SP-BETA-05</t>
  </si>
  <si>
    <t>SP-BETA-06</t>
  </si>
  <si>
    <t>SP-BETA-07</t>
  </si>
  <si>
    <t>SP-N1-01</t>
  </si>
  <si>
    <t>潜在脆性构件数n1</t>
  </si>
  <si>
    <t>固定n=8、β=3.0、ρ=0.1、Pbi=0.2；对应毕业论文图2.9</t>
  </si>
  <si>
    <t>SP-N1-02</t>
  </si>
  <si>
    <t>SP-N1-03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</si>
</sst>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4">
    <font>
      <sz val="11"/>
      <name val="Calibri"/>
      <charset val="134"/>
    </font>
    <font>
      <b/>
      <sz val="16"/>
      <color rgb="FFFFFFFF"/>
      <name val="宋体"/>
      <charset val="134"/>
    </font>
    <font>
      <b/>
      <sz val="11"/>
      <color rgb="FFFFFFFF"/>
      <name val="Calibri"/>
      <charset val="134"/>
    </font>
    <font>
      <b/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008C9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vertical="top" wrapText="1"/>
    </xf>
    <xf numFmtId="176" fontId="0" fillId="7" borderId="1" xfId="0" applyNumberFormat="1" applyFill="1" applyBorder="1" applyAlignment="1">
      <alignment horizontal="center" vertical="center"/>
    </xf>
    <xf numFmtId="176" fontId="0" fillId="7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"/>
  <sheetViews>
    <sheetView showGridLines="0" tabSelected="1" workbookViewId="0">
      <pane ySplit="2" topLeftCell="A13" activePane="bottomLeft" state="frozen"/>
      <selection/>
      <selection pane="bottomLeft" activeCell="M2" sqref="M2"/>
    </sheetView>
  </sheetViews>
  <sheetFormatPr defaultColWidth="9" defaultRowHeight="14.4"/>
  <cols>
    <col min="1" max="1" width="14" customWidth="1"/>
    <col min="2" max="2" width="20" customWidth="1"/>
    <col min="3" max="3" width="16" customWidth="1"/>
    <col min="4" max="4" width="12" customWidth="1"/>
    <col min="5" max="5" width="17" customWidth="1"/>
    <col min="6" max="7" width="13" customWidth="1"/>
    <col min="8" max="8" width="17" customWidth="1"/>
    <col min="9" max="10" width="15" customWidth="1"/>
    <col min="11" max="12" width="17" customWidth="1"/>
    <col min="13" max="13" width="14" customWidth="1"/>
    <col min="14" max="14" width="16" customWidth="1"/>
    <col min="15" max="17" width="14" customWidth="1"/>
    <col min="18" max="19" width="17" customWidth="1"/>
    <col min="20" max="22" width="16" customWidth="1"/>
    <col min="23" max="23" width="0.111111111111111" customWidth="1"/>
    <col min="24" max="24" width="48" customWidth="1"/>
  </cols>
  <sheetData>
    <row r="1" ht="30" customHeight="1" spans="1:24">
      <c r="A1" s="1" t="s">
        <v>0</v>
      </c>
    </row>
    <row r="2" ht="38" customHeight="1" spans="1:2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/>
      <c r="N2" s="4"/>
      <c r="O2" s="5" t="s">
        <v>13</v>
      </c>
      <c r="P2" s="5" t="s">
        <v>14</v>
      </c>
      <c r="Q2" s="5" t="s">
        <v>15</v>
      </c>
      <c r="R2" s="3" t="s">
        <v>16</v>
      </c>
      <c r="S2" s="3" t="s">
        <v>17</v>
      </c>
      <c r="T2" s="6" t="s">
        <v>18</v>
      </c>
      <c r="U2" s="6" t="s">
        <v>19</v>
      </c>
      <c r="V2" s="6" t="s">
        <v>20</v>
      </c>
      <c r="W2" s="5"/>
      <c r="X2" s="2" t="s">
        <v>21</v>
      </c>
    </row>
    <row r="3" ht="31" customHeight="1" spans="1:24">
      <c r="A3" s="7" t="s">
        <v>22</v>
      </c>
      <c r="B3" s="7" t="s">
        <v>23</v>
      </c>
      <c r="C3" s="8">
        <v>0.1</v>
      </c>
      <c r="D3" s="8">
        <v>8</v>
      </c>
      <c r="E3" s="8">
        <v>1</v>
      </c>
      <c r="F3" s="8">
        <v>3</v>
      </c>
      <c r="G3" s="8">
        <v>0.1</v>
      </c>
      <c r="H3" s="8">
        <v>0.2</v>
      </c>
      <c r="I3" s="9"/>
      <c r="J3" s="9"/>
      <c r="K3" s="9"/>
      <c r="L3" s="9"/>
      <c r="M3" s="9"/>
      <c r="N3" s="9"/>
      <c r="O3" s="10" t="str">
        <f t="shared" ref="O3:O28" si="0">IFERROR(I3/L3,"")</f>
        <v/>
      </c>
      <c r="P3" s="10" t="str">
        <f t="shared" ref="P3:P28" si="1">IFERROR(J3/K3,"")</f>
        <v/>
      </c>
      <c r="Q3" s="10" t="str">
        <f>IF(COUNT(O3:P3)=2,AVERAGE(O3:P3),"")</f>
      </c>
      <c r="R3" s="9"/>
      <c r="S3" s="9"/>
      <c r="T3" s="10" t="str">
        <f t="shared" ref="T3:T28" si="3">IFERROR(R3/J3,"")</f>
        <v/>
      </c>
      <c r="U3" s="10" t="str">
        <f t="shared" ref="U3:U28" si="4">IFERROR(S3/I3,"")</f>
        <v/>
      </c>
      <c r="V3" s="10" t="str">
        <f>IF(COUNT(T3:U3)=2,AVERAGE(T3:U3),"")</f>
      </c>
      <c r="W3" s="11">
        <f>IF(COUNT(I3:L3)+COUNT(R3:S3)&lt;6,"待导师填写",IF(AND(I3&gt;=0,J3&lt;=1,K3&gt;=0,L3&lt;=1,R3&gt;=0,S3&lt;=1,I3&lt;=J3,K3&lt;=L3,R3&lt;=S3,O3&lt;=P3,T3&lt;=U3,Q3&gt;=1),"通过","检查"))</f>
      </c>
      <c r="X3" s="12" t="s">
        <v>24</v>
      </c>
    </row>
    <row r="4" ht="31" customHeight="1" spans="1:24">
      <c r="A4" s="7" t="s">
        <v>25</v>
      </c>
      <c r="B4" s="7" t="s">
        <v>23</v>
      </c>
      <c r="C4" s="8">
        <v>0.3</v>
      </c>
      <c r="D4" s="8">
        <v>8</v>
      </c>
      <c r="E4" s="8">
        <v>1</v>
      </c>
      <c r="F4" s="8">
        <v>3</v>
      </c>
      <c r="G4" s="8">
        <v>0.3</v>
      </c>
      <c r="H4" s="8">
        <v>0.2</v>
      </c>
      <c r="I4" s="9"/>
      <c r="J4" s="9"/>
      <c r="K4" s="9"/>
      <c r="L4" s="9"/>
      <c r="M4" s="9"/>
      <c r="N4" s="9"/>
      <c r="O4" s="10" t="str">
        <f t="shared" si="0"/>
        <v/>
      </c>
      <c r="P4" s="10" t="str">
        <f t="shared" si="1"/>
        <v/>
      </c>
      <c r="Q4" s="10" t="str">
        <f>IF(COUNT(O4:P4)=2,AVERAGE(O4:P4),"")</f>
      </c>
      <c r="R4" s="9"/>
      <c r="S4" s="9"/>
      <c r="T4" s="10" t="str">
        <f t="shared" si="3"/>
        <v/>
      </c>
      <c r="U4" s="10" t="str">
        <f t="shared" si="4"/>
        <v/>
      </c>
      <c r="V4" s="10" t="str">
        <f>IF(COUNT(T4:U4)=2,AVERAGE(T4:U4),"")</f>
      </c>
      <c r="W4" s="11">
        <f>IF(COUNT(I4:L4)+COUNT(R4:S4)&lt;6,"待导师填写",IF(AND(I4&gt;=0,J4&lt;=1,K4&gt;=0,L4&lt;=1,R4&gt;=0,S4&lt;=1,I4&lt;=J4,K4&lt;=L4,R4&lt;=S4,O4&lt;=P4,T4&lt;=U4,Q4&gt;=1),"通过","检查"))</f>
      </c>
      <c r="X4" s="12" t="s">
        <v>24</v>
      </c>
    </row>
    <row r="5" ht="31" customHeight="1" spans="1:24">
      <c r="A5" s="7" t="s">
        <v>26</v>
      </c>
      <c r="B5" s="7" t="s">
        <v>23</v>
      </c>
      <c r="C5" s="8">
        <v>0.5</v>
      </c>
      <c r="D5" s="8">
        <v>8</v>
      </c>
      <c r="E5" s="8">
        <v>1</v>
      </c>
      <c r="F5" s="8">
        <v>3</v>
      </c>
      <c r="G5" s="8">
        <v>0.5</v>
      </c>
      <c r="H5" s="8">
        <v>0.2</v>
      </c>
      <c r="I5" s="9"/>
      <c r="J5" s="9"/>
      <c r="K5" s="9"/>
      <c r="L5" s="9"/>
      <c r="M5" s="9"/>
      <c r="N5" s="9"/>
      <c r="O5" s="10" t="str">
        <f t="shared" si="0"/>
        <v/>
      </c>
      <c r="P5" s="10" t="str">
        <f t="shared" si="1"/>
        <v/>
      </c>
      <c r="Q5" s="10" t="str">
        <f>IF(COUNT(O5:P5)=2,AVERAGE(O5:P5),"")</f>
      </c>
      <c r="R5" s="9"/>
      <c r="S5" s="9"/>
      <c r="T5" s="10" t="str">
        <f t="shared" si="3"/>
        <v/>
      </c>
      <c r="U5" s="10" t="str">
        <f t="shared" si="4"/>
        <v/>
      </c>
      <c r="V5" s="10" t="str">
        <f>IF(COUNT(T5:U5)=2,AVERAGE(T5:U5),"")</f>
      </c>
      <c r="W5" s="11">
        <f>IF(COUNT(I5:L5)+COUNT(R5:S5)&lt;6,"待导师填写",IF(AND(I5&gt;=0,J5&lt;=1,K5&gt;=0,L5&lt;=1,R5&gt;=0,S5&lt;=1,I5&lt;=J5,K5&lt;=L5,R5&lt;=S5,O5&lt;=P5,T5&lt;=U5,Q5&gt;=1),"通过","检查"))</f>
      </c>
      <c r="X5" s="12" t="s">
        <v>24</v>
      </c>
    </row>
    <row r="6" ht="31" customHeight="1" spans="1:24">
      <c r="A6" s="7" t="s">
        <v>27</v>
      </c>
      <c r="B6" s="7" t="s">
        <v>23</v>
      </c>
      <c r="C6" s="8">
        <v>0.7</v>
      </c>
      <c r="D6" s="8">
        <v>8</v>
      </c>
      <c r="E6" s="8">
        <v>1</v>
      </c>
      <c r="F6" s="8">
        <v>3</v>
      </c>
      <c r="G6" s="8">
        <v>0.7</v>
      </c>
      <c r="H6" s="8">
        <v>0.2</v>
      </c>
      <c r="I6" s="9"/>
      <c r="J6" s="9"/>
      <c r="K6" s="9"/>
      <c r="L6" s="9"/>
      <c r="M6" s="9"/>
      <c r="N6" s="9"/>
      <c r="O6" s="10" t="str">
        <f t="shared" si="0"/>
        <v/>
      </c>
      <c r="P6" s="10" t="str">
        <f t="shared" si="1"/>
        <v/>
      </c>
      <c r="Q6" s="10" t="str">
        <f>IF(COUNT(O6:P6)=2,AVERAGE(O6:P6),"")</f>
      </c>
      <c r="R6" s="9"/>
      <c r="S6" s="9"/>
      <c r="T6" s="10" t="str">
        <f t="shared" si="3"/>
        <v/>
      </c>
      <c r="U6" s="10" t="str">
        <f t="shared" si="4"/>
        <v/>
      </c>
      <c r="V6" s="10" t="str">
        <f>IF(COUNT(T6:U6)=2,AVERAGE(T6:U6),"")</f>
      </c>
      <c r="W6" s="11">
        <f>IF(COUNT(I6:L6)+COUNT(R6:S6)&lt;6,"待导师填写",IF(AND(I6&gt;=0,J6&lt;=1,K6&gt;=0,L6&lt;=1,R6&gt;=0,S6&lt;=1,I6&lt;=J6,K6&lt;=L6,R6&lt;=S6,O6&lt;=P6,T6&lt;=U6,Q6&gt;=1),"通过","检查"))</f>
      </c>
      <c r="X6" s="12" t="s">
        <v>24</v>
      </c>
    </row>
    <row r="7" ht="31" customHeight="1" spans="1:24">
      <c r="A7" s="7" t="s">
        <v>28</v>
      </c>
      <c r="B7" s="7" t="s">
        <v>23</v>
      </c>
      <c r="C7" s="8">
        <v>0.9</v>
      </c>
      <c r="D7" s="8">
        <v>8</v>
      </c>
      <c r="E7" s="8">
        <v>1</v>
      </c>
      <c r="F7" s="8">
        <v>3</v>
      </c>
      <c r="G7" s="8">
        <v>0.9</v>
      </c>
      <c r="H7" s="8">
        <v>0.2</v>
      </c>
      <c r="I7" s="9"/>
      <c r="J7" s="9"/>
      <c r="K7" s="9"/>
      <c r="L7" s="9"/>
      <c r="M7" s="9"/>
      <c r="N7" s="9"/>
      <c r="O7" s="10" t="str">
        <f t="shared" si="0"/>
        <v/>
      </c>
      <c r="P7" s="10" t="str">
        <f t="shared" si="1"/>
        <v/>
      </c>
      <c r="Q7" s="10" t="str">
        <f>IF(COUNT(O7:P7)=2,AVERAGE(O7:P7),"")</f>
      </c>
      <c r="R7" s="9"/>
      <c r="S7" s="9"/>
      <c r="T7" s="10" t="str">
        <f t="shared" si="3"/>
        <v/>
      </c>
      <c r="U7" s="10" t="str">
        <f t="shared" si="4"/>
        <v/>
      </c>
      <c r="V7" s="10" t="str">
        <f>IF(COUNT(T7:U7)=2,AVERAGE(T7:U7),"")</f>
      </c>
      <c r="W7" s="11">
        <f>IF(COUNT(I7:L7)+COUNT(R7:S7)&lt;6,"待导师填写",IF(AND(I7&gt;=0,J7&lt;=1,K7&gt;=0,L7&lt;=1,R7&gt;=0,S7&lt;=1,I7&lt;=J7,K7&lt;=L7,R7&lt;=S7,O7&lt;=P7,T7&lt;=U7,Q7&gt;=1),"通过","检查"))</f>
      </c>
      <c r="X7" s="12" t="s">
        <v>24</v>
      </c>
    </row>
    <row r="8" ht="31" customHeight="1" spans="1:24">
      <c r="A8" s="7" t="s">
        <v>29</v>
      </c>
      <c r="B8" s="7" t="s">
        <v>30</v>
      </c>
      <c r="C8" s="8">
        <v>8</v>
      </c>
      <c r="D8" s="8">
        <v>8</v>
      </c>
      <c r="E8" s="8">
        <v>1</v>
      </c>
      <c r="F8" s="8">
        <v>3</v>
      </c>
      <c r="G8" s="8">
        <v>0.1</v>
      </c>
      <c r="H8" s="8">
        <v>0.2</v>
      </c>
      <c r="I8" s="9"/>
      <c r="J8" s="9"/>
      <c r="K8" s="9"/>
      <c r="L8" s="9"/>
      <c r="M8" s="9"/>
      <c r="N8" s="9"/>
      <c r="O8" s="10" t="str">
        <f t="shared" si="0"/>
        <v/>
      </c>
      <c r="P8" s="10" t="str">
        <f t="shared" si="1"/>
        <v/>
      </c>
      <c r="Q8" s="10" t="str">
        <f>IF(COUNT(O8:P8)=2,AVERAGE(O8:P8),"")</f>
      </c>
      <c r="R8" s="9"/>
      <c r="S8" s="9"/>
      <c r="T8" s="10" t="str">
        <f t="shared" si="3"/>
        <v/>
      </c>
      <c r="U8" s="10" t="str">
        <f t="shared" si="4"/>
        <v/>
      </c>
      <c r="V8" s="10" t="str">
        <f>IF(COUNT(T8:U8)=2,AVERAGE(T8:U8),"")</f>
      </c>
      <c r="W8" s="11">
        <f>IF(COUNT(I8:L8)+COUNT(R8:S8)&lt;6,"待导师填写",IF(AND(I8&gt;=0,J8&lt;=1,K8&gt;=0,L8&lt;=1,R8&gt;=0,S8&lt;=1,I8&lt;=J8,K8&lt;=L8,R8&lt;=S8,O8&lt;=P8,T8&lt;=U8,Q8&gt;=1),"通过","检查"))</f>
      </c>
      <c r="X8" s="12" t="s">
        <v>31</v>
      </c>
    </row>
    <row r="9" ht="31" customHeight="1" spans="1:24">
      <c r="A9" s="7" t="s">
        <v>32</v>
      </c>
      <c r="B9" s="7" t="s">
        <v>30</v>
      </c>
      <c r="C9" s="8">
        <v>12</v>
      </c>
      <c r="D9" s="8">
        <v>12</v>
      </c>
      <c r="E9" s="8">
        <v>1</v>
      </c>
      <c r="F9" s="8">
        <v>3</v>
      </c>
      <c r="G9" s="8">
        <v>0.1</v>
      </c>
      <c r="H9" s="8">
        <v>0.2</v>
      </c>
      <c r="I9" s="9"/>
      <c r="J9" s="9"/>
      <c r="K9" s="9"/>
      <c r="L9" s="9"/>
      <c r="M9" s="9"/>
      <c r="N9" s="9"/>
      <c r="O9" s="10" t="str">
        <f t="shared" si="0"/>
        <v/>
      </c>
      <c r="P9" s="10" t="str">
        <f t="shared" si="1"/>
        <v/>
      </c>
      <c r="Q9" s="10" t="str">
        <f>IF(COUNT(O9:P9)=2,AVERAGE(O9:P9),"")</f>
      </c>
      <c r="R9" s="9"/>
      <c r="S9" s="9"/>
      <c r="T9" s="10" t="str">
        <f t="shared" si="3"/>
        <v/>
      </c>
      <c r="U9" s="10" t="str">
        <f t="shared" si="4"/>
        <v/>
      </c>
      <c r="V9" s="10" t="str">
        <f>IF(COUNT(T9:U9)=2,AVERAGE(T9:U9),"")</f>
      </c>
      <c r="W9" s="11">
        <f>IF(COUNT(I9:L9)+COUNT(R9:S9)&lt;6,"待导师填写",IF(AND(I9&gt;=0,J9&lt;=1,K9&gt;=0,L9&lt;=1,R9&gt;=0,S9&lt;=1,I9&lt;=J9,K9&lt;=L9,R9&lt;=S9,O9&lt;=P9,T9&lt;=U9,Q9&gt;=1),"通过","检查"))</f>
      </c>
      <c r="X9" s="12" t="s">
        <v>31</v>
      </c>
    </row>
    <row r="10" ht="31" customHeight="1" spans="1:24">
      <c r="A10" s="7" t="s">
        <v>33</v>
      </c>
      <c r="B10" s="7" t="s">
        <v>30</v>
      </c>
      <c r="C10" s="8">
        <v>16</v>
      </c>
      <c r="D10" s="8">
        <v>16</v>
      </c>
      <c r="E10" s="8">
        <v>1</v>
      </c>
      <c r="F10" s="8">
        <v>3</v>
      </c>
      <c r="G10" s="8">
        <v>0.1</v>
      </c>
      <c r="H10" s="8">
        <v>0.2</v>
      </c>
      <c r="I10" s="9"/>
      <c r="J10" s="9"/>
      <c r="K10" s="9"/>
      <c r="L10" s="9"/>
      <c r="M10" s="9"/>
      <c r="N10" s="9"/>
      <c r="O10" s="10" t="str">
        <f t="shared" si="0"/>
        <v/>
      </c>
      <c r="P10" s="10" t="str">
        <f t="shared" si="1"/>
        <v/>
      </c>
      <c r="Q10" s="10" t="str">
        <f>IF(COUNT(O10:P10)=2,AVERAGE(O10:P10),"")</f>
      </c>
      <c r="R10" s="9"/>
      <c r="S10" s="9"/>
      <c r="T10" s="10" t="str">
        <f t="shared" si="3"/>
        <v/>
      </c>
      <c r="U10" s="10" t="str">
        <f t="shared" si="4"/>
        <v/>
      </c>
      <c r="V10" s="10" t="str">
        <f>IF(COUNT(T10:U10)=2,AVERAGE(T10:U10),"")</f>
      </c>
      <c r="W10" s="11">
        <f>IF(COUNT(I10:L10)+COUNT(R10:S10)&lt;6,"待导师填写",IF(AND(I10&gt;=0,J10&lt;=1,K10&gt;=0,L10&lt;=1,R10&gt;=0,S10&lt;=1,I10&lt;=J10,K10&lt;=L10,R10&lt;=S10,O10&lt;=P10,T10&lt;=U10,Q10&gt;=1),"通过","检查"))</f>
      </c>
      <c r="X10" s="12" t="s">
        <v>31</v>
      </c>
    </row>
    <row r="11" ht="31" customHeight="1" spans="1:24">
      <c r="A11" s="7" t="s">
        <v>34</v>
      </c>
      <c r="B11" s="7" t="s">
        <v>30</v>
      </c>
      <c r="C11" s="8">
        <v>20</v>
      </c>
      <c r="D11" s="8">
        <v>20</v>
      </c>
      <c r="E11" s="8">
        <v>1</v>
      </c>
      <c r="F11" s="8">
        <v>3</v>
      </c>
      <c r="G11" s="8">
        <v>0.1</v>
      </c>
      <c r="H11" s="8">
        <v>0.2</v>
      </c>
      <c r="I11" s="9"/>
      <c r="J11" s="9"/>
      <c r="K11" s="9"/>
      <c r="L11" s="9"/>
      <c r="M11" s="9"/>
      <c r="N11" s="9"/>
      <c r="O11" s="10" t="str">
        <f t="shared" si="0"/>
        <v/>
      </c>
      <c r="P11" s="10" t="str">
        <f t="shared" si="1"/>
        <v/>
      </c>
      <c r="Q11" s="10" t="str">
        <f>IF(COUNT(O11:P11)=2,AVERAGE(O11:P11),"")</f>
      </c>
      <c r="R11" s="9"/>
      <c r="S11" s="9"/>
      <c r="T11" s="10" t="str">
        <f t="shared" si="3"/>
        <v/>
      </c>
      <c r="U11" s="10" t="str">
        <f t="shared" si="4"/>
        <v/>
      </c>
      <c r="V11" s="10" t="str">
        <f>IF(COUNT(T11:U11)=2,AVERAGE(T11:U11),"")</f>
      </c>
      <c r="W11" s="11">
        <f>IF(COUNT(I11:L11)+COUNT(R11:S11)&lt;6,"待导师填写",IF(AND(I11&gt;=0,J11&lt;=1,K11&gt;=0,L11&lt;=1,R11&gt;=0,S11&lt;=1,I11&lt;=J11,K11&lt;=L11,R11&lt;=S11,O11&lt;=P11,T11&lt;=U11,Q11&gt;=1),"通过","检查"))</f>
      </c>
      <c r="X11" s="12" t="s">
        <v>31</v>
      </c>
    </row>
    <row r="12" ht="31" customHeight="1" spans="1:24">
      <c r="A12" s="7" t="s">
        <v>35</v>
      </c>
      <c r="B12" s="7" t="s">
        <v>30</v>
      </c>
      <c r="C12" s="8">
        <v>24</v>
      </c>
      <c r="D12" s="8">
        <v>24</v>
      </c>
      <c r="E12" s="8">
        <v>1</v>
      </c>
      <c r="F12" s="8">
        <v>3</v>
      </c>
      <c r="G12" s="8">
        <v>0.1</v>
      </c>
      <c r="H12" s="8">
        <v>0.2</v>
      </c>
      <c r="I12" s="9"/>
      <c r="J12" s="9"/>
      <c r="K12" s="9"/>
      <c r="L12" s="9"/>
      <c r="M12" s="9"/>
      <c r="N12" s="9"/>
      <c r="O12" s="10" t="str">
        <f t="shared" si="0"/>
        <v/>
      </c>
      <c r="P12" s="10" t="str">
        <f t="shared" si="1"/>
        <v/>
      </c>
      <c r="Q12" s="10" t="str">
        <f>IF(COUNT(O12:P12)=2,AVERAGE(O12:P12),"")</f>
      </c>
      <c r="R12" s="9"/>
      <c r="S12" s="9"/>
      <c r="T12" s="10" t="str">
        <f t="shared" si="3"/>
        <v/>
      </c>
      <c r="U12" s="10" t="str">
        <f t="shared" si="4"/>
        <v/>
      </c>
      <c r="V12" s="10" t="str">
        <f>IF(COUNT(T12:U12)=2,AVERAGE(T12:U12),"")</f>
      </c>
      <c r="W12" s="11">
        <f>IF(COUNT(I12:L12)+COUNT(R12:S12)&lt;6,"待导师填写",IF(AND(I12&gt;=0,J12&lt;=1,K12&gt;=0,L12&lt;=1,R12&gt;=0,S12&lt;=1,I12&lt;=J12,K12&lt;=L12,R12&lt;=S12,O12&lt;=P12,T12&lt;=U12,Q12&gt;=1),"通过","检查"))</f>
      </c>
      <c r="X12" s="12" t="s">
        <v>31</v>
      </c>
    </row>
    <row r="13" ht="31" customHeight="1" spans="1:24">
      <c r="A13" s="7" t="s">
        <v>36</v>
      </c>
      <c r="B13" s="7" t="s">
        <v>30</v>
      </c>
      <c r="C13" s="8">
        <v>28</v>
      </c>
      <c r="D13" s="8">
        <v>28</v>
      </c>
      <c r="E13" s="8">
        <v>1</v>
      </c>
      <c r="F13" s="8">
        <v>3</v>
      </c>
      <c r="G13" s="8">
        <v>0.1</v>
      </c>
      <c r="H13" s="8">
        <v>0.2</v>
      </c>
      <c r="I13" s="9"/>
      <c r="J13" s="9"/>
      <c r="K13" s="9"/>
      <c r="L13" s="9"/>
      <c r="M13" s="9"/>
      <c r="N13" s="9"/>
      <c r="O13" s="10" t="str">
        <f t="shared" si="0"/>
        <v/>
      </c>
      <c r="P13" s="10" t="str">
        <f t="shared" si="1"/>
        <v/>
      </c>
      <c r="Q13" s="10" t="str">
        <f>IF(COUNT(O13:P13)=2,AVERAGE(O13:P13),"")</f>
      </c>
      <c r="R13" s="9"/>
      <c r="S13" s="9"/>
      <c r="T13" s="10" t="str">
        <f t="shared" si="3"/>
        <v/>
      </c>
      <c r="U13" s="10" t="str">
        <f t="shared" si="4"/>
        <v/>
      </c>
      <c r="V13" s="10" t="str">
        <f>IF(COUNT(T13:U13)=2,AVERAGE(T13:U13),"")</f>
      </c>
      <c r="W13" s="11">
        <f>IF(COUNT(I13:L13)+COUNT(R13:S13)&lt;6,"待导师填写",IF(AND(I13&gt;=0,J13&lt;=1,K13&gt;=0,L13&lt;=1,R13&gt;=0,S13&lt;=1,I13&lt;=J13,K13&lt;=L13,R13&lt;=S13,O13&lt;=P13,T13&lt;=U13,Q13&gt;=1),"通过","检查"))</f>
      </c>
      <c r="X13" s="12" t="s">
        <v>31</v>
      </c>
    </row>
    <row r="14" ht="31" customHeight="1" spans="1:24">
      <c r="A14" s="7" t="s">
        <v>37</v>
      </c>
      <c r="B14" s="7" t="s">
        <v>30</v>
      </c>
      <c r="C14" s="8">
        <v>32</v>
      </c>
      <c r="D14" s="8">
        <v>32</v>
      </c>
      <c r="E14" s="8">
        <v>1</v>
      </c>
      <c r="F14" s="8">
        <v>3</v>
      </c>
      <c r="G14" s="8">
        <v>0.1</v>
      </c>
      <c r="H14" s="8">
        <v>0.2</v>
      </c>
      <c r="I14" s="9"/>
      <c r="J14" s="9"/>
      <c r="K14" s="9"/>
      <c r="L14" s="9"/>
      <c r="M14" s="9"/>
      <c r="N14" s="9"/>
      <c r="O14" s="10" t="str">
        <f t="shared" si="0"/>
        <v/>
      </c>
      <c r="P14" s="10" t="str">
        <f t="shared" si="1"/>
        <v/>
      </c>
      <c r="Q14" s="10" t="str">
        <f>IF(COUNT(O14:P14)=2,AVERAGE(O14:P14),"")</f>
      </c>
      <c r="R14" s="9"/>
      <c r="S14" s="9"/>
      <c r="T14" s="10" t="str">
        <f t="shared" si="3"/>
        <v/>
      </c>
      <c r="U14" s="10" t="str">
        <f t="shared" si="4"/>
        <v/>
      </c>
      <c r="V14" s="10" t="str">
        <f>IF(COUNT(T14:U14)=2,AVERAGE(T14:U14),"")</f>
      </c>
      <c r="W14" s="11">
        <f>IF(COUNT(I14:L14)+COUNT(R14:S14)&lt;6,"待导师填写",IF(AND(I14&gt;=0,J14&lt;=1,K14&gt;=0,L14&lt;=1,R14&gt;=0,S14&lt;=1,I14&lt;=J14,K14&lt;=L14,R14&lt;=S14,O14&lt;=P14,T14&lt;=U14,Q14&gt;=1),"通过","检查"))</f>
      </c>
      <c r="X14" s="12" t="s">
        <v>31</v>
      </c>
    </row>
    <row r="15" ht="31" customHeight="1" spans="1:24">
      <c r="A15" s="7" t="s">
        <v>38</v>
      </c>
      <c r="B15" s="7" t="s">
        <v>30</v>
      </c>
      <c r="C15" s="8">
        <v>36</v>
      </c>
      <c r="D15" s="8">
        <v>36</v>
      </c>
      <c r="E15" s="8">
        <v>1</v>
      </c>
      <c r="F15" s="8">
        <v>3</v>
      </c>
      <c r="G15" s="8">
        <v>0.1</v>
      </c>
      <c r="H15" s="8">
        <v>0.2</v>
      </c>
      <c r="I15" s="9"/>
      <c r="J15" s="9"/>
      <c r="K15" s="9"/>
      <c r="L15" s="9"/>
      <c r="M15" s="9"/>
      <c r="N15" s="9"/>
      <c r="O15" s="10" t="str">
        <f t="shared" si="0"/>
        <v/>
      </c>
      <c r="P15" s="10" t="str">
        <f t="shared" si="1"/>
        <v/>
      </c>
      <c r="Q15" s="10" t="str">
        <f>IF(COUNT(O15:P15)=2,AVERAGE(O15:P15),"")</f>
      </c>
      <c r="R15" s="9"/>
      <c r="S15" s="9"/>
      <c r="T15" s="10" t="str">
        <f t="shared" si="3"/>
        <v/>
      </c>
      <c r="U15" s="10" t="str">
        <f t="shared" si="4"/>
        <v/>
      </c>
      <c r="V15" s="10" t="str">
        <f>IF(COUNT(T15:U15)=2,AVERAGE(T15:U15),"")</f>
      </c>
      <c r="W15" s="11">
        <f>IF(COUNT(I15:L15)+COUNT(R15:S15)&lt;6,"待导师填写",IF(AND(I15&gt;=0,J15&lt;=1,K15&gt;=0,L15&lt;=1,R15&gt;=0,S15&lt;=1,I15&lt;=J15,K15&lt;=L15,R15&lt;=S15,O15&lt;=P15,T15&lt;=U15,Q15&gt;=1),"通过","检查"))</f>
      </c>
      <c r="X15" s="12" t="s">
        <v>31</v>
      </c>
    </row>
    <row r="16" ht="31" customHeight="1" spans="1:24">
      <c r="A16" s="7" t="s">
        <v>39</v>
      </c>
      <c r="B16" s="7" t="s">
        <v>30</v>
      </c>
      <c r="C16" s="8">
        <v>40</v>
      </c>
      <c r="D16" s="8">
        <v>40</v>
      </c>
      <c r="E16" s="8">
        <v>1</v>
      </c>
      <c r="F16" s="8">
        <v>3</v>
      </c>
      <c r="G16" s="8">
        <v>0.1</v>
      </c>
      <c r="H16" s="8">
        <v>0.2</v>
      </c>
      <c r="I16" s="9"/>
      <c r="J16" s="9"/>
      <c r="K16" s="9"/>
      <c r="L16" s="9"/>
      <c r="M16" s="9"/>
      <c r="N16" s="9"/>
      <c r="O16" s="10" t="str">
        <f t="shared" si="0"/>
        <v/>
      </c>
      <c r="P16" s="10" t="str">
        <f t="shared" si="1"/>
        <v/>
      </c>
      <c r="Q16" s="10" t="str">
        <f>IF(COUNT(O16:P16)=2,AVERAGE(O16:P16),"")</f>
      </c>
      <c r="R16" s="9"/>
      <c r="S16" s="9"/>
      <c r="T16" s="10" t="str">
        <f t="shared" si="3"/>
        <v/>
      </c>
      <c r="U16" s="10" t="str">
        <f t="shared" si="4"/>
        <v/>
      </c>
      <c r="V16" s="10" t="str">
        <f>IF(COUNT(T16:U16)=2,AVERAGE(T16:U16),"")</f>
      </c>
      <c r="W16" s="11">
        <f>IF(COUNT(I16:L16)+COUNT(R16:S16)&lt;6,"待导师填写",IF(AND(I16&gt;=0,J16&lt;=1,K16&gt;=0,L16&lt;=1,R16&gt;=0,S16&lt;=1,I16&lt;=J16,K16&lt;=L16,R16&lt;=S16,O16&lt;=P16,T16&lt;=U16,Q16&gt;=1),"通过","检查"))</f>
      </c>
      <c r="X16" s="12" t="s">
        <v>31</v>
      </c>
    </row>
    <row r="17" ht="31" customHeight="1" spans="1:24">
      <c r="A17" s="7" t="s">
        <v>40</v>
      </c>
      <c r="B17" s="7" t="s">
        <v>30</v>
      </c>
      <c r="C17" s="8">
        <v>44</v>
      </c>
      <c r="D17" s="8">
        <v>44</v>
      </c>
      <c r="E17" s="8">
        <v>1</v>
      </c>
      <c r="F17" s="8">
        <v>3</v>
      </c>
      <c r="G17" s="8">
        <v>0.1</v>
      </c>
      <c r="H17" s="8">
        <v>0.2</v>
      </c>
      <c r="I17" s="9"/>
      <c r="J17" s="9"/>
      <c r="K17" s="9"/>
      <c r="L17" s="9"/>
      <c r="M17" s="9"/>
      <c r="N17" s="9"/>
      <c r="O17" s="10" t="str">
        <f t="shared" si="0"/>
        <v/>
      </c>
      <c r="P17" s="10" t="str">
        <f t="shared" si="1"/>
        <v/>
      </c>
      <c r="Q17" s="10" t="str">
        <f>IF(COUNT(O17:P17)=2,AVERAGE(O17:P17),"")</f>
      </c>
      <c r="R17" s="9"/>
      <c r="S17" s="9"/>
      <c r="T17" s="10" t="str">
        <f t="shared" si="3"/>
        <v/>
      </c>
      <c r="U17" s="10" t="str">
        <f t="shared" si="4"/>
        <v/>
      </c>
      <c r="V17" s="10" t="str">
        <f>IF(COUNT(T17:U17)=2,AVERAGE(T17:U17),"")</f>
      </c>
      <c r="W17" s="11">
        <f>IF(COUNT(I17:L17)+COUNT(R17:S17)&lt;6,"待导师填写",IF(AND(I17&gt;=0,J17&lt;=1,K17&gt;=0,L17&lt;=1,R17&gt;=0,S17&lt;=1,I17&lt;=J17,K17&lt;=L17,R17&lt;=S17,O17&lt;=P17,T17&lt;=U17,Q17&gt;=1),"通过","检查"))</f>
      </c>
      <c r="X17" s="12" t="s">
        <v>31</v>
      </c>
    </row>
    <row r="18" ht="31" customHeight="1" spans="1:24">
      <c r="A18" s="7" t="s">
        <v>41</v>
      </c>
      <c r="B18" s="7" t="s">
        <v>30</v>
      </c>
      <c r="C18" s="8">
        <v>48</v>
      </c>
      <c r="D18" s="8">
        <v>48</v>
      </c>
      <c r="E18" s="8">
        <v>1</v>
      </c>
      <c r="F18" s="8">
        <v>3</v>
      </c>
      <c r="G18" s="8">
        <v>0.1</v>
      </c>
      <c r="H18" s="8">
        <v>0.2</v>
      </c>
      <c r="I18" s="9"/>
      <c r="J18" s="9"/>
      <c r="K18" s="9"/>
      <c r="L18" s="9"/>
      <c r="M18" s="9"/>
      <c r="N18" s="9"/>
      <c r="O18" s="10" t="str">
        <f t="shared" si="0"/>
        <v/>
      </c>
      <c r="P18" s="10" t="str">
        <f t="shared" si="1"/>
        <v/>
      </c>
      <c r="Q18" s="10" t="str">
        <f>IF(COUNT(O18:P18)=2,AVERAGE(O18:P18),"")</f>
      </c>
      <c r="R18" s="9"/>
      <c r="S18" s="9"/>
      <c r="T18" s="10" t="str">
        <f t="shared" si="3"/>
        <v/>
      </c>
      <c r="U18" s="10" t="str">
        <f t="shared" si="4"/>
        <v/>
      </c>
      <c r="V18" s="10" t="str">
        <f>IF(COUNT(T18:U18)=2,AVERAGE(T18:U18),"")</f>
      </c>
      <c r="W18" s="11">
        <f>IF(COUNT(I18:L18)+COUNT(R18:S18)&lt;6,"待导师填写",IF(AND(I18&gt;=0,J18&lt;=1,K18&gt;=0,L18&lt;=1,R18&gt;=0,S18&lt;=1,I18&lt;=J18,K18&lt;=L18,R18&lt;=S18,O18&lt;=P18,T18&lt;=U18,Q18&gt;=1),"通过","检查"))</f>
      </c>
      <c r="X18" s="12" t="s">
        <v>31</v>
      </c>
    </row>
    <row r="19" ht="31" customHeight="1" spans="1:24">
      <c r="A19" s="7" t="s">
        <v>42</v>
      </c>
      <c r="B19" s="7" t="s">
        <v>43</v>
      </c>
      <c r="C19" s="8">
        <v>3</v>
      </c>
      <c r="D19" s="8">
        <v>10</v>
      </c>
      <c r="E19" s="8">
        <v>1</v>
      </c>
      <c r="F19" s="8">
        <v>3</v>
      </c>
      <c r="G19" s="8">
        <v>0.1</v>
      </c>
      <c r="H19" s="8">
        <v>0.2</v>
      </c>
      <c r="I19" s="9"/>
      <c r="J19" s="9"/>
      <c r="K19" s="9"/>
      <c r="L19" s="9"/>
      <c r="M19" s="9"/>
      <c r="N19" s="9"/>
      <c r="O19" s="10" t="str">
        <f t="shared" si="0"/>
        <v/>
      </c>
      <c r="P19" s="10" t="str">
        <f t="shared" si="1"/>
        <v/>
      </c>
      <c r="Q19" s="10" t="str">
        <f>IF(COUNT(O19:P19)=2,AVERAGE(O19:P19),"")</f>
      </c>
      <c r="R19" s="9"/>
      <c r="S19" s="9"/>
      <c r="T19" s="10" t="str">
        <f t="shared" si="3"/>
        <v/>
      </c>
      <c r="U19" s="10" t="str">
        <f t="shared" si="4"/>
        <v/>
      </c>
      <c r="V19" s="10" t="str">
        <f>IF(COUNT(T19:U19)=2,AVERAGE(T19:U19),"")</f>
      </c>
      <c r="W19" s="11">
        <f>IF(COUNT(I19:L19)+COUNT(R19:S19)&lt;6,"待导师填写",IF(AND(I19&gt;=0,J19&lt;=1,K19&gt;=0,L19&lt;=1,R19&gt;=0,S19&lt;=1,I19&lt;=J19,K19&lt;=L19,R19&lt;=S19,O19&lt;=P19,T19&lt;=U19,Q19&gt;=1),"通过","检查"))</f>
      </c>
      <c r="X19" s="12" t="s">
        <v>44</v>
      </c>
    </row>
    <row r="20" ht="31" customHeight="1" spans="1:24">
      <c r="A20" s="7" t="s">
        <v>45</v>
      </c>
      <c r="B20" s="7" t="s">
        <v>43</v>
      </c>
      <c r="C20" s="8">
        <v>3.1</v>
      </c>
      <c r="D20" s="8">
        <v>10</v>
      </c>
      <c r="E20" s="8">
        <v>1</v>
      </c>
      <c r="F20" s="8">
        <v>3.1</v>
      </c>
      <c r="G20" s="8">
        <v>0.1</v>
      </c>
      <c r="H20" s="8">
        <v>0.2</v>
      </c>
      <c r="I20" s="9"/>
      <c r="J20" s="9"/>
      <c r="K20" s="9"/>
      <c r="L20" s="9"/>
      <c r="M20" s="9"/>
      <c r="N20" s="9"/>
      <c r="O20" s="10" t="str">
        <f t="shared" si="0"/>
        <v/>
      </c>
      <c r="P20" s="10" t="str">
        <f t="shared" si="1"/>
        <v/>
      </c>
      <c r="Q20" s="10" t="str">
        <f>IF(COUNT(O20:P20)=2,AVERAGE(O20:P20),"")</f>
      </c>
      <c r="R20" s="9"/>
      <c r="S20" s="9"/>
      <c r="T20" s="10" t="str">
        <f t="shared" si="3"/>
        <v/>
      </c>
      <c r="U20" s="10" t="str">
        <f t="shared" si="4"/>
        <v/>
      </c>
      <c r="V20" s="10" t="str">
        <f>IF(COUNT(T20:U20)=2,AVERAGE(T20:U20),"")</f>
      </c>
      <c r="W20" s="11">
        <f>IF(COUNT(I20:L20)+COUNT(R20:S20)&lt;6,"待导师填写",IF(AND(I20&gt;=0,J20&lt;=1,K20&gt;=0,L20&lt;=1,R20&gt;=0,S20&lt;=1,I20&lt;=J20,K20&lt;=L20,R20&lt;=S20,O20&lt;=P20,T20&lt;=U20,Q20&gt;=1),"通过","检查"))</f>
      </c>
      <c r="X20" s="12" t="s">
        <v>44</v>
      </c>
    </row>
    <row r="21" ht="31" customHeight="1" spans="1:24">
      <c r="A21" s="7" t="s">
        <v>46</v>
      </c>
      <c r="B21" s="7" t="s">
        <v>43</v>
      </c>
      <c r="C21" s="8">
        <v>3.2</v>
      </c>
      <c r="D21" s="8">
        <v>10</v>
      </c>
      <c r="E21" s="8">
        <v>1</v>
      </c>
      <c r="F21" s="8">
        <v>3.2</v>
      </c>
      <c r="G21" s="8">
        <v>0.1</v>
      </c>
      <c r="H21" s="8">
        <v>0.2</v>
      </c>
      <c r="I21" s="9"/>
      <c r="J21" s="9"/>
      <c r="K21" s="9"/>
      <c r="L21" s="9"/>
      <c r="M21" s="9"/>
      <c r="N21" s="9"/>
      <c r="O21" s="10" t="str">
        <f t="shared" si="0"/>
        <v/>
      </c>
      <c r="P21" s="10" t="str">
        <f t="shared" si="1"/>
        <v/>
      </c>
      <c r="Q21" s="10" t="str">
        <f>IF(COUNT(O21:P21)=2,AVERAGE(O21:P21),"")</f>
      </c>
      <c r="R21" s="9"/>
      <c r="S21" s="9"/>
      <c r="T21" s="10" t="str">
        <f t="shared" si="3"/>
        <v/>
      </c>
      <c r="U21" s="10" t="str">
        <f t="shared" si="4"/>
        <v/>
      </c>
      <c r="V21" s="10" t="str">
        <f>IF(COUNT(T21:U21)=2,AVERAGE(T21:U21),"")</f>
      </c>
      <c r="W21" s="11">
        <f>IF(COUNT(I21:L21)+COUNT(R21:S21)&lt;6,"待导师填写",IF(AND(I21&gt;=0,J21&lt;=1,K21&gt;=0,L21&lt;=1,R21&gt;=0,S21&lt;=1,I21&lt;=J21,K21&lt;=L21,R21&lt;=S21,O21&lt;=P21,T21&lt;=U21,Q21&gt;=1),"通过","检查"))</f>
      </c>
      <c r="X21" s="12" t="s">
        <v>44</v>
      </c>
    </row>
    <row r="22" ht="31" customHeight="1" spans="1:24">
      <c r="A22" s="7" t="s">
        <v>47</v>
      </c>
      <c r="B22" s="7" t="s">
        <v>43</v>
      </c>
      <c r="C22" s="8">
        <v>3.3</v>
      </c>
      <c r="D22" s="8">
        <v>10</v>
      </c>
      <c r="E22" s="8">
        <v>1</v>
      </c>
      <c r="F22" s="8">
        <v>3.3</v>
      </c>
      <c r="G22" s="8">
        <v>0.1</v>
      </c>
      <c r="H22" s="8">
        <v>0.2</v>
      </c>
      <c r="I22" s="9"/>
      <c r="J22" s="9"/>
      <c r="K22" s="9"/>
      <c r="L22" s="9"/>
      <c r="M22" s="9"/>
      <c r="N22" s="9"/>
      <c r="O22" s="10" t="str">
        <f t="shared" si="0"/>
        <v/>
      </c>
      <c r="P22" s="10" t="str">
        <f t="shared" si="1"/>
        <v/>
      </c>
      <c r="Q22" s="10" t="str">
        <f>IF(COUNT(O22:P22)=2,AVERAGE(O22:P22),"")</f>
      </c>
      <c r="R22" s="9"/>
      <c r="S22" s="9"/>
      <c r="T22" s="10" t="str">
        <f t="shared" si="3"/>
        <v/>
      </c>
      <c r="U22" s="10" t="str">
        <f t="shared" si="4"/>
        <v/>
      </c>
      <c r="V22" s="10" t="str">
        <f>IF(COUNT(T22:U22)=2,AVERAGE(T22:U22),"")</f>
      </c>
      <c r="W22" s="11">
        <f>IF(COUNT(I22:L22)+COUNT(R22:S22)&lt;6,"待导师填写",IF(AND(I22&gt;=0,J22&lt;=1,K22&gt;=0,L22&lt;=1,R22&gt;=0,S22&lt;=1,I22&lt;=J22,K22&lt;=L22,R22&lt;=S22,O22&lt;=P22,T22&lt;=U22,Q22&gt;=1),"通过","检查"))</f>
      </c>
      <c r="X22" s="12" t="s">
        <v>44</v>
      </c>
    </row>
    <row r="23" ht="31" customHeight="1" spans="1:24">
      <c r="A23" s="7" t="s">
        <v>48</v>
      </c>
      <c r="B23" s="7" t="s">
        <v>43</v>
      </c>
      <c r="C23" s="8">
        <v>3.4</v>
      </c>
      <c r="D23" s="8">
        <v>10</v>
      </c>
      <c r="E23" s="8">
        <v>1</v>
      </c>
      <c r="F23" s="8">
        <v>3.4</v>
      </c>
      <c r="G23" s="8">
        <v>0.1</v>
      </c>
      <c r="H23" s="8">
        <v>0.2</v>
      </c>
      <c r="I23" s="9"/>
      <c r="J23" s="9"/>
      <c r="K23" s="9"/>
      <c r="L23" s="9"/>
      <c r="M23" s="9"/>
      <c r="N23" s="9"/>
      <c r="O23" s="10" t="str">
        <f t="shared" si="0"/>
        <v/>
      </c>
      <c r="P23" s="10" t="str">
        <f t="shared" si="1"/>
        <v/>
      </c>
      <c r="Q23" s="10" t="str">
        <f>IF(COUNT(O23:P23)=2,AVERAGE(O23:P23),"")</f>
      </c>
      <c r="R23" s="9"/>
      <c r="S23" s="9"/>
      <c r="T23" s="10" t="str">
        <f t="shared" si="3"/>
        <v/>
      </c>
      <c r="U23" s="10" t="str">
        <f t="shared" si="4"/>
        <v/>
      </c>
      <c r="V23" s="10" t="str">
        <f>IF(COUNT(T23:U23)=2,AVERAGE(T23:U23),"")</f>
      </c>
      <c r="W23" s="11">
        <f>IF(COUNT(I23:L23)+COUNT(R23:S23)&lt;6,"待导师填写",IF(AND(I23&gt;=0,J23&lt;=1,K23&gt;=0,L23&lt;=1,R23&gt;=0,S23&lt;=1,I23&lt;=J23,K23&lt;=L23,R23&lt;=S23,O23&lt;=P23,T23&lt;=U23,Q23&gt;=1),"通过","检查"))</f>
      </c>
      <c r="X23" s="12" t="s">
        <v>44</v>
      </c>
    </row>
    <row r="24" ht="31" customHeight="1" spans="1:24">
      <c r="A24" s="7" t="s">
        <v>49</v>
      </c>
      <c r="B24" s="7" t="s">
        <v>43</v>
      </c>
      <c r="C24" s="8">
        <v>3.5</v>
      </c>
      <c r="D24" s="8">
        <v>10</v>
      </c>
      <c r="E24" s="8">
        <v>1</v>
      </c>
      <c r="F24" s="8">
        <v>3.5</v>
      </c>
      <c r="G24" s="8">
        <v>0.1</v>
      </c>
      <c r="H24" s="8">
        <v>0.2</v>
      </c>
      <c r="I24" s="9"/>
      <c r="J24" s="9"/>
      <c r="K24" s="9"/>
      <c r="L24" s="9"/>
      <c r="M24" s="9"/>
      <c r="N24" s="9"/>
      <c r="O24" s="10" t="str">
        <f t="shared" si="0"/>
        <v/>
      </c>
      <c r="P24" s="10" t="str">
        <f t="shared" si="1"/>
        <v/>
      </c>
      <c r="Q24" s="10" t="str">
        <f>IF(COUNT(O24:P24)=2,AVERAGE(O24:P24),"")</f>
      </c>
      <c r="R24" s="9"/>
      <c r="S24" s="9"/>
      <c r="T24" s="10" t="str">
        <f t="shared" si="3"/>
        <v/>
      </c>
      <c r="U24" s="10" t="str">
        <f t="shared" si="4"/>
        <v/>
      </c>
      <c r="V24" s="10" t="str">
        <f>IF(COUNT(T24:U24)=2,AVERAGE(T24:U24),"")</f>
      </c>
      <c r="W24" s="11">
        <f>IF(COUNT(I24:L24)+COUNT(R24:S24)&lt;6,"待导师填写",IF(AND(I24&gt;=0,J24&lt;=1,K24&gt;=0,L24&lt;=1,R24&gt;=0,S24&lt;=1,I24&lt;=J24,K24&lt;=L24,R24&lt;=S24,O24&lt;=P24,T24&lt;=U24,Q24&gt;=1),"通过","检查"))</f>
      </c>
      <c r="X24" s="12" t="s">
        <v>44</v>
      </c>
    </row>
    <row r="25" ht="31" customHeight="1" spans="1:24">
      <c r="A25" s="7" t="s">
        <v>50</v>
      </c>
      <c r="B25" s="7" t="s">
        <v>43</v>
      </c>
      <c r="C25" s="8">
        <v>3.6</v>
      </c>
      <c r="D25" s="8">
        <v>10</v>
      </c>
      <c r="E25" s="8">
        <v>1</v>
      </c>
      <c r="F25" s="8">
        <v>3.6</v>
      </c>
      <c r="G25" s="8">
        <v>0.1</v>
      </c>
      <c r="H25" s="8">
        <v>0.2</v>
      </c>
      <c r="I25" s="9"/>
      <c r="J25" s="9"/>
      <c r="K25" s="9"/>
      <c r="L25" s="9"/>
      <c r="M25" s="9"/>
      <c r="N25" s="9"/>
      <c r="O25" s="10" t="str">
        <f t="shared" si="0"/>
        <v/>
      </c>
      <c r="P25" s="10" t="str">
        <f t="shared" si="1"/>
        <v/>
      </c>
      <c r="Q25" s="10" t="str">
        <f>IF(COUNT(O25:P25)=2,AVERAGE(O25:P25),"")</f>
      </c>
      <c r="R25" s="9"/>
      <c r="S25" s="9"/>
      <c r="T25" s="10" t="str">
        <f t="shared" si="3"/>
        <v/>
      </c>
      <c r="U25" s="10" t="str">
        <f t="shared" si="4"/>
        <v/>
      </c>
      <c r="V25" s="10" t="str">
        <f>IF(COUNT(T25:U25)=2,AVERAGE(T25:U25),"")</f>
      </c>
      <c r="W25" s="11">
        <f>IF(COUNT(I25:L25)+COUNT(R25:S25)&lt;6,"待导师填写",IF(AND(I25&gt;=0,J25&lt;=1,K25&gt;=0,L25&lt;=1,R25&gt;=0,S25&lt;=1,I25&lt;=J25,K25&lt;=L25,R25&lt;=S25,O25&lt;=P25,T25&lt;=U25,Q25&gt;=1),"通过","检查"))</f>
      </c>
      <c r="X25" s="12" t="s">
        <v>44</v>
      </c>
    </row>
    <row r="26" ht="31" customHeight="1" spans="1:24">
      <c r="A26" s="7" t="s">
        <v>51</v>
      </c>
      <c r="B26" s="7" t="s">
        <v>52</v>
      </c>
      <c r="C26" s="8">
        <v>1</v>
      </c>
      <c r="D26" s="8">
        <v>8</v>
      </c>
      <c r="E26" s="8">
        <v>1</v>
      </c>
      <c r="F26" s="8">
        <v>3</v>
      </c>
      <c r="G26" s="8">
        <v>0.1</v>
      </c>
      <c r="H26" s="8">
        <v>0.2</v>
      </c>
      <c r="I26" s="9"/>
      <c r="J26" s="9"/>
      <c r="K26" s="9"/>
      <c r="L26" s="9"/>
      <c r="M26" s="9"/>
      <c r="N26" s="9"/>
      <c r="O26" s="10" t="str">
        <f t="shared" si="0"/>
        <v/>
      </c>
      <c r="P26" s="10" t="str">
        <f t="shared" si="1"/>
        <v/>
      </c>
      <c r="Q26" s="10" t="str">
        <f>IF(COUNT(O26:P26)=2,AVERAGE(O26:P26),"")</f>
      </c>
      <c r="R26" s="9"/>
      <c r="S26" s="9"/>
      <c r="T26" s="10" t="str">
        <f t="shared" si="3"/>
        <v/>
      </c>
      <c r="U26" s="10" t="str">
        <f t="shared" si="4"/>
        <v/>
      </c>
      <c r="V26" s="10" t="str">
        <f>IF(COUNT(T26:U26)=2,AVERAGE(T26:U26),"")</f>
      </c>
      <c r="W26" s="11">
        <f>IF(COUNT(I26:L26)+COUNT(R26:S26)&lt;6,"待导师填写",IF(AND(I26&gt;=0,J26&lt;=1,K26&gt;=0,L26&lt;=1,R26&gt;=0,S26&lt;=1,I26&lt;=J26,K26&lt;=L26,R26&lt;=S26,O26&lt;=P26,T26&lt;=U26,Q26&gt;=1),"通过","检查"))</f>
      </c>
      <c r="X26" s="12" t="s">
        <v>53</v>
      </c>
    </row>
    <row r="27" ht="31" customHeight="1" spans="1:24">
      <c r="A27" s="7" t="s">
        <v>54</v>
      </c>
      <c r="B27" s="7" t="s">
        <v>52</v>
      </c>
      <c r="C27" s="8">
        <v>2</v>
      </c>
      <c r="D27" s="8">
        <v>8</v>
      </c>
      <c r="E27" s="8">
        <v>2</v>
      </c>
      <c r="F27" s="8">
        <v>3</v>
      </c>
      <c r="G27" s="8">
        <v>0.1</v>
      </c>
      <c r="H27" s="8">
        <v>0.2</v>
      </c>
      <c r="I27" s="9"/>
      <c r="J27" s="9"/>
      <c r="K27" s="9"/>
      <c r="L27" s="9"/>
      <c r="M27" s="9"/>
      <c r="N27" s="9"/>
      <c r="O27" s="10" t="str">
        <f t="shared" si="0"/>
        <v/>
      </c>
      <c r="P27" s="10" t="str">
        <f t="shared" si="1"/>
        <v/>
      </c>
      <c r="Q27" s="10" t="str">
        <f>IF(COUNT(O27:P27)=2,AVERAGE(O27:P27),"")</f>
      </c>
      <c r="R27" s="9"/>
      <c r="S27" s="9"/>
      <c r="T27" s="10" t="str">
        <f t="shared" si="3"/>
        <v/>
      </c>
      <c r="U27" s="10" t="str">
        <f t="shared" si="4"/>
        <v/>
      </c>
      <c r="V27" s="10" t="str">
        <f>IF(COUNT(T27:U27)=2,AVERAGE(T27:U27),"")</f>
      </c>
      <c r="W27" s="11">
        <f>IF(COUNT(I27:L27)+COUNT(R27:S27)&lt;6,"待导师填写",IF(AND(I27&gt;=0,J27&lt;=1,K27&gt;=0,L27&lt;=1,R27&gt;=0,S27&lt;=1,I27&lt;=J27,K27&lt;=L27,R27&lt;=S27,O27&lt;=P27,T27&lt;=U27,Q27&gt;=1),"通过","检查"))</f>
      </c>
      <c r="X27" s="12" t="s">
        <v>53</v>
      </c>
    </row>
    <row r="28" ht="31" customHeight="1" spans="1:24">
      <c r="A28" s="7" t="s">
        <v>55</v>
      </c>
      <c r="B28" s="7" t="s">
        <v>52</v>
      </c>
      <c r="C28" s="8">
        <v>3</v>
      </c>
      <c r="D28" s="8">
        <v>8</v>
      </c>
      <c r="E28" s="8">
        <v>3</v>
      </c>
      <c r="F28" s="8">
        <v>3</v>
      </c>
      <c r="G28" s="8">
        <v>0.1</v>
      </c>
      <c r="H28" s="8">
        <v>0.2</v>
      </c>
      <c r="I28" s="9"/>
      <c r="J28" s="9"/>
      <c r="K28" s="9"/>
      <c r="L28" s="9"/>
      <c r="M28" s="9"/>
      <c r="N28" s="9"/>
      <c r="O28" s="10" t="str">
        <f t="shared" si="0"/>
        <v/>
      </c>
      <c r="P28" s="10" t="str">
        <f t="shared" si="1"/>
        <v/>
      </c>
      <c r="Q28" s="10" t="str">
        <f>IF(COUNT(O28:P28)=2,AVERAGE(O28:P28),"")</f>
      </c>
      <c r="R28" s="9"/>
      <c r="S28" s="9"/>
      <c r="T28" s="10" t="str">
        <f t="shared" si="3"/>
        <v/>
      </c>
      <c r="U28" s="10" t="str">
        <f t="shared" si="4"/>
        <v/>
      </c>
      <c r="V28" s="10" t="str">
        <f>IF(COUNT(T28:U28)=2,AVERAGE(T28:U28),"")</f>
      </c>
      <c r="W28" s="11">
        <f>IF(COUNT(I28:L28)+COUNT(R28:S28)&lt;6,"待导师填写",IF(AND(I28&gt;=0,J28&lt;=1,K28&gt;=0,L28&lt;=1,R28&gt;=0,S28&lt;=1,I28&lt;=J28,K28&lt;=L28,R28&lt;=S28,O28&lt;=P28,T28&lt;=U28,Q28&gt;=1),"通过","检查"))</f>
      </c>
      <c r="X28" s="12" t="s">
        <v>53</v>
      </c>
    </row>
  </sheetData>
  <autoFilter xmlns:etc="http://www.wps.cn/officeDocument/2017/etCustomData" ref="A2:X28" etc:filterBottomFollowUsedRange="0">
    <extLst/>
  </autoFilter>
  <mergeCells count="1">
    <mergeCell ref="A1:X1"/>
  </mergeCells>
  <pageMargins left="0.3" right="0.3" top="0.5" bottom="0.5" header="0.2" footer="0.2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串联单参数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串联系统RLP/RRW导师计算任务单</dc:title>
  <dc:creator>Codex</dc:creator>
  <cp:lastModifiedBy>weixiao</cp:lastModifiedBy>
  <dcterms:created xsi:type="dcterms:W3CDTF">2026-07-12T10:10:00Z</dcterms:created>
  <dcterms:modified xsi:type="dcterms:W3CDTF">2026-07-12T10:23:53Z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FF3C124FFEB4427285C57582F307ADE9_12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