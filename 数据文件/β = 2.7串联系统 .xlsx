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/>
  <mc:AlternateContent xmlns:mc="http://schemas.openxmlformats.org/markup-compatibility/2006">
    <mc:Choice Requires="x15">
      <x15ac:absPath xmlns:x15ac="http://schemas.microsoft.com/office/spreadsheetml/2010/11/ac" url="F:\科研数据\"/>
    </mc:Choice>
  </mc:AlternateContent>
  <xr:revisionPtr revIDLastSave="0" documentId="13_ncr:1_{1E1FF037-9A4F-40AC-80D7-87A6343B4288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50根构件" sheetId="48" r:id="rId1"/>
    <sheet name="47根构件 " sheetId="49" r:id="rId2"/>
    <sheet name="43根构件  " sheetId="50" r:id="rId3"/>
    <sheet name="39根构件   " sheetId="51" r:id="rId4"/>
    <sheet name="35根构件   " sheetId="52" r:id="rId5"/>
    <sheet name="31根构件    " sheetId="53" r:id="rId6"/>
    <sheet name="27根构件    " sheetId="54" r:id="rId7"/>
    <sheet name="23根构件 " sheetId="55" r:id="rId8"/>
    <sheet name="19根构件 " sheetId="56" r:id="rId9"/>
    <sheet name="15根构件  " sheetId="35" r:id="rId10"/>
    <sheet name="11根构件  " sheetId="31" r:id="rId11"/>
    <sheet name="7根构件" sheetId="1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263" i="1" l="1"/>
  <c r="U263" i="1"/>
  <c r="S263" i="1"/>
  <c r="R263" i="1"/>
  <c r="J263" i="1"/>
  <c r="I263" i="1"/>
  <c r="G263" i="1"/>
  <c r="F263" i="1"/>
  <c r="V262" i="1"/>
  <c r="U262" i="1"/>
  <c r="S262" i="1"/>
  <c r="R262" i="1"/>
  <c r="J262" i="1"/>
  <c r="I262" i="1"/>
  <c r="G262" i="1"/>
  <c r="F262" i="1"/>
  <c r="X261" i="1"/>
  <c r="V261" i="1"/>
  <c r="U261" i="1"/>
  <c r="S261" i="1"/>
  <c r="R261" i="1"/>
  <c r="L261" i="1"/>
  <c r="J261" i="1"/>
  <c r="I261" i="1"/>
  <c r="G261" i="1"/>
  <c r="F261" i="1"/>
  <c r="V257" i="1"/>
  <c r="U257" i="1"/>
  <c r="S257" i="1"/>
  <c r="R257" i="1"/>
  <c r="K257" i="1"/>
  <c r="J257" i="1"/>
  <c r="I257" i="1"/>
  <c r="H257" i="1"/>
  <c r="G257" i="1"/>
  <c r="F257" i="1"/>
  <c r="V256" i="1"/>
  <c r="U256" i="1"/>
  <c r="S256" i="1"/>
  <c r="R256" i="1"/>
  <c r="K256" i="1"/>
  <c r="J256" i="1"/>
  <c r="I256" i="1"/>
  <c r="H256" i="1"/>
  <c r="G256" i="1"/>
  <c r="F256" i="1"/>
  <c r="X255" i="1"/>
  <c r="V255" i="1"/>
  <c r="U255" i="1"/>
  <c r="S255" i="1"/>
  <c r="R255" i="1"/>
  <c r="M255" i="1"/>
  <c r="L255" i="1"/>
  <c r="K255" i="1"/>
  <c r="J255" i="1"/>
  <c r="I255" i="1"/>
  <c r="H255" i="1"/>
  <c r="G255" i="1"/>
  <c r="F255" i="1"/>
  <c r="V250" i="1"/>
  <c r="U250" i="1"/>
  <c r="S250" i="1"/>
  <c r="R250" i="1"/>
  <c r="J250" i="1"/>
  <c r="I250" i="1"/>
  <c r="G250" i="1"/>
  <c r="F250" i="1"/>
  <c r="V249" i="1"/>
  <c r="U249" i="1"/>
  <c r="S249" i="1"/>
  <c r="R249" i="1"/>
  <c r="J249" i="1"/>
  <c r="I249" i="1"/>
  <c r="G249" i="1"/>
  <c r="F249" i="1"/>
  <c r="X248" i="1"/>
  <c r="V248" i="1"/>
  <c r="U248" i="1"/>
  <c r="S248" i="1"/>
  <c r="R248" i="1"/>
  <c r="L248" i="1"/>
  <c r="J248" i="1"/>
  <c r="I248" i="1"/>
  <c r="G248" i="1"/>
  <c r="F248" i="1"/>
  <c r="V244" i="1"/>
  <c r="U244" i="1"/>
  <c r="S244" i="1"/>
  <c r="R244" i="1"/>
  <c r="K244" i="1"/>
  <c r="J244" i="1"/>
  <c r="I244" i="1"/>
  <c r="H244" i="1"/>
  <c r="G244" i="1"/>
  <c r="F244" i="1"/>
  <c r="V243" i="1"/>
  <c r="U243" i="1"/>
  <c r="S243" i="1"/>
  <c r="R243" i="1"/>
  <c r="K243" i="1"/>
  <c r="J243" i="1"/>
  <c r="I243" i="1"/>
  <c r="H243" i="1"/>
  <c r="G243" i="1"/>
  <c r="F243" i="1"/>
  <c r="X242" i="1"/>
  <c r="V242" i="1"/>
  <c r="U242" i="1"/>
  <c r="S242" i="1"/>
  <c r="R242" i="1"/>
  <c r="M242" i="1"/>
  <c r="L242" i="1"/>
  <c r="K242" i="1"/>
  <c r="J242" i="1"/>
  <c r="I242" i="1"/>
  <c r="H242" i="1"/>
  <c r="G242" i="1"/>
  <c r="F242" i="1"/>
  <c r="V237" i="1"/>
  <c r="U237" i="1"/>
  <c r="S237" i="1"/>
  <c r="R237" i="1"/>
  <c r="J237" i="1"/>
  <c r="I237" i="1"/>
  <c r="G237" i="1"/>
  <c r="F237" i="1"/>
  <c r="V236" i="1"/>
  <c r="U236" i="1"/>
  <c r="S236" i="1"/>
  <c r="R236" i="1"/>
  <c r="J236" i="1"/>
  <c r="I236" i="1"/>
  <c r="G236" i="1"/>
  <c r="F236" i="1"/>
  <c r="X235" i="1"/>
  <c r="V235" i="1"/>
  <c r="U235" i="1"/>
  <c r="S235" i="1"/>
  <c r="R235" i="1"/>
  <c r="L235" i="1"/>
  <c r="J235" i="1"/>
  <c r="I235" i="1"/>
  <c r="G235" i="1"/>
  <c r="F235" i="1"/>
  <c r="V231" i="1"/>
  <c r="U231" i="1"/>
  <c r="S231" i="1"/>
  <c r="R231" i="1"/>
  <c r="K231" i="1"/>
  <c r="J231" i="1"/>
  <c r="I231" i="1"/>
  <c r="H231" i="1"/>
  <c r="G231" i="1"/>
  <c r="F231" i="1"/>
  <c r="V230" i="1"/>
  <c r="U230" i="1"/>
  <c r="S230" i="1"/>
  <c r="R230" i="1"/>
  <c r="K230" i="1"/>
  <c r="J230" i="1"/>
  <c r="I230" i="1"/>
  <c r="H230" i="1"/>
  <c r="G230" i="1"/>
  <c r="F230" i="1"/>
  <c r="X229" i="1"/>
  <c r="V229" i="1"/>
  <c r="U229" i="1"/>
  <c r="S229" i="1"/>
  <c r="R229" i="1"/>
  <c r="M229" i="1"/>
  <c r="L229" i="1"/>
  <c r="K229" i="1"/>
  <c r="J229" i="1"/>
  <c r="I229" i="1"/>
  <c r="H229" i="1"/>
  <c r="G229" i="1"/>
  <c r="F229" i="1"/>
  <c r="V224" i="1"/>
  <c r="U224" i="1"/>
  <c r="S224" i="1"/>
  <c r="R224" i="1"/>
  <c r="J224" i="1"/>
  <c r="I224" i="1"/>
  <c r="G224" i="1"/>
  <c r="F224" i="1"/>
  <c r="V223" i="1"/>
  <c r="U223" i="1"/>
  <c r="S223" i="1"/>
  <c r="R223" i="1"/>
  <c r="J223" i="1"/>
  <c r="I223" i="1"/>
  <c r="G223" i="1"/>
  <c r="F223" i="1"/>
  <c r="X222" i="1"/>
  <c r="V222" i="1"/>
  <c r="U222" i="1"/>
  <c r="S222" i="1"/>
  <c r="R222" i="1"/>
  <c r="L222" i="1"/>
  <c r="J222" i="1"/>
  <c r="I222" i="1"/>
  <c r="G222" i="1"/>
  <c r="F222" i="1"/>
  <c r="V218" i="1"/>
  <c r="U218" i="1"/>
  <c r="S218" i="1"/>
  <c r="R218" i="1"/>
  <c r="K218" i="1"/>
  <c r="J218" i="1"/>
  <c r="I218" i="1"/>
  <c r="H218" i="1"/>
  <c r="G218" i="1"/>
  <c r="F218" i="1"/>
  <c r="V217" i="1"/>
  <c r="U217" i="1"/>
  <c r="S217" i="1"/>
  <c r="R217" i="1"/>
  <c r="K217" i="1"/>
  <c r="J217" i="1"/>
  <c r="I217" i="1"/>
  <c r="H217" i="1"/>
  <c r="G217" i="1"/>
  <c r="F217" i="1"/>
  <c r="X216" i="1"/>
  <c r="V216" i="1"/>
  <c r="U216" i="1"/>
  <c r="S216" i="1"/>
  <c r="R216" i="1"/>
  <c r="M216" i="1"/>
  <c r="L216" i="1"/>
  <c r="K216" i="1"/>
  <c r="J216" i="1"/>
  <c r="I216" i="1"/>
  <c r="H216" i="1"/>
  <c r="G216" i="1"/>
  <c r="F216" i="1"/>
  <c r="V211" i="1"/>
  <c r="U211" i="1"/>
  <c r="S211" i="1"/>
  <c r="R211" i="1"/>
  <c r="J211" i="1"/>
  <c r="I211" i="1"/>
  <c r="G211" i="1"/>
  <c r="F211" i="1"/>
  <c r="V210" i="1"/>
  <c r="U210" i="1"/>
  <c r="S210" i="1"/>
  <c r="R210" i="1"/>
  <c r="J210" i="1"/>
  <c r="I210" i="1"/>
  <c r="G210" i="1"/>
  <c r="F210" i="1"/>
  <c r="X209" i="1"/>
  <c r="V209" i="1"/>
  <c r="U209" i="1"/>
  <c r="S209" i="1"/>
  <c r="R209" i="1"/>
  <c r="L209" i="1"/>
  <c r="J209" i="1"/>
  <c r="I209" i="1"/>
  <c r="G209" i="1"/>
  <c r="F209" i="1"/>
  <c r="V205" i="1"/>
  <c r="U205" i="1"/>
  <c r="S205" i="1"/>
  <c r="R205" i="1"/>
  <c r="K205" i="1"/>
  <c r="J205" i="1"/>
  <c r="I205" i="1"/>
  <c r="H205" i="1"/>
  <c r="G205" i="1"/>
  <c r="F205" i="1"/>
  <c r="V204" i="1"/>
  <c r="U204" i="1"/>
  <c r="S204" i="1"/>
  <c r="R204" i="1"/>
  <c r="K204" i="1"/>
  <c r="J204" i="1"/>
  <c r="I204" i="1"/>
  <c r="H204" i="1"/>
  <c r="G204" i="1"/>
  <c r="F204" i="1"/>
  <c r="X203" i="1"/>
  <c r="V203" i="1"/>
  <c r="U203" i="1"/>
  <c r="S203" i="1"/>
  <c r="R203" i="1"/>
  <c r="M203" i="1"/>
  <c r="L203" i="1"/>
  <c r="K203" i="1"/>
  <c r="J203" i="1"/>
  <c r="I203" i="1"/>
  <c r="H203" i="1"/>
  <c r="G203" i="1"/>
  <c r="F203" i="1"/>
  <c r="V198" i="1"/>
  <c r="U198" i="1"/>
  <c r="S198" i="1"/>
  <c r="R198" i="1"/>
  <c r="J198" i="1"/>
  <c r="I198" i="1"/>
  <c r="G198" i="1"/>
  <c r="F198" i="1"/>
  <c r="V197" i="1"/>
  <c r="U197" i="1"/>
  <c r="S197" i="1"/>
  <c r="R197" i="1"/>
  <c r="J197" i="1"/>
  <c r="I197" i="1"/>
  <c r="G197" i="1"/>
  <c r="F197" i="1"/>
  <c r="X196" i="1"/>
  <c r="V196" i="1"/>
  <c r="U196" i="1"/>
  <c r="S196" i="1"/>
  <c r="R196" i="1"/>
  <c r="L196" i="1"/>
  <c r="J196" i="1"/>
  <c r="I196" i="1"/>
  <c r="G196" i="1"/>
  <c r="F196" i="1"/>
  <c r="V192" i="1"/>
  <c r="U192" i="1"/>
  <c r="S192" i="1"/>
  <c r="R192" i="1"/>
  <c r="K192" i="1"/>
  <c r="J192" i="1"/>
  <c r="I192" i="1"/>
  <c r="H192" i="1"/>
  <c r="G192" i="1"/>
  <c r="F192" i="1"/>
  <c r="V191" i="1"/>
  <c r="U191" i="1"/>
  <c r="S191" i="1"/>
  <c r="R191" i="1"/>
  <c r="K191" i="1"/>
  <c r="J191" i="1"/>
  <c r="I191" i="1"/>
  <c r="H191" i="1"/>
  <c r="G191" i="1"/>
  <c r="F191" i="1"/>
  <c r="X190" i="1"/>
  <c r="V190" i="1"/>
  <c r="U190" i="1"/>
  <c r="S190" i="1"/>
  <c r="R190" i="1"/>
  <c r="M190" i="1"/>
  <c r="L190" i="1"/>
  <c r="K190" i="1"/>
  <c r="J190" i="1"/>
  <c r="I190" i="1"/>
  <c r="H190" i="1"/>
  <c r="G190" i="1"/>
  <c r="F190" i="1"/>
  <c r="V185" i="1"/>
  <c r="U185" i="1"/>
  <c r="S185" i="1"/>
  <c r="R185" i="1"/>
  <c r="J185" i="1"/>
  <c r="I185" i="1"/>
  <c r="G185" i="1"/>
  <c r="F185" i="1"/>
  <c r="V184" i="1"/>
  <c r="U184" i="1"/>
  <c r="S184" i="1"/>
  <c r="R184" i="1"/>
  <c r="J184" i="1"/>
  <c r="I184" i="1"/>
  <c r="G184" i="1"/>
  <c r="F184" i="1"/>
  <c r="X183" i="1"/>
  <c r="V183" i="1"/>
  <c r="U183" i="1"/>
  <c r="S183" i="1"/>
  <c r="R183" i="1"/>
  <c r="L183" i="1"/>
  <c r="J183" i="1"/>
  <c r="I183" i="1"/>
  <c r="G183" i="1"/>
  <c r="F183" i="1"/>
  <c r="V179" i="1"/>
  <c r="U179" i="1"/>
  <c r="S179" i="1"/>
  <c r="R179" i="1"/>
  <c r="K179" i="1"/>
  <c r="J179" i="1"/>
  <c r="I179" i="1"/>
  <c r="H179" i="1"/>
  <c r="G179" i="1"/>
  <c r="F179" i="1"/>
  <c r="V178" i="1"/>
  <c r="U178" i="1"/>
  <c r="S178" i="1"/>
  <c r="R178" i="1"/>
  <c r="K178" i="1"/>
  <c r="J178" i="1"/>
  <c r="I178" i="1"/>
  <c r="H178" i="1"/>
  <c r="G178" i="1"/>
  <c r="F178" i="1"/>
  <c r="X177" i="1"/>
  <c r="V177" i="1"/>
  <c r="U177" i="1"/>
  <c r="S177" i="1"/>
  <c r="R177" i="1"/>
  <c r="M177" i="1"/>
  <c r="L177" i="1"/>
  <c r="K177" i="1"/>
  <c r="J177" i="1"/>
  <c r="I177" i="1"/>
  <c r="H177" i="1"/>
  <c r="G177" i="1"/>
  <c r="F177" i="1"/>
  <c r="V172" i="1"/>
  <c r="U172" i="1"/>
  <c r="S172" i="1"/>
  <c r="R172" i="1"/>
  <c r="J172" i="1"/>
  <c r="I172" i="1"/>
  <c r="G172" i="1"/>
  <c r="F172" i="1"/>
  <c r="V171" i="1"/>
  <c r="U171" i="1"/>
  <c r="S171" i="1"/>
  <c r="R171" i="1"/>
  <c r="J171" i="1"/>
  <c r="I171" i="1"/>
  <c r="G171" i="1"/>
  <c r="F171" i="1"/>
  <c r="X170" i="1"/>
  <c r="V170" i="1"/>
  <c r="U170" i="1"/>
  <c r="S170" i="1"/>
  <c r="R170" i="1"/>
  <c r="L170" i="1"/>
  <c r="J170" i="1"/>
  <c r="I170" i="1"/>
  <c r="G170" i="1"/>
  <c r="F170" i="1"/>
  <c r="V166" i="1"/>
  <c r="U166" i="1"/>
  <c r="S166" i="1"/>
  <c r="R166" i="1"/>
  <c r="K166" i="1"/>
  <c r="J166" i="1"/>
  <c r="I166" i="1"/>
  <c r="H166" i="1"/>
  <c r="G166" i="1"/>
  <c r="F166" i="1"/>
  <c r="V165" i="1"/>
  <c r="U165" i="1"/>
  <c r="S165" i="1"/>
  <c r="R165" i="1"/>
  <c r="K165" i="1"/>
  <c r="J165" i="1"/>
  <c r="I165" i="1"/>
  <c r="H165" i="1"/>
  <c r="G165" i="1"/>
  <c r="F165" i="1"/>
  <c r="X164" i="1"/>
  <c r="V164" i="1"/>
  <c r="U164" i="1"/>
  <c r="S164" i="1"/>
  <c r="R164" i="1"/>
  <c r="M164" i="1"/>
  <c r="L164" i="1"/>
  <c r="K164" i="1"/>
  <c r="J164" i="1"/>
  <c r="I164" i="1"/>
  <c r="H164" i="1"/>
  <c r="G164" i="1"/>
  <c r="F164" i="1"/>
  <c r="V159" i="1"/>
  <c r="U159" i="1"/>
  <c r="S159" i="1"/>
  <c r="R159" i="1"/>
  <c r="J159" i="1"/>
  <c r="I159" i="1"/>
  <c r="G159" i="1"/>
  <c r="F159" i="1"/>
  <c r="V158" i="1"/>
  <c r="U158" i="1"/>
  <c r="S158" i="1"/>
  <c r="R158" i="1"/>
  <c r="J158" i="1"/>
  <c r="I158" i="1"/>
  <c r="G158" i="1"/>
  <c r="F158" i="1"/>
  <c r="X157" i="1"/>
  <c r="V157" i="1"/>
  <c r="U157" i="1"/>
  <c r="S157" i="1"/>
  <c r="R157" i="1"/>
  <c r="L157" i="1"/>
  <c r="J157" i="1"/>
  <c r="I157" i="1"/>
  <c r="G157" i="1"/>
  <c r="F157" i="1"/>
  <c r="V153" i="1"/>
  <c r="U153" i="1"/>
  <c r="S153" i="1"/>
  <c r="R153" i="1"/>
  <c r="K153" i="1"/>
  <c r="J153" i="1"/>
  <c r="I153" i="1"/>
  <c r="H153" i="1"/>
  <c r="G153" i="1"/>
  <c r="F153" i="1"/>
  <c r="V152" i="1"/>
  <c r="U152" i="1"/>
  <c r="S152" i="1"/>
  <c r="R152" i="1"/>
  <c r="K152" i="1"/>
  <c r="J152" i="1"/>
  <c r="I152" i="1"/>
  <c r="H152" i="1"/>
  <c r="G152" i="1"/>
  <c r="F152" i="1"/>
  <c r="X151" i="1"/>
  <c r="V151" i="1"/>
  <c r="U151" i="1"/>
  <c r="S151" i="1"/>
  <c r="R151" i="1"/>
  <c r="M151" i="1"/>
  <c r="L151" i="1"/>
  <c r="K151" i="1"/>
  <c r="J151" i="1"/>
  <c r="I151" i="1"/>
  <c r="H151" i="1"/>
  <c r="G151" i="1"/>
  <c r="F151" i="1"/>
  <c r="V146" i="1"/>
  <c r="U146" i="1"/>
  <c r="S146" i="1"/>
  <c r="R146" i="1"/>
  <c r="J146" i="1"/>
  <c r="I146" i="1"/>
  <c r="G146" i="1"/>
  <c r="F146" i="1"/>
  <c r="V145" i="1"/>
  <c r="U145" i="1"/>
  <c r="S145" i="1"/>
  <c r="R145" i="1"/>
  <c r="J145" i="1"/>
  <c r="I145" i="1"/>
  <c r="G145" i="1"/>
  <c r="F145" i="1"/>
  <c r="X144" i="1"/>
  <c r="V144" i="1"/>
  <c r="U144" i="1"/>
  <c r="S144" i="1"/>
  <c r="R144" i="1"/>
  <c r="L144" i="1"/>
  <c r="J144" i="1"/>
  <c r="I144" i="1"/>
  <c r="G144" i="1"/>
  <c r="F144" i="1"/>
  <c r="V140" i="1"/>
  <c r="U140" i="1"/>
  <c r="S140" i="1"/>
  <c r="R140" i="1"/>
  <c r="K140" i="1"/>
  <c r="J140" i="1"/>
  <c r="I140" i="1"/>
  <c r="H140" i="1"/>
  <c r="G140" i="1"/>
  <c r="F140" i="1"/>
  <c r="V139" i="1"/>
  <c r="U139" i="1"/>
  <c r="S139" i="1"/>
  <c r="R139" i="1"/>
  <c r="K139" i="1"/>
  <c r="J139" i="1"/>
  <c r="I139" i="1"/>
  <c r="H139" i="1"/>
  <c r="G139" i="1"/>
  <c r="F139" i="1"/>
  <c r="X138" i="1"/>
  <c r="V138" i="1"/>
  <c r="U138" i="1"/>
  <c r="S138" i="1"/>
  <c r="R138" i="1"/>
  <c r="M138" i="1"/>
  <c r="L138" i="1"/>
  <c r="K138" i="1"/>
  <c r="J138" i="1"/>
  <c r="I138" i="1"/>
  <c r="H138" i="1"/>
  <c r="G138" i="1"/>
  <c r="F138" i="1"/>
  <c r="V133" i="1"/>
  <c r="U133" i="1"/>
  <c r="S133" i="1"/>
  <c r="R133" i="1"/>
  <c r="J133" i="1"/>
  <c r="I133" i="1"/>
  <c r="G133" i="1"/>
  <c r="F133" i="1"/>
  <c r="V132" i="1"/>
  <c r="U132" i="1"/>
  <c r="S132" i="1"/>
  <c r="R132" i="1"/>
  <c r="J132" i="1"/>
  <c r="I132" i="1"/>
  <c r="G132" i="1"/>
  <c r="F132" i="1"/>
  <c r="X131" i="1"/>
  <c r="V131" i="1"/>
  <c r="U131" i="1"/>
  <c r="S131" i="1"/>
  <c r="R131" i="1"/>
  <c r="L131" i="1"/>
  <c r="J131" i="1"/>
  <c r="I131" i="1"/>
  <c r="G131" i="1"/>
  <c r="F131" i="1"/>
  <c r="V127" i="1"/>
  <c r="U127" i="1"/>
  <c r="S127" i="1"/>
  <c r="R127" i="1"/>
  <c r="K127" i="1"/>
  <c r="J127" i="1"/>
  <c r="I127" i="1"/>
  <c r="H127" i="1"/>
  <c r="G127" i="1"/>
  <c r="F127" i="1"/>
  <c r="V126" i="1"/>
  <c r="U126" i="1"/>
  <c r="S126" i="1"/>
  <c r="R126" i="1"/>
  <c r="K126" i="1"/>
  <c r="J126" i="1"/>
  <c r="I126" i="1"/>
  <c r="H126" i="1"/>
  <c r="G126" i="1"/>
  <c r="F126" i="1"/>
  <c r="X125" i="1"/>
  <c r="V125" i="1"/>
  <c r="U125" i="1"/>
  <c r="S125" i="1"/>
  <c r="R125" i="1"/>
  <c r="M125" i="1"/>
  <c r="L125" i="1"/>
  <c r="K125" i="1"/>
  <c r="J125" i="1"/>
  <c r="I125" i="1"/>
  <c r="H125" i="1"/>
  <c r="G125" i="1"/>
  <c r="F125" i="1"/>
  <c r="V120" i="1"/>
  <c r="U120" i="1"/>
  <c r="S120" i="1"/>
  <c r="R120" i="1"/>
  <c r="J120" i="1"/>
  <c r="I120" i="1"/>
  <c r="G120" i="1"/>
  <c r="F120" i="1"/>
  <c r="V119" i="1"/>
  <c r="U119" i="1"/>
  <c r="S119" i="1"/>
  <c r="R119" i="1"/>
  <c r="J119" i="1"/>
  <c r="I119" i="1"/>
  <c r="G119" i="1"/>
  <c r="F119" i="1"/>
  <c r="X118" i="1"/>
  <c r="V118" i="1"/>
  <c r="U118" i="1"/>
  <c r="S118" i="1"/>
  <c r="R118" i="1"/>
  <c r="L118" i="1"/>
  <c r="J118" i="1"/>
  <c r="I118" i="1"/>
  <c r="G118" i="1"/>
  <c r="F118" i="1"/>
  <c r="V114" i="1"/>
  <c r="U114" i="1"/>
  <c r="S114" i="1"/>
  <c r="R114" i="1"/>
  <c r="K114" i="1"/>
  <c r="J114" i="1"/>
  <c r="I114" i="1"/>
  <c r="H114" i="1"/>
  <c r="G114" i="1"/>
  <c r="F114" i="1"/>
  <c r="V113" i="1"/>
  <c r="U113" i="1"/>
  <c r="S113" i="1"/>
  <c r="R113" i="1"/>
  <c r="K113" i="1"/>
  <c r="J113" i="1"/>
  <c r="I113" i="1"/>
  <c r="H113" i="1"/>
  <c r="G113" i="1"/>
  <c r="F113" i="1"/>
  <c r="X112" i="1"/>
  <c r="V112" i="1"/>
  <c r="U112" i="1"/>
  <c r="S112" i="1"/>
  <c r="R112" i="1"/>
  <c r="M112" i="1"/>
  <c r="L112" i="1"/>
  <c r="K112" i="1"/>
  <c r="J112" i="1"/>
  <c r="I112" i="1"/>
  <c r="H112" i="1"/>
  <c r="G112" i="1"/>
  <c r="F112" i="1"/>
  <c r="V107" i="1"/>
  <c r="U107" i="1"/>
  <c r="S107" i="1"/>
  <c r="R107" i="1"/>
  <c r="J107" i="1"/>
  <c r="I107" i="1"/>
  <c r="G107" i="1"/>
  <c r="F107" i="1"/>
  <c r="V106" i="1"/>
  <c r="U106" i="1"/>
  <c r="S106" i="1"/>
  <c r="R106" i="1"/>
  <c r="J106" i="1"/>
  <c r="I106" i="1"/>
  <c r="G106" i="1"/>
  <c r="F106" i="1"/>
  <c r="X105" i="1"/>
  <c r="V105" i="1"/>
  <c r="U105" i="1"/>
  <c r="S105" i="1"/>
  <c r="R105" i="1"/>
  <c r="L105" i="1"/>
  <c r="J105" i="1"/>
  <c r="I105" i="1"/>
  <c r="G105" i="1"/>
  <c r="F105" i="1"/>
  <c r="V101" i="1"/>
  <c r="U101" i="1"/>
  <c r="S101" i="1"/>
  <c r="R101" i="1"/>
  <c r="K101" i="1"/>
  <c r="J101" i="1"/>
  <c r="I101" i="1"/>
  <c r="H101" i="1"/>
  <c r="G101" i="1"/>
  <c r="F101" i="1"/>
  <c r="V100" i="1"/>
  <c r="U100" i="1"/>
  <c r="S100" i="1"/>
  <c r="R100" i="1"/>
  <c r="K100" i="1"/>
  <c r="J100" i="1"/>
  <c r="I100" i="1"/>
  <c r="H100" i="1"/>
  <c r="G100" i="1"/>
  <c r="F100" i="1"/>
  <c r="X99" i="1"/>
  <c r="V99" i="1"/>
  <c r="U99" i="1"/>
  <c r="S99" i="1"/>
  <c r="R99" i="1"/>
  <c r="M99" i="1"/>
  <c r="L99" i="1"/>
  <c r="K99" i="1"/>
  <c r="J99" i="1"/>
  <c r="I99" i="1"/>
  <c r="H99" i="1"/>
  <c r="G99" i="1"/>
  <c r="F99" i="1"/>
  <c r="V94" i="1"/>
  <c r="U94" i="1"/>
  <c r="S94" i="1"/>
  <c r="R94" i="1"/>
  <c r="J94" i="1"/>
  <c r="I94" i="1"/>
  <c r="G94" i="1"/>
  <c r="F94" i="1"/>
  <c r="V93" i="1"/>
  <c r="U93" i="1"/>
  <c r="S93" i="1"/>
  <c r="R93" i="1"/>
  <c r="J93" i="1"/>
  <c r="I93" i="1"/>
  <c r="G93" i="1"/>
  <c r="F93" i="1"/>
  <c r="X92" i="1"/>
  <c r="V92" i="1"/>
  <c r="U92" i="1"/>
  <c r="S92" i="1"/>
  <c r="R92" i="1"/>
  <c r="L92" i="1"/>
  <c r="J92" i="1"/>
  <c r="I92" i="1"/>
  <c r="G92" i="1"/>
  <c r="F92" i="1"/>
  <c r="V88" i="1"/>
  <c r="U88" i="1"/>
  <c r="S88" i="1"/>
  <c r="R88" i="1"/>
  <c r="K88" i="1"/>
  <c r="J88" i="1"/>
  <c r="I88" i="1"/>
  <c r="H88" i="1"/>
  <c r="G88" i="1"/>
  <c r="F88" i="1"/>
  <c r="V87" i="1"/>
  <c r="U87" i="1"/>
  <c r="S87" i="1"/>
  <c r="R87" i="1"/>
  <c r="K87" i="1"/>
  <c r="J87" i="1"/>
  <c r="I87" i="1"/>
  <c r="H87" i="1"/>
  <c r="G87" i="1"/>
  <c r="F87" i="1"/>
  <c r="X86" i="1"/>
  <c r="V86" i="1"/>
  <c r="U86" i="1"/>
  <c r="S86" i="1"/>
  <c r="R86" i="1"/>
  <c r="M86" i="1"/>
  <c r="L86" i="1"/>
  <c r="K86" i="1"/>
  <c r="J86" i="1"/>
  <c r="I86" i="1"/>
  <c r="H86" i="1"/>
  <c r="G86" i="1"/>
  <c r="F86" i="1"/>
  <c r="V81" i="1"/>
  <c r="U81" i="1"/>
  <c r="S81" i="1"/>
  <c r="R81" i="1"/>
  <c r="J81" i="1"/>
  <c r="I81" i="1"/>
  <c r="G81" i="1"/>
  <c r="F81" i="1"/>
  <c r="V80" i="1"/>
  <c r="U80" i="1"/>
  <c r="S80" i="1"/>
  <c r="R80" i="1"/>
  <c r="J80" i="1"/>
  <c r="I80" i="1"/>
  <c r="G80" i="1"/>
  <c r="F80" i="1"/>
  <c r="X79" i="1"/>
  <c r="V79" i="1"/>
  <c r="U79" i="1"/>
  <c r="S79" i="1"/>
  <c r="R79" i="1"/>
  <c r="L79" i="1"/>
  <c r="J79" i="1"/>
  <c r="I79" i="1"/>
  <c r="G79" i="1"/>
  <c r="F79" i="1"/>
  <c r="V75" i="1"/>
  <c r="U75" i="1"/>
  <c r="S75" i="1"/>
  <c r="R75" i="1"/>
  <c r="K75" i="1"/>
  <c r="J75" i="1"/>
  <c r="I75" i="1"/>
  <c r="H75" i="1"/>
  <c r="G75" i="1"/>
  <c r="F75" i="1"/>
  <c r="V74" i="1"/>
  <c r="U74" i="1"/>
  <c r="S74" i="1"/>
  <c r="R74" i="1"/>
  <c r="K74" i="1"/>
  <c r="J74" i="1"/>
  <c r="I74" i="1"/>
  <c r="H74" i="1"/>
  <c r="G74" i="1"/>
  <c r="F74" i="1"/>
  <c r="X73" i="1"/>
  <c r="V73" i="1"/>
  <c r="U73" i="1"/>
  <c r="S73" i="1"/>
  <c r="R73" i="1"/>
  <c r="M73" i="1"/>
  <c r="L73" i="1"/>
  <c r="K73" i="1"/>
  <c r="J73" i="1"/>
  <c r="I73" i="1"/>
  <c r="H73" i="1"/>
  <c r="G73" i="1"/>
  <c r="F73" i="1"/>
  <c r="X263" i="31"/>
  <c r="V263" i="31"/>
  <c r="U263" i="31"/>
  <c r="S263" i="31"/>
  <c r="R263" i="31"/>
  <c r="L263" i="31"/>
  <c r="J263" i="31"/>
  <c r="I263" i="31"/>
  <c r="G263" i="31"/>
  <c r="F263" i="31"/>
  <c r="V262" i="31"/>
  <c r="U262" i="31"/>
  <c r="S262" i="31"/>
  <c r="R262" i="31"/>
  <c r="J262" i="31"/>
  <c r="I262" i="31"/>
  <c r="G262" i="31"/>
  <c r="F262" i="31"/>
  <c r="V261" i="31"/>
  <c r="U261" i="31"/>
  <c r="S261" i="31"/>
  <c r="R261" i="31"/>
  <c r="J261" i="31"/>
  <c r="I261" i="31"/>
  <c r="G261" i="31"/>
  <c r="F261" i="31"/>
  <c r="X257" i="31"/>
  <c r="V257" i="31"/>
  <c r="U257" i="31"/>
  <c r="S257" i="31"/>
  <c r="R257" i="31"/>
  <c r="M257" i="31"/>
  <c r="L257" i="31"/>
  <c r="K257" i="31"/>
  <c r="J257" i="31"/>
  <c r="I257" i="31"/>
  <c r="H257" i="31"/>
  <c r="G257" i="31"/>
  <c r="F257" i="31"/>
  <c r="V256" i="31"/>
  <c r="U256" i="31"/>
  <c r="S256" i="31"/>
  <c r="R256" i="31"/>
  <c r="K256" i="31"/>
  <c r="J256" i="31"/>
  <c r="I256" i="31"/>
  <c r="H256" i="31"/>
  <c r="G256" i="31"/>
  <c r="F256" i="31"/>
  <c r="V255" i="31"/>
  <c r="U255" i="31"/>
  <c r="S255" i="31"/>
  <c r="R255" i="31"/>
  <c r="K255" i="31"/>
  <c r="J255" i="31"/>
  <c r="I255" i="31"/>
  <c r="H255" i="31"/>
  <c r="G255" i="31"/>
  <c r="F255" i="31"/>
  <c r="X250" i="31"/>
  <c r="V250" i="31"/>
  <c r="U250" i="31"/>
  <c r="S250" i="31"/>
  <c r="R250" i="31"/>
  <c r="L250" i="31"/>
  <c r="J250" i="31"/>
  <c r="I250" i="31"/>
  <c r="G250" i="31"/>
  <c r="F250" i="31"/>
  <c r="V249" i="31"/>
  <c r="U249" i="31"/>
  <c r="S249" i="31"/>
  <c r="R249" i="31"/>
  <c r="J249" i="31"/>
  <c r="I249" i="31"/>
  <c r="G249" i="31"/>
  <c r="F249" i="31"/>
  <c r="V248" i="31"/>
  <c r="U248" i="31"/>
  <c r="S248" i="31"/>
  <c r="R248" i="31"/>
  <c r="J248" i="31"/>
  <c r="I248" i="31"/>
  <c r="G248" i="31"/>
  <c r="F248" i="31"/>
  <c r="X244" i="31"/>
  <c r="V244" i="31"/>
  <c r="U244" i="31"/>
  <c r="S244" i="31"/>
  <c r="R244" i="31"/>
  <c r="M244" i="31"/>
  <c r="L244" i="31"/>
  <c r="K244" i="31"/>
  <c r="J244" i="31"/>
  <c r="I244" i="31"/>
  <c r="H244" i="31"/>
  <c r="G244" i="31"/>
  <c r="F244" i="31"/>
  <c r="V243" i="31"/>
  <c r="U243" i="31"/>
  <c r="S243" i="31"/>
  <c r="R243" i="31"/>
  <c r="K243" i="31"/>
  <c r="J243" i="31"/>
  <c r="I243" i="31"/>
  <c r="H243" i="31"/>
  <c r="G243" i="31"/>
  <c r="F243" i="31"/>
  <c r="V242" i="31"/>
  <c r="U242" i="31"/>
  <c r="S242" i="31"/>
  <c r="R242" i="31"/>
  <c r="K242" i="31"/>
  <c r="J242" i="31"/>
  <c r="I242" i="31"/>
  <c r="H242" i="31"/>
  <c r="G242" i="31"/>
  <c r="F242" i="31"/>
  <c r="X237" i="31"/>
  <c r="V237" i="31"/>
  <c r="U237" i="31"/>
  <c r="S237" i="31"/>
  <c r="R237" i="31"/>
  <c r="L237" i="31"/>
  <c r="J237" i="31"/>
  <c r="I237" i="31"/>
  <c r="G237" i="31"/>
  <c r="F237" i="31"/>
  <c r="V236" i="31"/>
  <c r="U236" i="31"/>
  <c r="S236" i="31"/>
  <c r="R236" i="31"/>
  <c r="J236" i="31"/>
  <c r="I236" i="31"/>
  <c r="G236" i="31"/>
  <c r="F236" i="31"/>
  <c r="V235" i="31"/>
  <c r="U235" i="31"/>
  <c r="S235" i="31"/>
  <c r="R235" i="31"/>
  <c r="J235" i="31"/>
  <c r="I235" i="31"/>
  <c r="G235" i="31"/>
  <c r="F235" i="31"/>
  <c r="X231" i="31"/>
  <c r="V231" i="31"/>
  <c r="U231" i="31"/>
  <c r="S231" i="31"/>
  <c r="R231" i="31"/>
  <c r="M231" i="31"/>
  <c r="L231" i="31"/>
  <c r="K231" i="31"/>
  <c r="J231" i="31"/>
  <c r="I231" i="31"/>
  <c r="H231" i="31"/>
  <c r="G231" i="31"/>
  <c r="F231" i="31"/>
  <c r="V230" i="31"/>
  <c r="U230" i="31"/>
  <c r="S230" i="31"/>
  <c r="R230" i="31"/>
  <c r="K230" i="31"/>
  <c r="J230" i="31"/>
  <c r="I230" i="31"/>
  <c r="H230" i="31"/>
  <c r="G230" i="31"/>
  <c r="F230" i="31"/>
  <c r="V229" i="31"/>
  <c r="U229" i="31"/>
  <c r="S229" i="31"/>
  <c r="R229" i="31"/>
  <c r="K229" i="31"/>
  <c r="J229" i="31"/>
  <c r="I229" i="31"/>
  <c r="H229" i="31"/>
  <c r="G229" i="31"/>
  <c r="F229" i="31"/>
  <c r="X224" i="31"/>
  <c r="V224" i="31"/>
  <c r="U224" i="31"/>
  <c r="S224" i="31"/>
  <c r="R224" i="31"/>
  <c r="L224" i="31"/>
  <c r="J224" i="31"/>
  <c r="I224" i="31"/>
  <c r="G224" i="31"/>
  <c r="F224" i="31"/>
  <c r="V223" i="31"/>
  <c r="U223" i="31"/>
  <c r="S223" i="31"/>
  <c r="R223" i="31"/>
  <c r="J223" i="31"/>
  <c r="I223" i="31"/>
  <c r="G223" i="31"/>
  <c r="F223" i="31"/>
  <c r="V222" i="31"/>
  <c r="U222" i="31"/>
  <c r="S222" i="31"/>
  <c r="R222" i="31"/>
  <c r="J222" i="31"/>
  <c r="I222" i="31"/>
  <c r="G222" i="31"/>
  <c r="F222" i="31"/>
  <c r="X218" i="31"/>
  <c r="V218" i="31"/>
  <c r="U218" i="31"/>
  <c r="S218" i="31"/>
  <c r="R218" i="31"/>
  <c r="M218" i="31"/>
  <c r="L218" i="31"/>
  <c r="K218" i="31"/>
  <c r="J218" i="31"/>
  <c r="I218" i="31"/>
  <c r="H218" i="31"/>
  <c r="G218" i="31"/>
  <c r="F218" i="31"/>
  <c r="V217" i="31"/>
  <c r="U217" i="31"/>
  <c r="S217" i="31"/>
  <c r="R217" i="31"/>
  <c r="K217" i="31"/>
  <c r="J217" i="31"/>
  <c r="I217" i="31"/>
  <c r="H217" i="31"/>
  <c r="G217" i="31"/>
  <c r="F217" i="31"/>
  <c r="V216" i="31"/>
  <c r="U216" i="31"/>
  <c r="S216" i="31"/>
  <c r="R216" i="31"/>
  <c r="K216" i="31"/>
  <c r="J216" i="31"/>
  <c r="I216" i="31"/>
  <c r="H216" i="31"/>
  <c r="G216" i="31"/>
  <c r="F216" i="31"/>
  <c r="X211" i="31"/>
  <c r="V211" i="31"/>
  <c r="U211" i="31"/>
  <c r="S211" i="31"/>
  <c r="R211" i="31"/>
  <c r="L211" i="31"/>
  <c r="J211" i="31"/>
  <c r="I211" i="31"/>
  <c r="G211" i="31"/>
  <c r="F211" i="31"/>
  <c r="V210" i="31"/>
  <c r="U210" i="31"/>
  <c r="S210" i="31"/>
  <c r="R210" i="31"/>
  <c r="J210" i="31"/>
  <c r="I210" i="31"/>
  <c r="G210" i="31"/>
  <c r="F210" i="31"/>
  <c r="V209" i="31"/>
  <c r="U209" i="31"/>
  <c r="S209" i="31"/>
  <c r="R209" i="31"/>
  <c r="J209" i="31"/>
  <c r="I209" i="31"/>
  <c r="G209" i="31"/>
  <c r="F209" i="31"/>
  <c r="X205" i="31"/>
  <c r="V205" i="31"/>
  <c r="U205" i="31"/>
  <c r="S205" i="31"/>
  <c r="R205" i="31"/>
  <c r="M205" i="31"/>
  <c r="L205" i="31"/>
  <c r="K205" i="31"/>
  <c r="J205" i="31"/>
  <c r="I205" i="31"/>
  <c r="H205" i="31"/>
  <c r="G205" i="31"/>
  <c r="F205" i="31"/>
  <c r="V204" i="31"/>
  <c r="U204" i="31"/>
  <c r="S204" i="31"/>
  <c r="R204" i="31"/>
  <c r="K204" i="31"/>
  <c r="J204" i="31"/>
  <c r="I204" i="31"/>
  <c r="H204" i="31"/>
  <c r="G204" i="31"/>
  <c r="F204" i="31"/>
  <c r="V203" i="31"/>
  <c r="U203" i="31"/>
  <c r="S203" i="31"/>
  <c r="R203" i="31"/>
  <c r="K203" i="31"/>
  <c r="J203" i="31"/>
  <c r="I203" i="31"/>
  <c r="H203" i="31"/>
  <c r="G203" i="31"/>
  <c r="F203" i="31"/>
  <c r="X198" i="31"/>
  <c r="V198" i="31"/>
  <c r="U198" i="31"/>
  <c r="S198" i="31"/>
  <c r="R198" i="31"/>
  <c r="L198" i="31"/>
  <c r="J198" i="31"/>
  <c r="I198" i="31"/>
  <c r="G198" i="31"/>
  <c r="F198" i="31"/>
  <c r="V197" i="31"/>
  <c r="U197" i="31"/>
  <c r="S197" i="31"/>
  <c r="R197" i="31"/>
  <c r="J197" i="31"/>
  <c r="I197" i="31"/>
  <c r="G197" i="31"/>
  <c r="F197" i="31"/>
  <c r="V196" i="31"/>
  <c r="U196" i="31"/>
  <c r="S196" i="31"/>
  <c r="R196" i="31"/>
  <c r="J196" i="31"/>
  <c r="I196" i="31"/>
  <c r="G196" i="31"/>
  <c r="F196" i="31"/>
  <c r="X192" i="31"/>
  <c r="V192" i="31"/>
  <c r="U192" i="31"/>
  <c r="S192" i="31"/>
  <c r="R192" i="31"/>
  <c r="M192" i="31"/>
  <c r="L192" i="31"/>
  <c r="K192" i="31"/>
  <c r="J192" i="31"/>
  <c r="I192" i="31"/>
  <c r="H192" i="31"/>
  <c r="G192" i="31"/>
  <c r="F192" i="31"/>
  <c r="V191" i="31"/>
  <c r="U191" i="31"/>
  <c r="S191" i="31"/>
  <c r="R191" i="31"/>
  <c r="K191" i="31"/>
  <c r="J191" i="31"/>
  <c r="I191" i="31"/>
  <c r="H191" i="31"/>
  <c r="G191" i="31"/>
  <c r="F191" i="31"/>
  <c r="V190" i="31"/>
  <c r="U190" i="31"/>
  <c r="S190" i="31"/>
  <c r="R190" i="31"/>
  <c r="K190" i="31"/>
  <c r="J190" i="31"/>
  <c r="I190" i="31"/>
  <c r="H190" i="31"/>
  <c r="G190" i="31"/>
  <c r="F190" i="31"/>
  <c r="X185" i="31"/>
  <c r="V185" i="31"/>
  <c r="U185" i="31"/>
  <c r="S185" i="31"/>
  <c r="R185" i="31"/>
  <c r="L185" i="31"/>
  <c r="J185" i="31"/>
  <c r="I185" i="31"/>
  <c r="G185" i="31"/>
  <c r="F185" i="31"/>
  <c r="V184" i="31"/>
  <c r="U184" i="31"/>
  <c r="S184" i="31"/>
  <c r="R184" i="31"/>
  <c r="J184" i="31"/>
  <c r="I184" i="31"/>
  <c r="G184" i="31"/>
  <c r="F184" i="31"/>
  <c r="V183" i="31"/>
  <c r="U183" i="31"/>
  <c r="S183" i="31"/>
  <c r="R183" i="31"/>
  <c r="J183" i="31"/>
  <c r="I183" i="31"/>
  <c r="G183" i="31"/>
  <c r="F183" i="31"/>
  <c r="X179" i="31"/>
  <c r="V179" i="31"/>
  <c r="U179" i="31"/>
  <c r="S179" i="31"/>
  <c r="R179" i="31"/>
  <c r="M179" i="31"/>
  <c r="L179" i="31"/>
  <c r="K179" i="31"/>
  <c r="J179" i="31"/>
  <c r="I179" i="31"/>
  <c r="H179" i="31"/>
  <c r="G179" i="31"/>
  <c r="F179" i="31"/>
  <c r="V178" i="31"/>
  <c r="U178" i="31"/>
  <c r="S178" i="31"/>
  <c r="R178" i="31"/>
  <c r="K178" i="31"/>
  <c r="J178" i="31"/>
  <c r="I178" i="31"/>
  <c r="H178" i="31"/>
  <c r="G178" i="31"/>
  <c r="F178" i="31"/>
  <c r="V177" i="31"/>
  <c r="U177" i="31"/>
  <c r="S177" i="31"/>
  <c r="R177" i="31"/>
  <c r="K177" i="31"/>
  <c r="J177" i="31"/>
  <c r="I177" i="31"/>
  <c r="H177" i="31"/>
  <c r="G177" i="31"/>
  <c r="F177" i="31"/>
  <c r="X172" i="31"/>
  <c r="V172" i="31"/>
  <c r="U172" i="31"/>
  <c r="S172" i="31"/>
  <c r="R172" i="31"/>
  <c r="L172" i="31"/>
  <c r="J172" i="31"/>
  <c r="I172" i="31"/>
  <c r="G172" i="31"/>
  <c r="F172" i="31"/>
  <c r="V171" i="31"/>
  <c r="U171" i="31"/>
  <c r="S171" i="31"/>
  <c r="R171" i="31"/>
  <c r="J171" i="31"/>
  <c r="I171" i="31"/>
  <c r="G171" i="31"/>
  <c r="F171" i="31"/>
  <c r="V170" i="31"/>
  <c r="U170" i="31"/>
  <c r="S170" i="31"/>
  <c r="R170" i="31"/>
  <c r="J170" i="31"/>
  <c r="I170" i="31"/>
  <c r="G170" i="31"/>
  <c r="F170" i="31"/>
  <c r="X166" i="31"/>
  <c r="V166" i="31"/>
  <c r="U166" i="31"/>
  <c r="S166" i="31"/>
  <c r="R166" i="31"/>
  <c r="M166" i="31"/>
  <c r="L166" i="31"/>
  <c r="K166" i="31"/>
  <c r="J166" i="31"/>
  <c r="I166" i="31"/>
  <c r="H166" i="31"/>
  <c r="G166" i="31"/>
  <c r="F166" i="31"/>
  <c r="V165" i="31"/>
  <c r="U165" i="31"/>
  <c r="S165" i="31"/>
  <c r="R165" i="31"/>
  <c r="K165" i="31"/>
  <c r="J165" i="31"/>
  <c r="I165" i="31"/>
  <c r="H165" i="31"/>
  <c r="G165" i="31"/>
  <c r="F165" i="31"/>
  <c r="V164" i="31"/>
  <c r="U164" i="31"/>
  <c r="S164" i="31"/>
  <c r="R164" i="31"/>
  <c r="K164" i="31"/>
  <c r="J164" i="31"/>
  <c r="I164" i="31"/>
  <c r="H164" i="31"/>
  <c r="G164" i="31"/>
  <c r="F164" i="31"/>
  <c r="X159" i="31"/>
  <c r="V159" i="31"/>
  <c r="U159" i="31"/>
  <c r="S159" i="31"/>
  <c r="R159" i="31"/>
  <c r="L159" i="31"/>
  <c r="J159" i="31"/>
  <c r="I159" i="31"/>
  <c r="G159" i="31"/>
  <c r="F159" i="31"/>
  <c r="V158" i="31"/>
  <c r="U158" i="31"/>
  <c r="S158" i="31"/>
  <c r="R158" i="31"/>
  <c r="J158" i="31"/>
  <c r="I158" i="31"/>
  <c r="G158" i="31"/>
  <c r="F158" i="31"/>
  <c r="V157" i="31"/>
  <c r="U157" i="31"/>
  <c r="S157" i="31"/>
  <c r="R157" i="31"/>
  <c r="J157" i="31"/>
  <c r="I157" i="31"/>
  <c r="G157" i="31"/>
  <c r="F157" i="31"/>
  <c r="X153" i="31"/>
  <c r="V153" i="31"/>
  <c r="U153" i="31"/>
  <c r="S153" i="31"/>
  <c r="R153" i="31"/>
  <c r="M153" i="31"/>
  <c r="L153" i="31"/>
  <c r="K153" i="31"/>
  <c r="J153" i="31"/>
  <c r="I153" i="31"/>
  <c r="H153" i="31"/>
  <c r="G153" i="31"/>
  <c r="F153" i="31"/>
  <c r="V152" i="31"/>
  <c r="U152" i="31"/>
  <c r="S152" i="31"/>
  <c r="R152" i="31"/>
  <c r="K152" i="31"/>
  <c r="J152" i="31"/>
  <c r="I152" i="31"/>
  <c r="H152" i="31"/>
  <c r="G152" i="31"/>
  <c r="F152" i="31"/>
  <c r="V151" i="31"/>
  <c r="U151" i="31"/>
  <c r="S151" i="31"/>
  <c r="R151" i="31"/>
  <c r="K151" i="31"/>
  <c r="J151" i="31"/>
  <c r="I151" i="31"/>
  <c r="H151" i="31"/>
  <c r="G151" i="31"/>
  <c r="F151" i="31"/>
  <c r="X146" i="31"/>
  <c r="V146" i="31"/>
  <c r="U146" i="31"/>
  <c r="S146" i="31"/>
  <c r="R146" i="31"/>
  <c r="L146" i="31"/>
  <c r="J146" i="31"/>
  <c r="I146" i="31"/>
  <c r="G146" i="31"/>
  <c r="F146" i="31"/>
  <c r="V145" i="31"/>
  <c r="U145" i="31"/>
  <c r="S145" i="31"/>
  <c r="R145" i="31"/>
  <c r="J145" i="31"/>
  <c r="I145" i="31"/>
  <c r="G145" i="31"/>
  <c r="F145" i="31"/>
  <c r="V144" i="31"/>
  <c r="U144" i="31"/>
  <c r="S144" i="31"/>
  <c r="R144" i="31"/>
  <c r="J144" i="31"/>
  <c r="I144" i="31"/>
  <c r="G144" i="31"/>
  <c r="F144" i="31"/>
  <c r="X140" i="31"/>
  <c r="V140" i="31"/>
  <c r="U140" i="31"/>
  <c r="S140" i="31"/>
  <c r="R140" i="31"/>
  <c r="M140" i="31"/>
  <c r="L140" i="31"/>
  <c r="K140" i="31"/>
  <c r="J140" i="31"/>
  <c r="I140" i="31"/>
  <c r="H140" i="31"/>
  <c r="G140" i="31"/>
  <c r="F140" i="31"/>
  <c r="V139" i="31"/>
  <c r="U139" i="31"/>
  <c r="S139" i="31"/>
  <c r="R139" i="31"/>
  <c r="K139" i="31"/>
  <c r="J139" i="31"/>
  <c r="I139" i="31"/>
  <c r="H139" i="31"/>
  <c r="G139" i="31"/>
  <c r="F139" i="31"/>
  <c r="V138" i="31"/>
  <c r="U138" i="31"/>
  <c r="S138" i="31"/>
  <c r="R138" i="31"/>
  <c r="K138" i="31"/>
  <c r="J138" i="31"/>
  <c r="I138" i="31"/>
  <c r="H138" i="31"/>
  <c r="G138" i="31"/>
  <c r="F138" i="31"/>
  <c r="X133" i="31"/>
  <c r="V133" i="31"/>
  <c r="U133" i="31"/>
  <c r="S133" i="31"/>
  <c r="R133" i="31"/>
  <c r="L133" i="31"/>
  <c r="J133" i="31"/>
  <c r="I133" i="31"/>
  <c r="G133" i="31"/>
  <c r="F133" i="31"/>
  <c r="V132" i="31"/>
  <c r="U132" i="31"/>
  <c r="S132" i="31"/>
  <c r="R132" i="31"/>
  <c r="J132" i="31"/>
  <c r="I132" i="31"/>
  <c r="G132" i="31"/>
  <c r="F132" i="31"/>
  <c r="V131" i="31"/>
  <c r="U131" i="31"/>
  <c r="S131" i="31"/>
  <c r="R131" i="31"/>
  <c r="J131" i="31"/>
  <c r="I131" i="31"/>
  <c r="G131" i="31"/>
  <c r="F131" i="31"/>
  <c r="X127" i="31"/>
  <c r="V127" i="31"/>
  <c r="U127" i="31"/>
  <c r="S127" i="31"/>
  <c r="R127" i="31"/>
  <c r="M127" i="31"/>
  <c r="L127" i="31"/>
  <c r="K127" i="31"/>
  <c r="J127" i="31"/>
  <c r="I127" i="31"/>
  <c r="H127" i="31"/>
  <c r="G127" i="31"/>
  <c r="F127" i="31"/>
  <c r="V126" i="31"/>
  <c r="U126" i="31"/>
  <c r="S126" i="31"/>
  <c r="R126" i="31"/>
  <c r="K126" i="31"/>
  <c r="J126" i="31"/>
  <c r="I126" i="31"/>
  <c r="H126" i="31"/>
  <c r="G126" i="31"/>
  <c r="F126" i="31"/>
  <c r="V125" i="31"/>
  <c r="U125" i="31"/>
  <c r="S125" i="31"/>
  <c r="R125" i="31"/>
  <c r="K125" i="31"/>
  <c r="J125" i="31"/>
  <c r="I125" i="31"/>
  <c r="H125" i="31"/>
  <c r="G125" i="31"/>
  <c r="F125" i="31"/>
  <c r="X120" i="31"/>
  <c r="V120" i="31"/>
  <c r="U120" i="31"/>
  <c r="S120" i="31"/>
  <c r="R120" i="31"/>
  <c r="L120" i="31"/>
  <c r="J120" i="31"/>
  <c r="I120" i="31"/>
  <c r="G120" i="31"/>
  <c r="F120" i="31"/>
  <c r="V119" i="31"/>
  <c r="U119" i="31"/>
  <c r="S119" i="31"/>
  <c r="R119" i="31"/>
  <c r="J119" i="31"/>
  <c r="I119" i="31"/>
  <c r="G119" i="31"/>
  <c r="F119" i="31"/>
  <c r="V118" i="31"/>
  <c r="U118" i="31"/>
  <c r="S118" i="31"/>
  <c r="R118" i="31"/>
  <c r="J118" i="31"/>
  <c r="I118" i="31"/>
  <c r="G118" i="31"/>
  <c r="F118" i="31"/>
  <c r="X114" i="31"/>
  <c r="V114" i="31"/>
  <c r="U114" i="31"/>
  <c r="S114" i="31"/>
  <c r="R114" i="31"/>
  <c r="M114" i="31"/>
  <c r="L114" i="31"/>
  <c r="K114" i="31"/>
  <c r="J114" i="31"/>
  <c r="I114" i="31"/>
  <c r="H114" i="31"/>
  <c r="G114" i="31"/>
  <c r="F114" i="31"/>
  <c r="V113" i="31"/>
  <c r="U113" i="31"/>
  <c r="S113" i="31"/>
  <c r="R113" i="31"/>
  <c r="K113" i="31"/>
  <c r="J113" i="31"/>
  <c r="I113" i="31"/>
  <c r="H113" i="31"/>
  <c r="G113" i="31"/>
  <c r="F113" i="31"/>
  <c r="V112" i="31"/>
  <c r="U112" i="31"/>
  <c r="S112" i="31"/>
  <c r="R112" i="31"/>
  <c r="K112" i="31"/>
  <c r="J112" i="31"/>
  <c r="I112" i="31"/>
  <c r="H112" i="31"/>
  <c r="G112" i="31"/>
  <c r="F112" i="31"/>
  <c r="X107" i="31"/>
  <c r="V107" i="31"/>
  <c r="U107" i="31"/>
  <c r="S107" i="31"/>
  <c r="R107" i="31"/>
  <c r="L107" i="31"/>
  <c r="J107" i="31"/>
  <c r="I107" i="31"/>
  <c r="G107" i="31"/>
  <c r="F107" i="31"/>
  <c r="V106" i="31"/>
  <c r="U106" i="31"/>
  <c r="S106" i="31"/>
  <c r="R106" i="31"/>
  <c r="J106" i="31"/>
  <c r="I106" i="31"/>
  <c r="G106" i="31"/>
  <c r="F106" i="31"/>
  <c r="V105" i="31"/>
  <c r="U105" i="31"/>
  <c r="S105" i="31"/>
  <c r="R105" i="31"/>
  <c r="J105" i="31"/>
  <c r="I105" i="31"/>
  <c r="G105" i="31"/>
  <c r="F105" i="31"/>
  <c r="X101" i="31"/>
  <c r="V101" i="31"/>
  <c r="U101" i="31"/>
  <c r="S101" i="31"/>
  <c r="R101" i="31"/>
  <c r="M101" i="31"/>
  <c r="L101" i="31"/>
  <c r="K101" i="31"/>
  <c r="J101" i="31"/>
  <c r="I101" i="31"/>
  <c r="H101" i="31"/>
  <c r="G101" i="31"/>
  <c r="F101" i="31"/>
  <c r="V100" i="31"/>
  <c r="U100" i="31"/>
  <c r="S100" i="31"/>
  <c r="R100" i="31"/>
  <c r="K100" i="31"/>
  <c r="J100" i="31"/>
  <c r="I100" i="31"/>
  <c r="H100" i="31"/>
  <c r="G100" i="31"/>
  <c r="F100" i="31"/>
  <c r="V99" i="31"/>
  <c r="U99" i="31"/>
  <c r="S99" i="31"/>
  <c r="R99" i="31"/>
  <c r="K99" i="31"/>
  <c r="J99" i="31"/>
  <c r="I99" i="31"/>
  <c r="H99" i="31"/>
  <c r="G99" i="31"/>
  <c r="F99" i="31"/>
  <c r="X94" i="31"/>
  <c r="V94" i="31"/>
  <c r="U94" i="31"/>
  <c r="S94" i="31"/>
  <c r="R94" i="31"/>
  <c r="L94" i="31"/>
  <c r="J94" i="31"/>
  <c r="I94" i="31"/>
  <c r="G94" i="31"/>
  <c r="F94" i="31"/>
  <c r="V93" i="31"/>
  <c r="U93" i="31"/>
  <c r="S93" i="31"/>
  <c r="R93" i="31"/>
  <c r="J93" i="31"/>
  <c r="I93" i="31"/>
  <c r="G93" i="31"/>
  <c r="F93" i="31"/>
  <c r="V92" i="31"/>
  <c r="U92" i="31"/>
  <c r="S92" i="31"/>
  <c r="R92" i="31"/>
  <c r="J92" i="31"/>
  <c r="I92" i="31"/>
  <c r="G92" i="31"/>
  <c r="F92" i="31"/>
  <c r="X88" i="31"/>
  <c r="V88" i="31"/>
  <c r="U88" i="31"/>
  <c r="S88" i="31"/>
  <c r="R88" i="31"/>
  <c r="M88" i="31"/>
  <c r="L88" i="31"/>
  <c r="K88" i="31"/>
  <c r="J88" i="31"/>
  <c r="I88" i="31"/>
  <c r="H88" i="31"/>
  <c r="G88" i="31"/>
  <c r="F88" i="31"/>
  <c r="V87" i="31"/>
  <c r="U87" i="31"/>
  <c r="S87" i="31"/>
  <c r="R87" i="31"/>
  <c r="K87" i="31"/>
  <c r="J87" i="31"/>
  <c r="I87" i="31"/>
  <c r="H87" i="31"/>
  <c r="G87" i="31"/>
  <c r="F87" i="31"/>
  <c r="V86" i="31"/>
  <c r="U86" i="31"/>
  <c r="S86" i="31"/>
  <c r="R86" i="31"/>
  <c r="K86" i="31"/>
  <c r="J86" i="31"/>
  <c r="I86" i="31"/>
  <c r="H86" i="31"/>
  <c r="G86" i="31"/>
  <c r="F86" i="31"/>
  <c r="X81" i="31"/>
  <c r="V81" i="31"/>
  <c r="U81" i="31"/>
  <c r="S81" i="31"/>
  <c r="R81" i="31"/>
  <c r="L81" i="31"/>
  <c r="J81" i="31"/>
  <c r="I81" i="31"/>
  <c r="G81" i="31"/>
  <c r="F81" i="31"/>
  <c r="V80" i="31"/>
  <c r="U80" i="31"/>
  <c r="S80" i="31"/>
  <c r="R80" i="31"/>
  <c r="J80" i="31"/>
  <c r="I80" i="31"/>
  <c r="G80" i="31"/>
  <c r="F80" i="31"/>
  <c r="V79" i="31"/>
  <c r="U79" i="31"/>
  <c r="S79" i="31"/>
  <c r="R79" i="31"/>
  <c r="J79" i="31"/>
  <c r="I79" i="31"/>
  <c r="G79" i="31"/>
  <c r="F79" i="31"/>
  <c r="X75" i="31"/>
  <c r="V75" i="31"/>
  <c r="U75" i="31"/>
  <c r="S75" i="31"/>
  <c r="R75" i="31"/>
  <c r="M75" i="31"/>
  <c r="L75" i="31"/>
  <c r="K75" i="31"/>
  <c r="J75" i="31"/>
  <c r="I75" i="31"/>
  <c r="H75" i="31"/>
  <c r="G75" i="31"/>
  <c r="F75" i="31"/>
  <c r="V74" i="31"/>
  <c r="U74" i="31"/>
  <c r="S74" i="31"/>
  <c r="R74" i="31"/>
  <c r="K74" i="31"/>
  <c r="J74" i="31"/>
  <c r="I74" i="31"/>
  <c r="H74" i="31"/>
  <c r="G74" i="31"/>
  <c r="F74" i="31"/>
  <c r="V73" i="31"/>
  <c r="U73" i="31"/>
  <c r="S73" i="31"/>
  <c r="R73" i="31"/>
  <c r="K73" i="31"/>
  <c r="J73" i="31"/>
  <c r="I73" i="31"/>
  <c r="H73" i="31"/>
  <c r="G73" i="31"/>
  <c r="F73" i="31"/>
  <c r="X263" i="35"/>
  <c r="V263" i="35"/>
  <c r="U263" i="35"/>
  <c r="S263" i="35"/>
  <c r="R263" i="35"/>
  <c r="L263" i="35"/>
  <c r="J263" i="35"/>
  <c r="I263" i="35"/>
  <c r="G263" i="35"/>
  <c r="F263" i="35"/>
  <c r="V262" i="35"/>
  <c r="U262" i="35"/>
  <c r="S262" i="35"/>
  <c r="R262" i="35"/>
  <c r="J262" i="35"/>
  <c r="I262" i="35"/>
  <c r="G262" i="35"/>
  <c r="F262" i="35"/>
  <c r="V261" i="35"/>
  <c r="U261" i="35"/>
  <c r="S261" i="35"/>
  <c r="R261" i="35"/>
  <c r="J261" i="35"/>
  <c r="I261" i="35"/>
  <c r="G261" i="35"/>
  <c r="F261" i="35"/>
  <c r="X257" i="35"/>
  <c r="V257" i="35"/>
  <c r="U257" i="35"/>
  <c r="S257" i="35"/>
  <c r="R257" i="35"/>
  <c r="M257" i="35"/>
  <c r="L257" i="35"/>
  <c r="K257" i="35"/>
  <c r="J257" i="35"/>
  <c r="I257" i="35"/>
  <c r="H257" i="35"/>
  <c r="G257" i="35"/>
  <c r="F257" i="35"/>
  <c r="V256" i="35"/>
  <c r="U256" i="35"/>
  <c r="S256" i="35"/>
  <c r="R256" i="35"/>
  <c r="K256" i="35"/>
  <c r="J256" i="35"/>
  <c r="I256" i="35"/>
  <c r="H256" i="35"/>
  <c r="G256" i="35"/>
  <c r="F256" i="35"/>
  <c r="V255" i="35"/>
  <c r="U255" i="35"/>
  <c r="S255" i="35"/>
  <c r="R255" i="35"/>
  <c r="K255" i="35"/>
  <c r="J255" i="35"/>
  <c r="I255" i="35"/>
  <c r="H255" i="35"/>
  <c r="G255" i="35"/>
  <c r="F255" i="35"/>
  <c r="X250" i="35"/>
  <c r="V250" i="35"/>
  <c r="U250" i="35"/>
  <c r="S250" i="35"/>
  <c r="R250" i="35"/>
  <c r="L250" i="35"/>
  <c r="J250" i="35"/>
  <c r="I250" i="35"/>
  <c r="G250" i="35"/>
  <c r="F250" i="35"/>
  <c r="V249" i="35"/>
  <c r="U249" i="35"/>
  <c r="S249" i="35"/>
  <c r="R249" i="35"/>
  <c r="J249" i="35"/>
  <c r="I249" i="35"/>
  <c r="G249" i="35"/>
  <c r="F249" i="35"/>
  <c r="V248" i="35"/>
  <c r="U248" i="35"/>
  <c r="S248" i="35"/>
  <c r="R248" i="35"/>
  <c r="J248" i="35"/>
  <c r="I248" i="35"/>
  <c r="G248" i="35"/>
  <c r="F248" i="35"/>
  <c r="X244" i="35"/>
  <c r="V244" i="35"/>
  <c r="U244" i="35"/>
  <c r="S244" i="35"/>
  <c r="R244" i="35"/>
  <c r="M244" i="35"/>
  <c r="L244" i="35"/>
  <c r="K244" i="35"/>
  <c r="J244" i="35"/>
  <c r="I244" i="35"/>
  <c r="H244" i="35"/>
  <c r="G244" i="35"/>
  <c r="F244" i="35"/>
  <c r="V243" i="35"/>
  <c r="U243" i="35"/>
  <c r="S243" i="35"/>
  <c r="R243" i="35"/>
  <c r="K243" i="35"/>
  <c r="J243" i="35"/>
  <c r="I243" i="35"/>
  <c r="H243" i="35"/>
  <c r="G243" i="35"/>
  <c r="F243" i="35"/>
  <c r="V242" i="35"/>
  <c r="U242" i="35"/>
  <c r="S242" i="35"/>
  <c r="R242" i="35"/>
  <c r="K242" i="35"/>
  <c r="J242" i="35"/>
  <c r="I242" i="35"/>
  <c r="H242" i="35"/>
  <c r="G242" i="35"/>
  <c r="F242" i="35"/>
  <c r="X237" i="35"/>
  <c r="V237" i="35"/>
  <c r="U237" i="35"/>
  <c r="S237" i="35"/>
  <c r="R237" i="35"/>
  <c r="L237" i="35"/>
  <c r="J237" i="35"/>
  <c r="I237" i="35"/>
  <c r="G237" i="35"/>
  <c r="F237" i="35"/>
  <c r="V236" i="35"/>
  <c r="U236" i="35"/>
  <c r="S236" i="35"/>
  <c r="R236" i="35"/>
  <c r="J236" i="35"/>
  <c r="I236" i="35"/>
  <c r="G236" i="35"/>
  <c r="F236" i="35"/>
  <c r="V235" i="35"/>
  <c r="U235" i="35"/>
  <c r="S235" i="35"/>
  <c r="R235" i="35"/>
  <c r="J235" i="35"/>
  <c r="I235" i="35"/>
  <c r="G235" i="35"/>
  <c r="F235" i="35"/>
  <c r="X231" i="35"/>
  <c r="V231" i="35"/>
  <c r="U231" i="35"/>
  <c r="S231" i="35"/>
  <c r="R231" i="35"/>
  <c r="M231" i="35"/>
  <c r="L231" i="35"/>
  <c r="K231" i="35"/>
  <c r="J231" i="35"/>
  <c r="I231" i="35"/>
  <c r="H231" i="35"/>
  <c r="G231" i="35"/>
  <c r="F231" i="35"/>
  <c r="V230" i="35"/>
  <c r="U230" i="35"/>
  <c r="S230" i="35"/>
  <c r="R230" i="35"/>
  <c r="K230" i="35"/>
  <c r="J230" i="35"/>
  <c r="I230" i="35"/>
  <c r="H230" i="35"/>
  <c r="G230" i="35"/>
  <c r="F230" i="35"/>
  <c r="V229" i="35"/>
  <c r="U229" i="35"/>
  <c r="S229" i="35"/>
  <c r="R229" i="35"/>
  <c r="K229" i="35"/>
  <c r="J229" i="35"/>
  <c r="I229" i="35"/>
  <c r="H229" i="35"/>
  <c r="G229" i="35"/>
  <c r="F229" i="35"/>
  <c r="X224" i="35"/>
  <c r="V224" i="35"/>
  <c r="U224" i="35"/>
  <c r="S224" i="35"/>
  <c r="R224" i="35"/>
  <c r="L224" i="35"/>
  <c r="J224" i="35"/>
  <c r="I224" i="35"/>
  <c r="G224" i="35"/>
  <c r="F224" i="35"/>
  <c r="V223" i="35"/>
  <c r="U223" i="35"/>
  <c r="S223" i="35"/>
  <c r="R223" i="35"/>
  <c r="J223" i="35"/>
  <c r="I223" i="35"/>
  <c r="G223" i="35"/>
  <c r="F223" i="35"/>
  <c r="V222" i="35"/>
  <c r="U222" i="35"/>
  <c r="S222" i="35"/>
  <c r="R222" i="35"/>
  <c r="J222" i="35"/>
  <c r="I222" i="35"/>
  <c r="G222" i="35"/>
  <c r="F222" i="35"/>
  <c r="X218" i="35"/>
  <c r="V218" i="35"/>
  <c r="U218" i="35"/>
  <c r="S218" i="35"/>
  <c r="R218" i="35"/>
  <c r="M218" i="35"/>
  <c r="L218" i="35"/>
  <c r="K218" i="35"/>
  <c r="J218" i="35"/>
  <c r="I218" i="35"/>
  <c r="H218" i="35"/>
  <c r="G218" i="35"/>
  <c r="F218" i="35"/>
  <c r="V217" i="35"/>
  <c r="U217" i="35"/>
  <c r="S217" i="35"/>
  <c r="R217" i="35"/>
  <c r="K217" i="35"/>
  <c r="J217" i="35"/>
  <c r="I217" i="35"/>
  <c r="H217" i="35"/>
  <c r="G217" i="35"/>
  <c r="F217" i="35"/>
  <c r="V216" i="35"/>
  <c r="U216" i="35"/>
  <c r="S216" i="35"/>
  <c r="R216" i="35"/>
  <c r="K216" i="35"/>
  <c r="J216" i="35"/>
  <c r="I216" i="35"/>
  <c r="H216" i="35"/>
  <c r="G216" i="35"/>
  <c r="F216" i="35"/>
  <c r="X211" i="35"/>
  <c r="V211" i="35"/>
  <c r="U211" i="35"/>
  <c r="S211" i="35"/>
  <c r="R211" i="35"/>
  <c r="L211" i="35"/>
  <c r="J211" i="35"/>
  <c r="I211" i="35"/>
  <c r="G211" i="35"/>
  <c r="F211" i="35"/>
  <c r="V210" i="35"/>
  <c r="U210" i="35"/>
  <c r="S210" i="35"/>
  <c r="R210" i="35"/>
  <c r="J210" i="35"/>
  <c r="I210" i="35"/>
  <c r="G210" i="35"/>
  <c r="F210" i="35"/>
  <c r="V209" i="35"/>
  <c r="U209" i="35"/>
  <c r="S209" i="35"/>
  <c r="R209" i="35"/>
  <c r="J209" i="35"/>
  <c r="I209" i="35"/>
  <c r="G209" i="35"/>
  <c r="F209" i="35"/>
  <c r="X205" i="35"/>
  <c r="V205" i="35"/>
  <c r="U205" i="35"/>
  <c r="S205" i="35"/>
  <c r="R205" i="35"/>
  <c r="M205" i="35"/>
  <c r="L205" i="35"/>
  <c r="K205" i="35"/>
  <c r="J205" i="35"/>
  <c r="I205" i="35"/>
  <c r="H205" i="35"/>
  <c r="G205" i="35"/>
  <c r="F205" i="35"/>
  <c r="V204" i="35"/>
  <c r="U204" i="35"/>
  <c r="S204" i="35"/>
  <c r="R204" i="35"/>
  <c r="K204" i="35"/>
  <c r="J204" i="35"/>
  <c r="I204" i="35"/>
  <c r="H204" i="35"/>
  <c r="G204" i="35"/>
  <c r="F204" i="35"/>
  <c r="V203" i="35"/>
  <c r="U203" i="35"/>
  <c r="S203" i="35"/>
  <c r="R203" i="35"/>
  <c r="K203" i="35"/>
  <c r="J203" i="35"/>
  <c r="I203" i="35"/>
  <c r="H203" i="35"/>
  <c r="G203" i="35"/>
  <c r="F203" i="35"/>
  <c r="X198" i="35"/>
  <c r="V198" i="35"/>
  <c r="U198" i="35"/>
  <c r="S198" i="35"/>
  <c r="R198" i="35"/>
  <c r="L198" i="35"/>
  <c r="J198" i="35"/>
  <c r="I198" i="35"/>
  <c r="G198" i="35"/>
  <c r="F198" i="35"/>
  <c r="V197" i="35"/>
  <c r="U197" i="35"/>
  <c r="S197" i="35"/>
  <c r="R197" i="35"/>
  <c r="J197" i="35"/>
  <c r="I197" i="35"/>
  <c r="G197" i="35"/>
  <c r="F197" i="35"/>
  <c r="V196" i="35"/>
  <c r="U196" i="35"/>
  <c r="S196" i="35"/>
  <c r="R196" i="35"/>
  <c r="J196" i="35"/>
  <c r="I196" i="35"/>
  <c r="G196" i="35"/>
  <c r="F196" i="35"/>
  <c r="X192" i="35"/>
  <c r="V192" i="35"/>
  <c r="U192" i="35"/>
  <c r="S192" i="35"/>
  <c r="R192" i="35"/>
  <c r="M192" i="35"/>
  <c r="L192" i="35"/>
  <c r="K192" i="35"/>
  <c r="J192" i="35"/>
  <c r="I192" i="35"/>
  <c r="H192" i="35"/>
  <c r="G192" i="35"/>
  <c r="F192" i="35"/>
  <c r="V191" i="35"/>
  <c r="U191" i="35"/>
  <c r="S191" i="35"/>
  <c r="R191" i="35"/>
  <c r="K191" i="35"/>
  <c r="J191" i="35"/>
  <c r="I191" i="35"/>
  <c r="H191" i="35"/>
  <c r="G191" i="35"/>
  <c r="F191" i="35"/>
  <c r="V190" i="35"/>
  <c r="U190" i="35"/>
  <c r="S190" i="35"/>
  <c r="R190" i="35"/>
  <c r="K190" i="35"/>
  <c r="J190" i="35"/>
  <c r="I190" i="35"/>
  <c r="H190" i="35"/>
  <c r="G190" i="35"/>
  <c r="F190" i="35"/>
  <c r="X185" i="35"/>
  <c r="V185" i="35"/>
  <c r="U185" i="35"/>
  <c r="S185" i="35"/>
  <c r="R185" i="35"/>
  <c r="L185" i="35"/>
  <c r="J185" i="35"/>
  <c r="I185" i="35"/>
  <c r="G185" i="35"/>
  <c r="F185" i="35"/>
  <c r="V184" i="35"/>
  <c r="U184" i="35"/>
  <c r="S184" i="35"/>
  <c r="R184" i="35"/>
  <c r="J184" i="35"/>
  <c r="I184" i="35"/>
  <c r="G184" i="35"/>
  <c r="F184" i="35"/>
  <c r="V183" i="35"/>
  <c r="U183" i="35"/>
  <c r="S183" i="35"/>
  <c r="R183" i="35"/>
  <c r="J183" i="35"/>
  <c r="I183" i="35"/>
  <c r="G183" i="35"/>
  <c r="F183" i="35"/>
  <c r="X179" i="35"/>
  <c r="V179" i="35"/>
  <c r="U179" i="35"/>
  <c r="S179" i="35"/>
  <c r="R179" i="35"/>
  <c r="M179" i="35"/>
  <c r="L179" i="35"/>
  <c r="K179" i="35"/>
  <c r="J179" i="35"/>
  <c r="I179" i="35"/>
  <c r="H179" i="35"/>
  <c r="G179" i="35"/>
  <c r="F179" i="35"/>
  <c r="V178" i="35"/>
  <c r="U178" i="35"/>
  <c r="S178" i="35"/>
  <c r="R178" i="35"/>
  <c r="K178" i="35"/>
  <c r="J178" i="35"/>
  <c r="I178" i="35"/>
  <c r="H178" i="35"/>
  <c r="G178" i="35"/>
  <c r="F178" i="35"/>
  <c r="V177" i="35"/>
  <c r="U177" i="35"/>
  <c r="S177" i="35"/>
  <c r="R177" i="35"/>
  <c r="K177" i="35"/>
  <c r="J177" i="35"/>
  <c r="I177" i="35"/>
  <c r="H177" i="35"/>
  <c r="G177" i="35"/>
  <c r="F177" i="35"/>
  <c r="X172" i="35"/>
  <c r="V172" i="35"/>
  <c r="U172" i="35"/>
  <c r="S172" i="35"/>
  <c r="R172" i="35"/>
  <c r="L172" i="35"/>
  <c r="J172" i="35"/>
  <c r="I172" i="35"/>
  <c r="G172" i="35"/>
  <c r="F172" i="35"/>
  <c r="V171" i="35"/>
  <c r="U171" i="35"/>
  <c r="S171" i="35"/>
  <c r="R171" i="35"/>
  <c r="J171" i="35"/>
  <c r="I171" i="35"/>
  <c r="G171" i="35"/>
  <c r="F171" i="35"/>
  <c r="V170" i="35"/>
  <c r="U170" i="35"/>
  <c r="S170" i="35"/>
  <c r="R170" i="35"/>
  <c r="J170" i="35"/>
  <c r="I170" i="35"/>
  <c r="G170" i="35"/>
  <c r="F170" i="35"/>
  <c r="X166" i="35"/>
  <c r="V166" i="35"/>
  <c r="U166" i="35"/>
  <c r="S166" i="35"/>
  <c r="R166" i="35"/>
  <c r="M166" i="35"/>
  <c r="L166" i="35"/>
  <c r="K166" i="35"/>
  <c r="J166" i="35"/>
  <c r="I166" i="35"/>
  <c r="H166" i="35"/>
  <c r="G166" i="35"/>
  <c r="F166" i="35"/>
  <c r="V165" i="35"/>
  <c r="U165" i="35"/>
  <c r="S165" i="35"/>
  <c r="R165" i="35"/>
  <c r="K165" i="35"/>
  <c r="J165" i="35"/>
  <c r="I165" i="35"/>
  <c r="H165" i="35"/>
  <c r="G165" i="35"/>
  <c r="F165" i="35"/>
  <c r="V164" i="35"/>
  <c r="U164" i="35"/>
  <c r="S164" i="35"/>
  <c r="R164" i="35"/>
  <c r="K164" i="35"/>
  <c r="J164" i="35"/>
  <c r="I164" i="35"/>
  <c r="H164" i="35"/>
  <c r="G164" i="35"/>
  <c r="F164" i="35"/>
  <c r="X159" i="35"/>
  <c r="V159" i="35"/>
  <c r="U159" i="35"/>
  <c r="S159" i="35"/>
  <c r="R159" i="35"/>
  <c r="L159" i="35"/>
  <c r="J159" i="35"/>
  <c r="I159" i="35"/>
  <c r="G159" i="35"/>
  <c r="F159" i="35"/>
  <c r="V158" i="35"/>
  <c r="U158" i="35"/>
  <c r="S158" i="35"/>
  <c r="R158" i="35"/>
  <c r="J158" i="35"/>
  <c r="I158" i="35"/>
  <c r="G158" i="35"/>
  <c r="F158" i="35"/>
  <c r="V157" i="35"/>
  <c r="U157" i="35"/>
  <c r="S157" i="35"/>
  <c r="R157" i="35"/>
  <c r="J157" i="35"/>
  <c r="I157" i="35"/>
  <c r="G157" i="35"/>
  <c r="F157" i="35"/>
  <c r="X153" i="35"/>
  <c r="V153" i="35"/>
  <c r="U153" i="35"/>
  <c r="S153" i="35"/>
  <c r="R153" i="35"/>
  <c r="M153" i="35"/>
  <c r="L153" i="35"/>
  <c r="K153" i="35"/>
  <c r="J153" i="35"/>
  <c r="I153" i="35"/>
  <c r="H153" i="35"/>
  <c r="G153" i="35"/>
  <c r="F153" i="35"/>
  <c r="V152" i="35"/>
  <c r="U152" i="35"/>
  <c r="S152" i="35"/>
  <c r="R152" i="35"/>
  <c r="K152" i="35"/>
  <c r="J152" i="35"/>
  <c r="I152" i="35"/>
  <c r="H152" i="35"/>
  <c r="G152" i="35"/>
  <c r="F152" i="35"/>
  <c r="V151" i="35"/>
  <c r="U151" i="35"/>
  <c r="S151" i="35"/>
  <c r="R151" i="35"/>
  <c r="K151" i="35"/>
  <c r="J151" i="35"/>
  <c r="I151" i="35"/>
  <c r="H151" i="35"/>
  <c r="G151" i="35"/>
  <c r="F151" i="35"/>
  <c r="X146" i="35"/>
  <c r="V146" i="35"/>
  <c r="U146" i="35"/>
  <c r="S146" i="35"/>
  <c r="R146" i="35"/>
  <c r="L146" i="35"/>
  <c r="J146" i="35"/>
  <c r="I146" i="35"/>
  <c r="G146" i="35"/>
  <c r="F146" i="35"/>
  <c r="V145" i="35"/>
  <c r="U145" i="35"/>
  <c r="S145" i="35"/>
  <c r="R145" i="35"/>
  <c r="J145" i="35"/>
  <c r="I145" i="35"/>
  <c r="G145" i="35"/>
  <c r="F145" i="35"/>
  <c r="V144" i="35"/>
  <c r="U144" i="35"/>
  <c r="S144" i="35"/>
  <c r="R144" i="35"/>
  <c r="J144" i="35"/>
  <c r="I144" i="35"/>
  <c r="G144" i="35"/>
  <c r="F144" i="35"/>
  <c r="X140" i="35"/>
  <c r="V140" i="35"/>
  <c r="U140" i="35"/>
  <c r="S140" i="35"/>
  <c r="R140" i="35"/>
  <c r="M140" i="35"/>
  <c r="L140" i="35"/>
  <c r="K140" i="35"/>
  <c r="J140" i="35"/>
  <c r="I140" i="35"/>
  <c r="H140" i="35"/>
  <c r="G140" i="35"/>
  <c r="F140" i="35"/>
  <c r="V139" i="35"/>
  <c r="U139" i="35"/>
  <c r="S139" i="35"/>
  <c r="R139" i="35"/>
  <c r="K139" i="35"/>
  <c r="J139" i="35"/>
  <c r="I139" i="35"/>
  <c r="H139" i="35"/>
  <c r="G139" i="35"/>
  <c r="F139" i="35"/>
  <c r="V138" i="35"/>
  <c r="U138" i="35"/>
  <c r="S138" i="35"/>
  <c r="R138" i="35"/>
  <c r="K138" i="35"/>
  <c r="J138" i="35"/>
  <c r="I138" i="35"/>
  <c r="H138" i="35"/>
  <c r="G138" i="35"/>
  <c r="F138" i="35"/>
  <c r="X133" i="35"/>
  <c r="V133" i="35"/>
  <c r="U133" i="35"/>
  <c r="S133" i="35"/>
  <c r="R133" i="35"/>
  <c r="L133" i="35"/>
  <c r="J133" i="35"/>
  <c r="I133" i="35"/>
  <c r="G133" i="35"/>
  <c r="F133" i="35"/>
  <c r="V132" i="35"/>
  <c r="U132" i="35"/>
  <c r="S132" i="35"/>
  <c r="R132" i="35"/>
  <c r="J132" i="35"/>
  <c r="I132" i="35"/>
  <c r="G132" i="35"/>
  <c r="F132" i="35"/>
  <c r="V131" i="35"/>
  <c r="U131" i="35"/>
  <c r="S131" i="35"/>
  <c r="R131" i="35"/>
  <c r="J131" i="35"/>
  <c r="I131" i="35"/>
  <c r="G131" i="35"/>
  <c r="F131" i="35"/>
  <c r="X127" i="35"/>
  <c r="V127" i="35"/>
  <c r="U127" i="35"/>
  <c r="S127" i="35"/>
  <c r="R127" i="35"/>
  <c r="M127" i="35"/>
  <c r="L127" i="35"/>
  <c r="K127" i="35"/>
  <c r="J127" i="35"/>
  <c r="I127" i="35"/>
  <c r="H127" i="35"/>
  <c r="G127" i="35"/>
  <c r="F127" i="35"/>
  <c r="V126" i="35"/>
  <c r="U126" i="35"/>
  <c r="S126" i="35"/>
  <c r="R126" i="35"/>
  <c r="K126" i="35"/>
  <c r="J126" i="35"/>
  <c r="I126" i="35"/>
  <c r="H126" i="35"/>
  <c r="G126" i="35"/>
  <c r="F126" i="35"/>
  <c r="V125" i="35"/>
  <c r="U125" i="35"/>
  <c r="S125" i="35"/>
  <c r="R125" i="35"/>
  <c r="K125" i="35"/>
  <c r="J125" i="35"/>
  <c r="I125" i="35"/>
  <c r="H125" i="35"/>
  <c r="G125" i="35"/>
  <c r="F125" i="35"/>
  <c r="X120" i="35"/>
  <c r="V120" i="35"/>
  <c r="U120" i="35"/>
  <c r="S120" i="35"/>
  <c r="R120" i="35"/>
  <c r="L120" i="35"/>
  <c r="J120" i="35"/>
  <c r="I120" i="35"/>
  <c r="G120" i="35"/>
  <c r="F120" i="35"/>
  <c r="V119" i="35"/>
  <c r="U119" i="35"/>
  <c r="S119" i="35"/>
  <c r="R119" i="35"/>
  <c r="J119" i="35"/>
  <c r="I119" i="35"/>
  <c r="G119" i="35"/>
  <c r="F119" i="35"/>
  <c r="V118" i="35"/>
  <c r="U118" i="35"/>
  <c r="S118" i="35"/>
  <c r="R118" i="35"/>
  <c r="J118" i="35"/>
  <c r="I118" i="35"/>
  <c r="G118" i="35"/>
  <c r="F118" i="35"/>
  <c r="X114" i="35"/>
  <c r="V114" i="35"/>
  <c r="U114" i="35"/>
  <c r="S114" i="35"/>
  <c r="R114" i="35"/>
  <c r="M114" i="35"/>
  <c r="L114" i="35"/>
  <c r="K114" i="35"/>
  <c r="J114" i="35"/>
  <c r="I114" i="35"/>
  <c r="H114" i="35"/>
  <c r="G114" i="35"/>
  <c r="F114" i="35"/>
  <c r="V113" i="35"/>
  <c r="U113" i="35"/>
  <c r="S113" i="35"/>
  <c r="R113" i="35"/>
  <c r="K113" i="35"/>
  <c r="J113" i="35"/>
  <c r="I113" i="35"/>
  <c r="H113" i="35"/>
  <c r="G113" i="35"/>
  <c r="F113" i="35"/>
  <c r="V112" i="35"/>
  <c r="U112" i="35"/>
  <c r="S112" i="35"/>
  <c r="R112" i="35"/>
  <c r="K112" i="35"/>
  <c r="J112" i="35"/>
  <c r="I112" i="35"/>
  <c r="H112" i="35"/>
  <c r="G112" i="35"/>
  <c r="F112" i="35"/>
  <c r="X107" i="35"/>
  <c r="V107" i="35"/>
  <c r="U107" i="35"/>
  <c r="S107" i="35"/>
  <c r="R107" i="35"/>
  <c r="L107" i="35"/>
  <c r="J107" i="35"/>
  <c r="I107" i="35"/>
  <c r="G107" i="35"/>
  <c r="F107" i="35"/>
  <c r="V106" i="35"/>
  <c r="U106" i="35"/>
  <c r="S106" i="35"/>
  <c r="R106" i="35"/>
  <c r="J106" i="35"/>
  <c r="I106" i="35"/>
  <c r="G106" i="35"/>
  <c r="F106" i="35"/>
  <c r="V105" i="35"/>
  <c r="U105" i="35"/>
  <c r="S105" i="35"/>
  <c r="R105" i="35"/>
  <c r="J105" i="35"/>
  <c r="I105" i="35"/>
  <c r="G105" i="35"/>
  <c r="F105" i="35"/>
  <c r="X101" i="35"/>
  <c r="V101" i="35"/>
  <c r="U101" i="35"/>
  <c r="S101" i="35"/>
  <c r="R101" i="35"/>
  <c r="M101" i="35"/>
  <c r="L101" i="35"/>
  <c r="K101" i="35"/>
  <c r="J101" i="35"/>
  <c r="I101" i="35"/>
  <c r="H101" i="35"/>
  <c r="G101" i="35"/>
  <c r="F101" i="35"/>
  <c r="V100" i="35"/>
  <c r="U100" i="35"/>
  <c r="S100" i="35"/>
  <c r="R100" i="35"/>
  <c r="K100" i="35"/>
  <c r="J100" i="35"/>
  <c r="I100" i="35"/>
  <c r="H100" i="35"/>
  <c r="G100" i="35"/>
  <c r="F100" i="35"/>
  <c r="V99" i="35"/>
  <c r="U99" i="35"/>
  <c r="S99" i="35"/>
  <c r="R99" i="35"/>
  <c r="K99" i="35"/>
  <c r="J99" i="35"/>
  <c r="I99" i="35"/>
  <c r="H99" i="35"/>
  <c r="G99" i="35"/>
  <c r="F99" i="35"/>
  <c r="X94" i="35"/>
  <c r="V94" i="35"/>
  <c r="U94" i="35"/>
  <c r="S94" i="35"/>
  <c r="R94" i="35"/>
  <c r="L94" i="35"/>
  <c r="J94" i="35"/>
  <c r="I94" i="35"/>
  <c r="G94" i="35"/>
  <c r="F94" i="35"/>
  <c r="V93" i="35"/>
  <c r="U93" i="35"/>
  <c r="S93" i="35"/>
  <c r="R93" i="35"/>
  <c r="J93" i="35"/>
  <c r="I93" i="35"/>
  <c r="G93" i="35"/>
  <c r="F93" i="35"/>
  <c r="V92" i="35"/>
  <c r="U92" i="35"/>
  <c r="S92" i="35"/>
  <c r="R92" i="35"/>
  <c r="J92" i="35"/>
  <c r="I92" i="35"/>
  <c r="G92" i="35"/>
  <c r="F92" i="35"/>
  <c r="X88" i="35"/>
  <c r="V88" i="35"/>
  <c r="U88" i="35"/>
  <c r="S88" i="35"/>
  <c r="R88" i="35"/>
  <c r="M88" i="35"/>
  <c r="L88" i="35"/>
  <c r="K88" i="35"/>
  <c r="J88" i="35"/>
  <c r="I88" i="35"/>
  <c r="H88" i="35"/>
  <c r="G88" i="35"/>
  <c r="F88" i="35"/>
  <c r="V87" i="35"/>
  <c r="U87" i="35"/>
  <c r="S87" i="35"/>
  <c r="R87" i="35"/>
  <c r="K87" i="35"/>
  <c r="J87" i="35"/>
  <c r="I87" i="35"/>
  <c r="H87" i="35"/>
  <c r="G87" i="35"/>
  <c r="F87" i="35"/>
  <c r="V86" i="35"/>
  <c r="U86" i="35"/>
  <c r="S86" i="35"/>
  <c r="R86" i="35"/>
  <c r="K86" i="35"/>
  <c r="J86" i="35"/>
  <c r="I86" i="35"/>
  <c r="H86" i="35"/>
  <c r="G86" i="35"/>
  <c r="F86" i="35"/>
  <c r="X81" i="35"/>
  <c r="V81" i="35"/>
  <c r="U81" i="35"/>
  <c r="S81" i="35"/>
  <c r="R81" i="35"/>
  <c r="L81" i="35"/>
  <c r="J81" i="35"/>
  <c r="I81" i="35"/>
  <c r="G81" i="35"/>
  <c r="F81" i="35"/>
  <c r="V80" i="35"/>
  <c r="U80" i="35"/>
  <c r="S80" i="35"/>
  <c r="R80" i="35"/>
  <c r="J80" i="35"/>
  <c r="I80" i="35"/>
  <c r="G80" i="35"/>
  <c r="F80" i="35"/>
  <c r="V79" i="35"/>
  <c r="U79" i="35"/>
  <c r="S79" i="35"/>
  <c r="R79" i="35"/>
  <c r="J79" i="35"/>
  <c r="I79" i="35"/>
  <c r="G79" i="35"/>
  <c r="F79" i="35"/>
  <c r="X75" i="35"/>
  <c r="V75" i="35"/>
  <c r="U75" i="35"/>
  <c r="S75" i="35"/>
  <c r="R75" i="35"/>
  <c r="M75" i="35"/>
  <c r="L75" i="35"/>
  <c r="K75" i="35"/>
  <c r="J75" i="35"/>
  <c r="I75" i="35"/>
  <c r="H75" i="35"/>
  <c r="G75" i="35"/>
  <c r="F75" i="35"/>
  <c r="V74" i="35"/>
  <c r="U74" i="35"/>
  <c r="S74" i="35"/>
  <c r="R74" i="35"/>
  <c r="K74" i="35"/>
  <c r="J74" i="35"/>
  <c r="I74" i="35"/>
  <c r="H74" i="35"/>
  <c r="G74" i="35"/>
  <c r="F74" i="35"/>
  <c r="V73" i="35"/>
  <c r="U73" i="35"/>
  <c r="S73" i="35"/>
  <c r="R73" i="35"/>
  <c r="K73" i="35"/>
  <c r="J73" i="35"/>
  <c r="I73" i="35"/>
  <c r="H73" i="35"/>
  <c r="G73" i="35"/>
  <c r="F73" i="35"/>
  <c r="X263" i="56"/>
  <c r="V263" i="56"/>
  <c r="U263" i="56"/>
  <c r="S263" i="56"/>
  <c r="R263" i="56"/>
  <c r="L263" i="56"/>
  <c r="J263" i="56"/>
  <c r="I263" i="56"/>
  <c r="G263" i="56"/>
  <c r="F263" i="56"/>
  <c r="V262" i="56"/>
  <c r="U262" i="56"/>
  <c r="S262" i="56"/>
  <c r="R262" i="56"/>
  <c r="J262" i="56"/>
  <c r="I262" i="56"/>
  <c r="G262" i="56"/>
  <c r="F262" i="56"/>
  <c r="V261" i="56"/>
  <c r="U261" i="56"/>
  <c r="S261" i="56"/>
  <c r="R261" i="56"/>
  <c r="J261" i="56"/>
  <c r="I261" i="56"/>
  <c r="G261" i="56"/>
  <c r="F261" i="56"/>
  <c r="X257" i="56"/>
  <c r="V257" i="56"/>
  <c r="U257" i="56"/>
  <c r="S257" i="56"/>
  <c r="R257" i="56"/>
  <c r="M257" i="56"/>
  <c r="L257" i="56"/>
  <c r="K257" i="56"/>
  <c r="J257" i="56"/>
  <c r="I257" i="56"/>
  <c r="H257" i="56"/>
  <c r="G257" i="56"/>
  <c r="F257" i="56"/>
  <c r="V256" i="56"/>
  <c r="U256" i="56"/>
  <c r="S256" i="56"/>
  <c r="R256" i="56"/>
  <c r="K256" i="56"/>
  <c r="J256" i="56"/>
  <c r="I256" i="56"/>
  <c r="H256" i="56"/>
  <c r="G256" i="56"/>
  <c r="F256" i="56"/>
  <c r="V255" i="56"/>
  <c r="U255" i="56"/>
  <c r="S255" i="56"/>
  <c r="R255" i="56"/>
  <c r="K255" i="56"/>
  <c r="J255" i="56"/>
  <c r="I255" i="56"/>
  <c r="H255" i="56"/>
  <c r="G255" i="56"/>
  <c r="F255" i="56"/>
  <c r="X250" i="56"/>
  <c r="V250" i="56"/>
  <c r="U250" i="56"/>
  <c r="S250" i="56"/>
  <c r="R250" i="56"/>
  <c r="L250" i="56"/>
  <c r="J250" i="56"/>
  <c r="I250" i="56"/>
  <c r="G250" i="56"/>
  <c r="F250" i="56"/>
  <c r="V249" i="56"/>
  <c r="U249" i="56"/>
  <c r="S249" i="56"/>
  <c r="R249" i="56"/>
  <c r="J249" i="56"/>
  <c r="I249" i="56"/>
  <c r="G249" i="56"/>
  <c r="F249" i="56"/>
  <c r="V248" i="56"/>
  <c r="U248" i="56"/>
  <c r="S248" i="56"/>
  <c r="R248" i="56"/>
  <c r="J248" i="56"/>
  <c r="I248" i="56"/>
  <c r="G248" i="56"/>
  <c r="F248" i="56"/>
  <c r="X244" i="56"/>
  <c r="V244" i="56"/>
  <c r="U244" i="56"/>
  <c r="S244" i="56"/>
  <c r="R244" i="56"/>
  <c r="M244" i="56"/>
  <c r="L244" i="56"/>
  <c r="K244" i="56"/>
  <c r="J244" i="56"/>
  <c r="I244" i="56"/>
  <c r="H244" i="56"/>
  <c r="G244" i="56"/>
  <c r="F244" i="56"/>
  <c r="V243" i="56"/>
  <c r="U243" i="56"/>
  <c r="S243" i="56"/>
  <c r="R243" i="56"/>
  <c r="K243" i="56"/>
  <c r="J243" i="56"/>
  <c r="I243" i="56"/>
  <c r="H243" i="56"/>
  <c r="G243" i="56"/>
  <c r="F243" i="56"/>
  <c r="V242" i="56"/>
  <c r="U242" i="56"/>
  <c r="S242" i="56"/>
  <c r="R242" i="56"/>
  <c r="K242" i="56"/>
  <c r="J242" i="56"/>
  <c r="I242" i="56"/>
  <c r="H242" i="56"/>
  <c r="G242" i="56"/>
  <c r="F242" i="56"/>
  <c r="X237" i="56"/>
  <c r="V237" i="56"/>
  <c r="U237" i="56"/>
  <c r="S237" i="56"/>
  <c r="R237" i="56"/>
  <c r="L237" i="56"/>
  <c r="J237" i="56"/>
  <c r="I237" i="56"/>
  <c r="G237" i="56"/>
  <c r="F237" i="56"/>
  <c r="V236" i="56"/>
  <c r="U236" i="56"/>
  <c r="S236" i="56"/>
  <c r="R236" i="56"/>
  <c r="J236" i="56"/>
  <c r="I236" i="56"/>
  <c r="G236" i="56"/>
  <c r="F236" i="56"/>
  <c r="V235" i="56"/>
  <c r="U235" i="56"/>
  <c r="S235" i="56"/>
  <c r="R235" i="56"/>
  <c r="J235" i="56"/>
  <c r="I235" i="56"/>
  <c r="G235" i="56"/>
  <c r="F235" i="56"/>
  <c r="X231" i="56"/>
  <c r="V231" i="56"/>
  <c r="U231" i="56"/>
  <c r="S231" i="56"/>
  <c r="R231" i="56"/>
  <c r="M231" i="56"/>
  <c r="L231" i="56"/>
  <c r="K231" i="56"/>
  <c r="J231" i="56"/>
  <c r="I231" i="56"/>
  <c r="H231" i="56"/>
  <c r="G231" i="56"/>
  <c r="F231" i="56"/>
  <c r="V230" i="56"/>
  <c r="U230" i="56"/>
  <c r="S230" i="56"/>
  <c r="R230" i="56"/>
  <c r="K230" i="56"/>
  <c r="J230" i="56"/>
  <c r="I230" i="56"/>
  <c r="H230" i="56"/>
  <c r="G230" i="56"/>
  <c r="F230" i="56"/>
  <c r="V229" i="56"/>
  <c r="U229" i="56"/>
  <c r="S229" i="56"/>
  <c r="R229" i="56"/>
  <c r="K229" i="56"/>
  <c r="J229" i="56"/>
  <c r="I229" i="56"/>
  <c r="H229" i="56"/>
  <c r="G229" i="56"/>
  <c r="F229" i="56"/>
  <c r="X224" i="56"/>
  <c r="V224" i="56"/>
  <c r="U224" i="56"/>
  <c r="S224" i="56"/>
  <c r="R224" i="56"/>
  <c r="L224" i="56"/>
  <c r="J224" i="56"/>
  <c r="I224" i="56"/>
  <c r="G224" i="56"/>
  <c r="F224" i="56"/>
  <c r="V223" i="56"/>
  <c r="U223" i="56"/>
  <c r="S223" i="56"/>
  <c r="R223" i="56"/>
  <c r="J223" i="56"/>
  <c r="I223" i="56"/>
  <c r="G223" i="56"/>
  <c r="F223" i="56"/>
  <c r="V222" i="56"/>
  <c r="U222" i="56"/>
  <c r="S222" i="56"/>
  <c r="R222" i="56"/>
  <c r="J222" i="56"/>
  <c r="I222" i="56"/>
  <c r="G222" i="56"/>
  <c r="F222" i="56"/>
  <c r="X218" i="56"/>
  <c r="V218" i="56"/>
  <c r="U218" i="56"/>
  <c r="S218" i="56"/>
  <c r="R218" i="56"/>
  <c r="M218" i="56"/>
  <c r="L218" i="56"/>
  <c r="K218" i="56"/>
  <c r="J218" i="56"/>
  <c r="I218" i="56"/>
  <c r="H218" i="56"/>
  <c r="G218" i="56"/>
  <c r="F218" i="56"/>
  <c r="V217" i="56"/>
  <c r="U217" i="56"/>
  <c r="S217" i="56"/>
  <c r="R217" i="56"/>
  <c r="K217" i="56"/>
  <c r="J217" i="56"/>
  <c r="I217" i="56"/>
  <c r="H217" i="56"/>
  <c r="G217" i="56"/>
  <c r="F217" i="56"/>
  <c r="V216" i="56"/>
  <c r="U216" i="56"/>
  <c r="S216" i="56"/>
  <c r="R216" i="56"/>
  <c r="K216" i="56"/>
  <c r="J216" i="56"/>
  <c r="I216" i="56"/>
  <c r="H216" i="56"/>
  <c r="G216" i="56"/>
  <c r="F216" i="56"/>
  <c r="X211" i="56"/>
  <c r="V211" i="56"/>
  <c r="U211" i="56"/>
  <c r="S211" i="56"/>
  <c r="R211" i="56"/>
  <c r="L211" i="56"/>
  <c r="J211" i="56"/>
  <c r="I211" i="56"/>
  <c r="G211" i="56"/>
  <c r="F211" i="56"/>
  <c r="V210" i="56"/>
  <c r="U210" i="56"/>
  <c r="S210" i="56"/>
  <c r="R210" i="56"/>
  <c r="J210" i="56"/>
  <c r="I210" i="56"/>
  <c r="G210" i="56"/>
  <c r="F210" i="56"/>
  <c r="V209" i="56"/>
  <c r="U209" i="56"/>
  <c r="S209" i="56"/>
  <c r="R209" i="56"/>
  <c r="J209" i="56"/>
  <c r="I209" i="56"/>
  <c r="G209" i="56"/>
  <c r="F209" i="56"/>
  <c r="X205" i="56"/>
  <c r="V205" i="56"/>
  <c r="U205" i="56"/>
  <c r="S205" i="56"/>
  <c r="R205" i="56"/>
  <c r="M205" i="56"/>
  <c r="L205" i="56"/>
  <c r="K205" i="56"/>
  <c r="J205" i="56"/>
  <c r="I205" i="56"/>
  <c r="H205" i="56"/>
  <c r="G205" i="56"/>
  <c r="F205" i="56"/>
  <c r="V204" i="56"/>
  <c r="U204" i="56"/>
  <c r="S204" i="56"/>
  <c r="R204" i="56"/>
  <c r="K204" i="56"/>
  <c r="J204" i="56"/>
  <c r="I204" i="56"/>
  <c r="H204" i="56"/>
  <c r="G204" i="56"/>
  <c r="F204" i="56"/>
  <c r="V203" i="56"/>
  <c r="U203" i="56"/>
  <c r="S203" i="56"/>
  <c r="R203" i="56"/>
  <c r="K203" i="56"/>
  <c r="J203" i="56"/>
  <c r="I203" i="56"/>
  <c r="H203" i="56"/>
  <c r="G203" i="56"/>
  <c r="F203" i="56"/>
  <c r="X198" i="56"/>
  <c r="V198" i="56"/>
  <c r="U198" i="56"/>
  <c r="S198" i="56"/>
  <c r="R198" i="56"/>
  <c r="L198" i="56"/>
  <c r="J198" i="56"/>
  <c r="I198" i="56"/>
  <c r="G198" i="56"/>
  <c r="F198" i="56"/>
  <c r="V197" i="56"/>
  <c r="U197" i="56"/>
  <c r="S197" i="56"/>
  <c r="R197" i="56"/>
  <c r="J197" i="56"/>
  <c r="I197" i="56"/>
  <c r="G197" i="56"/>
  <c r="F197" i="56"/>
  <c r="V196" i="56"/>
  <c r="U196" i="56"/>
  <c r="S196" i="56"/>
  <c r="R196" i="56"/>
  <c r="J196" i="56"/>
  <c r="I196" i="56"/>
  <c r="G196" i="56"/>
  <c r="F196" i="56"/>
  <c r="X192" i="56"/>
  <c r="V192" i="56"/>
  <c r="U192" i="56"/>
  <c r="S192" i="56"/>
  <c r="R192" i="56"/>
  <c r="M192" i="56"/>
  <c r="L192" i="56"/>
  <c r="K192" i="56"/>
  <c r="J192" i="56"/>
  <c r="I192" i="56"/>
  <c r="H192" i="56"/>
  <c r="G192" i="56"/>
  <c r="F192" i="56"/>
  <c r="V191" i="56"/>
  <c r="U191" i="56"/>
  <c r="S191" i="56"/>
  <c r="R191" i="56"/>
  <c r="K191" i="56"/>
  <c r="J191" i="56"/>
  <c r="I191" i="56"/>
  <c r="H191" i="56"/>
  <c r="G191" i="56"/>
  <c r="F191" i="56"/>
  <c r="V190" i="56"/>
  <c r="U190" i="56"/>
  <c r="S190" i="56"/>
  <c r="R190" i="56"/>
  <c r="K190" i="56"/>
  <c r="J190" i="56"/>
  <c r="I190" i="56"/>
  <c r="H190" i="56"/>
  <c r="G190" i="56"/>
  <c r="F190" i="56"/>
  <c r="X185" i="56"/>
  <c r="V185" i="56"/>
  <c r="U185" i="56"/>
  <c r="S185" i="56"/>
  <c r="R185" i="56"/>
  <c r="L185" i="56"/>
  <c r="J185" i="56"/>
  <c r="I185" i="56"/>
  <c r="G185" i="56"/>
  <c r="F185" i="56"/>
  <c r="V184" i="56"/>
  <c r="U184" i="56"/>
  <c r="S184" i="56"/>
  <c r="R184" i="56"/>
  <c r="J184" i="56"/>
  <c r="I184" i="56"/>
  <c r="G184" i="56"/>
  <c r="F184" i="56"/>
  <c r="V183" i="56"/>
  <c r="U183" i="56"/>
  <c r="S183" i="56"/>
  <c r="R183" i="56"/>
  <c r="J183" i="56"/>
  <c r="I183" i="56"/>
  <c r="G183" i="56"/>
  <c r="F183" i="56"/>
  <c r="X179" i="56"/>
  <c r="V179" i="56"/>
  <c r="U179" i="56"/>
  <c r="S179" i="56"/>
  <c r="R179" i="56"/>
  <c r="M179" i="56"/>
  <c r="L179" i="56"/>
  <c r="K179" i="56"/>
  <c r="J179" i="56"/>
  <c r="I179" i="56"/>
  <c r="H179" i="56"/>
  <c r="G179" i="56"/>
  <c r="F179" i="56"/>
  <c r="V178" i="56"/>
  <c r="U178" i="56"/>
  <c r="S178" i="56"/>
  <c r="R178" i="56"/>
  <c r="K178" i="56"/>
  <c r="J178" i="56"/>
  <c r="I178" i="56"/>
  <c r="H178" i="56"/>
  <c r="G178" i="56"/>
  <c r="F178" i="56"/>
  <c r="V177" i="56"/>
  <c r="U177" i="56"/>
  <c r="S177" i="56"/>
  <c r="R177" i="56"/>
  <c r="K177" i="56"/>
  <c r="J177" i="56"/>
  <c r="I177" i="56"/>
  <c r="H177" i="56"/>
  <c r="G177" i="56"/>
  <c r="F177" i="56"/>
  <c r="X172" i="56"/>
  <c r="V172" i="56"/>
  <c r="U172" i="56"/>
  <c r="S172" i="56"/>
  <c r="R172" i="56"/>
  <c r="L172" i="56"/>
  <c r="J172" i="56"/>
  <c r="I172" i="56"/>
  <c r="G172" i="56"/>
  <c r="F172" i="56"/>
  <c r="V171" i="56"/>
  <c r="U171" i="56"/>
  <c r="S171" i="56"/>
  <c r="R171" i="56"/>
  <c r="J171" i="56"/>
  <c r="I171" i="56"/>
  <c r="G171" i="56"/>
  <c r="F171" i="56"/>
  <c r="V170" i="56"/>
  <c r="U170" i="56"/>
  <c r="S170" i="56"/>
  <c r="R170" i="56"/>
  <c r="J170" i="56"/>
  <c r="I170" i="56"/>
  <c r="G170" i="56"/>
  <c r="F170" i="56"/>
  <c r="X166" i="56"/>
  <c r="V166" i="56"/>
  <c r="U166" i="56"/>
  <c r="S166" i="56"/>
  <c r="R166" i="56"/>
  <c r="M166" i="56"/>
  <c r="L166" i="56"/>
  <c r="K166" i="56"/>
  <c r="J166" i="56"/>
  <c r="I166" i="56"/>
  <c r="H166" i="56"/>
  <c r="G166" i="56"/>
  <c r="F166" i="56"/>
  <c r="V165" i="56"/>
  <c r="U165" i="56"/>
  <c r="S165" i="56"/>
  <c r="R165" i="56"/>
  <c r="K165" i="56"/>
  <c r="J165" i="56"/>
  <c r="I165" i="56"/>
  <c r="H165" i="56"/>
  <c r="G165" i="56"/>
  <c r="F165" i="56"/>
  <c r="V164" i="56"/>
  <c r="U164" i="56"/>
  <c r="S164" i="56"/>
  <c r="R164" i="56"/>
  <c r="K164" i="56"/>
  <c r="J164" i="56"/>
  <c r="I164" i="56"/>
  <c r="H164" i="56"/>
  <c r="G164" i="56"/>
  <c r="F164" i="56"/>
  <c r="X159" i="56"/>
  <c r="V159" i="56"/>
  <c r="U159" i="56"/>
  <c r="S159" i="56"/>
  <c r="R159" i="56"/>
  <c r="L159" i="56"/>
  <c r="J159" i="56"/>
  <c r="I159" i="56"/>
  <c r="G159" i="56"/>
  <c r="F159" i="56"/>
  <c r="V158" i="56"/>
  <c r="U158" i="56"/>
  <c r="S158" i="56"/>
  <c r="R158" i="56"/>
  <c r="J158" i="56"/>
  <c r="I158" i="56"/>
  <c r="G158" i="56"/>
  <c r="F158" i="56"/>
  <c r="V157" i="56"/>
  <c r="U157" i="56"/>
  <c r="S157" i="56"/>
  <c r="R157" i="56"/>
  <c r="J157" i="56"/>
  <c r="I157" i="56"/>
  <c r="G157" i="56"/>
  <c r="F157" i="56"/>
  <c r="X153" i="56"/>
  <c r="V153" i="56"/>
  <c r="U153" i="56"/>
  <c r="S153" i="56"/>
  <c r="R153" i="56"/>
  <c r="M153" i="56"/>
  <c r="L153" i="56"/>
  <c r="K153" i="56"/>
  <c r="J153" i="56"/>
  <c r="I153" i="56"/>
  <c r="H153" i="56"/>
  <c r="G153" i="56"/>
  <c r="F153" i="56"/>
  <c r="V152" i="56"/>
  <c r="U152" i="56"/>
  <c r="S152" i="56"/>
  <c r="R152" i="56"/>
  <c r="K152" i="56"/>
  <c r="J152" i="56"/>
  <c r="I152" i="56"/>
  <c r="H152" i="56"/>
  <c r="G152" i="56"/>
  <c r="F152" i="56"/>
  <c r="V151" i="56"/>
  <c r="U151" i="56"/>
  <c r="S151" i="56"/>
  <c r="R151" i="56"/>
  <c r="K151" i="56"/>
  <c r="J151" i="56"/>
  <c r="I151" i="56"/>
  <c r="H151" i="56"/>
  <c r="G151" i="56"/>
  <c r="F151" i="56"/>
  <c r="X146" i="56"/>
  <c r="V146" i="56"/>
  <c r="U146" i="56"/>
  <c r="S146" i="56"/>
  <c r="R146" i="56"/>
  <c r="L146" i="56"/>
  <c r="J146" i="56"/>
  <c r="I146" i="56"/>
  <c r="G146" i="56"/>
  <c r="F146" i="56"/>
  <c r="V145" i="56"/>
  <c r="U145" i="56"/>
  <c r="S145" i="56"/>
  <c r="R145" i="56"/>
  <c r="J145" i="56"/>
  <c r="I145" i="56"/>
  <c r="G145" i="56"/>
  <c r="F145" i="56"/>
  <c r="V144" i="56"/>
  <c r="U144" i="56"/>
  <c r="S144" i="56"/>
  <c r="R144" i="56"/>
  <c r="J144" i="56"/>
  <c r="I144" i="56"/>
  <c r="G144" i="56"/>
  <c r="F144" i="56"/>
  <c r="X140" i="56"/>
  <c r="V140" i="56"/>
  <c r="U140" i="56"/>
  <c r="S140" i="56"/>
  <c r="R140" i="56"/>
  <c r="M140" i="56"/>
  <c r="L140" i="56"/>
  <c r="K140" i="56"/>
  <c r="J140" i="56"/>
  <c r="I140" i="56"/>
  <c r="H140" i="56"/>
  <c r="G140" i="56"/>
  <c r="F140" i="56"/>
  <c r="V139" i="56"/>
  <c r="U139" i="56"/>
  <c r="S139" i="56"/>
  <c r="R139" i="56"/>
  <c r="K139" i="56"/>
  <c r="J139" i="56"/>
  <c r="I139" i="56"/>
  <c r="H139" i="56"/>
  <c r="G139" i="56"/>
  <c r="F139" i="56"/>
  <c r="V138" i="56"/>
  <c r="U138" i="56"/>
  <c r="S138" i="56"/>
  <c r="R138" i="56"/>
  <c r="K138" i="56"/>
  <c r="J138" i="56"/>
  <c r="I138" i="56"/>
  <c r="H138" i="56"/>
  <c r="G138" i="56"/>
  <c r="F138" i="56"/>
  <c r="X133" i="56"/>
  <c r="V133" i="56"/>
  <c r="U133" i="56"/>
  <c r="S133" i="56"/>
  <c r="R133" i="56"/>
  <c r="L133" i="56"/>
  <c r="J133" i="56"/>
  <c r="I133" i="56"/>
  <c r="G133" i="56"/>
  <c r="F133" i="56"/>
  <c r="V132" i="56"/>
  <c r="U132" i="56"/>
  <c r="S132" i="56"/>
  <c r="R132" i="56"/>
  <c r="J132" i="56"/>
  <c r="I132" i="56"/>
  <c r="G132" i="56"/>
  <c r="F132" i="56"/>
  <c r="V131" i="56"/>
  <c r="U131" i="56"/>
  <c r="S131" i="56"/>
  <c r="R131" i="56"/>
  <c r="J131" i="56"/>
  <c r="I131" i="56"/>
  <c r="G131" i="56"/>
  <c r="F131" i="56"/>
  <c r="X127" i="56"/>
  <c r="V127" i="56"/>
  <c r="U127" i="56"/>
  <c r="S127" i="56"/>
  <c r="R127" i="56"/>
  <c r="M127" i="56"/>
  <c r="L127" i="56"/>
  <c r="K127" i="56"/>
  <c r="J127" i="56"/>
  <c r="I127" i="56"/>
  <c r="H127" i="56"/>
  <c r="G127" i="56"/>
  <c r="F127" i="56"/>
  <c r="V126" i="56"/>
  <c r="U126" i="56"/>
  <c r="S126" i="56"/>
  <c r="R126" i="56"/>
  <c r="K126" i="56"/>
  <c r="J126" i="56"/>
  <c r="I126" i="56"/>
  <c r="H126" i="56"/>
  <c r="G126" i="56"/>
  <c r="F126" i="56"/>
  <c r="V125" i="56"/>
  <c r="U125" i="56"/>
  <c r="S125" i="56"/>
  <c r="R125" i="56"/>
  <c r="K125" i="56"/>
  <c r="J125" i="56"/>
  <c r="I125" i="56"/>
  <c r="H125" i="56"/>
  <c r="G125" i="56"/>
  <c r="F125" i="56"/>
  <c r="X120" i="56"/>
  <c r="V120" i="56"/>
  <c r="U120" i="56"/>
  <c r="S120" i="56"/>
  <c r="R120" i="56"/>
  <c r="L120" i="56"/>
  <c r="J120" i="56"/>
  <c r="I120" i="56"/>
  <c r="G120" i="56"/>
  <c r="F120" i="56"/>
  <c r="V119" i="56"/>
  <c r="U119" i="56"/>
  <c r="S119" i="56"/>
  <c r="R119" i="56"/>
  <c r="J119" i="56"/>
  <c r="I119" i="56"/>
  <c r="G119" i="56"/>
  <c r="F119" i="56"/>
  <c r="V118" i="56"/>
  <c r="U118" i="56"/>
  <c r="S118" i="56"/>
  <c r="R118" i="56"/>
  <c r="J118" i="56"/>
  <c r="I118" i="56"/>
  <c r="G118" i="56"/>
  <c r="F118" i="56"/>
  <c r="X114" i="56"/>
  <c r="V114" i="56"/>
  <c r="U114" i="56"/>
  <c r="S114" i="56"/>
  <c r="R114" i="56"/>
  <c r="M114" i="56"/>
  <c r="L114" i="56"/>
  <c r="K114" i="56"/>
  <c r="J114" i="56"/>
  <c r="I114" i="56"/>
  <c r="H114" i="56"/>
  <c r="G114" i="56"/>
  <c r="F114" i="56"/>
  <c r="V113" i="56"/>
  <c r="U113" i="56"/>
  <c r="S113" i="56"/>
  <c r="R113" i="56"/>
  <c r="K113" i="56"/>
  <c r="J113" i="56"/>
  <c r="I113" i="56"/>
  <c r="H113" i="56"/>
  <c r="G113" i="56"/>
  <c r="F113" i="56"/>
  <c r="V112" i="56"/>
  <c r="U112" i="56"/>
  <c r="S112" i="56"/>
  <c r="R112" i="56"/>
  <c r="K112" i="56"/>
  <c r="J112" i="56"/>
  <c r="I112" i="56"/>
  <c r="H112" i="56"/>
  <c r="G112" i="56"/>
  <c r="F112" i="56"/>
  <c r="X107" i="56"/>
  <c r="V107" i="56"/>
  <c r="U107" i="56"/>
  <c r="S107" i="56"/>
  <c r="R107" i="56"/>
  <c r="L107" i="56"/>
  <c r="J107" i="56"/>
  <c r="I107" i="56"/>
  <c r="G107" i="56"/>
  <c r="F107" i="56"/>
  <c r="V106" i="56"/>
  <c r="U106" i="56"/>
  <c r="S106" i="56"/>
  <c r="R106" i="56"/>
  <c r="J106" i="56"/>
  <c r="I106" i="56"/>
  <c r="G106" i="56"/>
  <c r="F106" i="56"/>
  <c r="V105" i="56"/>
  <c r="U105" i="56"/>
  <c r="S105" i="56"/>
  <c r="R105" i="56"/>
  <c r="J105" i="56"/>
  <c r="I105" i="56"/>
  <c r="G105" i="56"/>
  <c r="F105" i="56"/>
  <c r="X101" i="56"/>
  <c r="V101" i="56"/>
  <c r="U101" i="56"/>
  <c r="S101" i="56"/>
  <c r="R101" i="56"/>
  <c r="M101" i="56"/>
  <c r="L101" i="56"/>
  <c r="K101" i="56"/>
  <c r="J101" i="56"/>
  <c r="I101" i="56"/>
  <c r="H101" i="56"/>
  <c r="G101" i="56"/>
  <c r="F101" i="56"/>
  <c r="V100" i="56"/>
  <c r="U100" i="56"/>
  <c r="S100" i="56"/>
  <c r="R100" i="56"/>
  <c r="K100" i="56"/>
  <c r="J100" i="56"/>
  <c r="I100" i="56"/>
  <c r="H100" i="56"/>
  <c r="G100" i="56"/>
  <c r="F100" i="56"/>
  <c r="V99" i="56"/>
  <c r="U99" i="56"/>
  <c r="S99" i="56"/>
  <c r="R99" i="56"/>
  <c r="K99" i="56"/>
  <c r="J99" i="56"/>
  <c r="I99" i="56"/>
  <c r="H99" i="56"/>
  <c r="G99" i="56"/>
  <c r="F99" i="56"/>
  <c r="X94" i="56"/>
  <c r="V94" i="56"/>
  <c r="U94" i="56"/>
  <c r="S94" i="56"/>
  <c r="R94" i="56"/>
  <c r="L94" i="56"/>
  <c r="J94" i="56"/>
  <c r="I94" i="56"/>
  <c r="G94" i="56"/>
  <c r="F94" i="56"/>
  <c r="V93" i="56"/>
  <c r="U93" i="56"/>
  <c r="S93" i="56"/>
  <c r="R93" i="56"/>
  <c r="J93" i="56"/>
  <c r="I93" i="56"/>
  <c r="G93" i="56"/>
  <c r="F93" i="56"/>
  <c r="V92" i="56"/>
  <c r="U92" i="56"/>
  <c r="S92" i="56"/>
  <c r="R92" i="56"/>
  <c r="J92" i="56"/>
  <c r="I92" i="56"/>
  <c r="G92" i="56"/>
  <c r="F92" i="56"/>
  <c r="X88" i="56"/>
  <c r="V88" i="56"/>
  <c r="U88" i="56"/>
  <c r="S88" i="56"/>
  <c r="R88" i="56"/>
  <c r="M88" i="56"/>
  <c r="L88" i="56"/>
  <c r="K88" i="56"/>
  <c r="J88" i="56"/>
  <c r="I88" i="56"/>
  <c r="H88" i="56"/>
  <c r="G88" i="56"/>
  <c r="F88" i="56"/>
  <c r="V87" i="56"/>
  <c r="U87" i="56"/>
  <c r="S87" i="56"/>
  <c r="R87" i="56"/>
  <c r="K87" i="56"/>
  <c r="J87" i="56"/>
  <c r="I87" i="56"/>
  <c r="H87" i="56"/>
  <c r="G87" i="56"/>
  <c r="F87" i="56"/>
  <c r="V86" i="56"/>
  <c r="U86" i="56"/>
  <c r="S86" i="56"/>
  <c r="R86" i="56"/>
  <c r="K86" i="56"/>
  <c r="J86" i="56"/>
  <c r="I86" i="56"/>
  <c r="H86" i="56"/>
  <c r="G86" i="56"/>
  <c r="F86" i="56"/>
  <c r="X81" i="56"/>
  <c r="V81" i="56"/>
  <c r="U81" i="56"/>
  <c r="S81" i="56"/>
  <c r="R81" i="56"/>
  <c r="L81" i="56"/>
  <c r="J81" i="56"/>
  <c r="I81" i="56"/>
  <c r="G81" i="56"/>
  <c r="F81" i="56"/>
  <c r="V80" i="56"/>
  <c r="U80" i="56"/>
  <c r="S80" i="56"/>
  <c r="R80" i="56"/>
  <c r="J80" i="56"/>
  <c r="I80" i="56"/>
  <c r="G80" i="56"/>
  <c r="F80" i="56"/>
  <c r="V79" i="56"/>
  <c r="U79" i="56"/>
  <c r="S79" i="56"/>
  <c r="R79" i="56"/>
  <c r="J79" i="56"/>
  <c r="I79" i="56"/>
  <c r="G79" i="56"/>
  <c r="F79" i="56"/>
  <c r="X75" i="56"/>
  <c r="V75" i="56"/>
  <c r="U75" i="56"/>
  <c r="S75" i="56"/>
  <c r="R75" i="56"/>
  <c r="M75" i="56"/>
  <c r="L75" i="56"/>
  <c r="K75" i="56"/>
  <c r="J75" i="56"/>
  <c r="I75" i="56"/>
  <c r="H75" i="56"/>
  <c r="G75" i="56"/>
  <c r="F75" i="56"/>
  <c r="V74" i="56"/>
  <c r="U74" i="56"/>
  <c r="S74" i="56"/>
  <c r="R74" i="56"/>
  <c r="K74" i="56"/>
  <c r="J74" i="56"/>
  <c r="I74" i="56"/>
  <c r="H74" i="56"/>
  <c r="G74" i="56"/>
  <c r="F74" i="56"/>
  <c r="V73" i="56"/>
  <c r="U73" i="56"/>
  <c r="S73" i="56"/>
  <c r="R73" i="56"/>
  <c r="K73" i="56"/>
  <c r="J73" i="56"/>
  <c r="I73" i="56"/>
  <c r="H73" i="56"/>
  <c r="G73" i="56"/>
  <c r="F73" i="56"/>
  <c r="X263" i="55"/>
  <c r="V263" i="55"/>
  <c r="U263" i="55"/>
  <c r="S263" i="55"/>
  <c r="R263" i="55"/>
  <c r="L263" i="55"/>
  <c r="J263" i="55"/>
  <c r="I263" i="55"/>
  <c r="G263" i="55"/>
  <c r="F263" i="55"/>
  <c r="V262" i="55"/>
  <c r="U262" i="55"/>
  <c r="S262" i="55"/>
  <c r="R262" i="55"/>
  <c r="J262" i="55"/>
  <c r="I262" i="55"/>
  <c r="G262" i="55"/>
  <c r="F262" i="55"/>
  <c r="V261" i="55"/>
  <c r="U261" i="55"/>
  <c r="S261" i="55"/>
  <c r="R261" i="55"/>
  <c r="J261" i="55"/>
  <c r="I261" i="55"/>
  <c r="G261" i="55"/>
  <c r="F261" i="55"/>
  <c r="X257" i="55"/>
  <c r="V257" i="55"/>
  <c r="U257" i="55"/>
  <c r="S257" i="55"/>
  <c r="R257" i="55"/>
  <c r="M257" i="55"/>
  <c r="L257" i="55"/>
  <c r="K257" i="55"/>
  <c r="J257" i="55"/>
  <c r="I257" i="55"/>
  <c r="H257" i="55"/>
  <c r="G257" i="55"/>
  <c r="F257" i="55"/>
  <c r="V256" i="55"/>
  <c r="U256" i="55"/>
  <c r="S256" i="55"/>
  <c r="R256" i="55"/>
  <c r="K256" i="55"/>
  <c r="J256" i="55"/>
  <c r="I256" i="55"/>
  <c r="H256" i="55"/>
  <c r="G256" i="55"/>
  <c r="F256" i="55"/>
  <c r="V255" i="55"/>
  <c r="U255" i="55"/>
  <c r="S255" i="55"/>
  <c r="R255" i="55"/>
  <c r="K255" i="55"/>
  <c r="J255" i="55"/>
  <c r="I255" i="55"/>
  <c r="H255" i="55"/>
  <c r="G255" i="55"/>
  <c r="F255" i="55"/>
  <c r="X250" i="55"/>
  <c r="V250" i="55"/>
  <c r="U250" i="55"/>
  <c r="S250" i="55"/>
  <c r="R250" i="55"/>
  <c r="L250" i="55"/>
  <c r="J250" i="55"/>
  <c r="I250" i="55"/>
  <c r="G250" i="55"/>
  <c r="F250" i="55"/>
  <c r="V249" i="55"/>
  <c r="U249" i="55"/>
  <c r="S249" i="55"/>
  <c r="R249" i="55"/>
  <c r="J249" i="55"/>
  <c r="I249" i="55"/>
  <c r="G249" i="55"/>
  <c r="F249" i="55"/>
  <c r="V248" i="55"/>
  <c r="U248" i="55"/>
  <c r="S248" i="55"/>
  <c r="R248" i="55"/>
  <c r="J248" i="55"/>
  <c r="I248" i="55"/>
  <c r="G248" i="55"/>
  <c r="F248" i="55"/>
  <c r="X244" i="55"/>
  <c r="V244" i="55"/>
  <c r="U244" i="55"/>
  <c r="S244" i="55"/>
  <c r="R244" i="55"/>
  <c r="M244" i="55"/>
  <c r="L244" i="55"/>
  <c r="K244" i="55"/>
  <c r="J244" i="55"/>
  <c r="I244" i="55"/>
  <c r="H244" i="55"/>
  <c r="G244" i="55"/>
  <c r="F244" i="55"/>
  <c r="V243" i="55"/>
  <c r="U243" i="55"/>
  <c r="S243" i="55"/>
  <c r="R243" i="55"/>
  <c r="K243" i="55"/>
  <c r="J243" i="55"/>
  <c r="I243" i="55"/>
  <c r="H243" i="55"/>
  <c r="G243" i="55"/>
  <c r="F243" i="55"/>
  <c r="V242" i="55"/>
  <c r="U242" i="55"/>
  <c r="S242" i="55"/>
  <c r="R242" i="55"/>
  <c r="K242" i="55"/>
  <c r="J242" i="55"/>
  <c r="I242" i="55"/>
  <c r="H242" i="55"/>
  <c r="G242" i="55"/>
  <c r="F242" i="55"/>
  <c r="X237" i="55"/>
  <c r="V237" i="55"/>
  <c r="U237" i="55"/>
  <c r="S237" i="55"/>
  <c r="R237" i="55"/>
  <c r="L237" i="55"/>
  <c r="J237" i="55"/>
  <c r="I237" i="55"/>
  <c r="G237" i="55"/>
  <c r="F237" i="55"/>
  <c r="V236" i="55"/>
  <c r="U236" i="55"/>
  <c r="S236" i="55"/>
  <c r="R236" i="55"/>
  <c r="J236" i="55"/>
  <c r="I236" i="55"/>
  <c r="G236" i="55"/>
  <c r="F236" i="55"/>
  <c r="V235" i="55"/>
  <c r="U235" i="55"/>
  <c r="S235" i="55"/>
  <c r="R235" i="55"/>
  <c r="J235" i="55"/>
  <c r="I235" i="55"/>
  <c r="G235" i="55"/>
  <c r="F235" i="55"/>
  <c r="X231" i="55"/>
  <c r="V231" i="55"/>
  <c r="U231" i="55"/>
  <c r="S231" i="55"/>
  <c r="R231" i="55"/>
  <c r="M231" i="55"/>
  <c r="L231" i="55"/>
  <c r="K231" i="55"/>
  <c r="J231" i="55"/>
  <c r="I231" i="55"/>
  <c r="H231" i="55"/>
  <c r="G231" i="55"/>
  <c r="F231" i="55"/>
  <c r="V230" i="55"/>
  <c r="U230" i="55"/>
  <c r="S230" i="55"/>
  <c r="R230" i="55"/>
  <c r="K230" i="55"/>
  <c r="J230" i="55"/>
  <c r="I230" i="55"/>
  <c r="H230" i="55"/>
  <c r="G230" i="55"/>
  <c r="F230" i="55"/>
  <c r="V229" i="55"/>
  <c r="U229" i="55"/>
  <c r="S229" i="55"/>
  <c r="R229" i="55"/>
  <c r="K229" i="55"/>
  <c r="J229" i="55"/>
  <c r="I229" i="55"/>
  <c r="H229" i="55"/>
  <c r="G229" i="55"/>
  <c r="F229" i="55"/>
  <c r="X224" i="55"/>
  <c r="V224" i="55"/>
  <c r="U224" i="55"/>
  <c r="S224" i="55"/>
  <c r="R224" i="55"/>
  <c r="L224" i="55"/>
  <c r="J224" i="55"/>
  <c r="I224" i="55"/>
  <c r="G224" i="55"/>
  <c r="F224" i="55"/>
  <c r="V223" i="55"/>
  <c r="U223" i="55"/>
  <c r="S223" i="55"/>
  <c r="R223" i="55"/>
  <c r="J223" i="55"/>
  <c r="I223" i="55"/>
  <c r="G223" i="55"/>
  <c r="F223" i="55"/>
  <c r="V222" i="55"/>
  <c r="U222" i="55"/>
  <c r="S222" i="55"/>
  <c r="R222" i="55"/>
  <c r="J222" i="55"/>
  <c r="I222" i="55"/>
  <c r="G222" i="55"/>
  <c r="F222" i="55"/>
  <c r="X218" i="55"/>
  <c r="V218" i="55"/>
  <c r="U218" i="55"/>
  <c r="S218" i="55"/>
  <c r="R218" i="55"/>
  <c r="M218" i="55"/>
  <c r="L218" i="55"/>
  <c r="K218" i="55"/>
  <c r="J218" i="55"/>
  <c r="I218" i="55"/>
  <c r="H218" i="55"/>
  <c r="G218" i="55"/>
  <c r="F218" i="55"/>
  <c r="V217" i="55"/>
  <c r="U217" i="55"/>
  <c r="S217" i="55"/>
  <c r="R217" i="55"/>
  <c r="K217" i="55"/>
  <c r="J217" i="55"/>
  <c r="I217" i="55"/>
  <c r="H217" i="55"/>
  <c r="G217" i="55"/>
  <c r="F217" i="55"/>
  <c r="V216" i="55"/>
  <c r="U216" i="55"/>
  <c r="S216" i="55"/>
  <c r="R216" i="55"/>
  <c r="K216" i="55"/>
  <c r="J216" i="55"/>
  <c r="I216" i="55"/>
  <c r="H216" i="55"/>
  <c r="G216" i="55"/>
  <c r="F216" i="55"/>
  <c r="X211" i="55"/>
  <c r="V211" i="55"/>
  <c r="U211" i="55"/>
  <c r="S211" i="55"/>
  <c r="R211" i="55"/>
  <c r="L211" i="55"/>
  <c r="J211" i="55"/>
  <c r="I211" i="55"/>
  <c r="G211" i="55"/>
  <c r="F211" i="55"/>
  <c r="V210" i="55"/>
  <c r="U210" i="55"/>
  <c r="S210" i="55"/>
  <c r="R210" i="55"/>
  <c r="J210" i="55"/>
  <c r="I210" i="55"/>
  <c r="G210" i="55"/>
  <c r="F210" i="55"/>
  <c r="V209" i="55"/>
  <c r="U209" i="55"/>
  <c r="S209" i="55"/>
  <c r="R209" i="55"/>
  <c r="J209" i="55"/>
  <c r="I209" i="55"/>
  <c r="G209" i="55"/>
  <c r="F209" i="55"/>
  <c r="X205" i="55"/>
  <c r="V205" i="55"/>
  <c r="U205" i="55"/>
  <c r="S205" i="55"/>
  <c r="R205" i="55"/>
  <c r="M205" i="55"/>
  <c r="L205" i="55"/>
  <c r="K205" i="55"/>
  <c r="J205" i="55"/>
  <c r="I205" i="55"/>
  <c r="H205" i="55"/>
  <c r="G205" i="55"/>
  <c r="F205" i="55"/>
  <c r="V204" i="55"/>
  <c r="U204" i="55"/>
  <c r="S204" i="55"/>
  <c r="R204" i="55"/>
  <c r="K204" i="55"/>
  <c r="J204" i="55"/>
  <c r="I204" i="55"/>
  <c r="H204" i="55"/>
  <c r="G204" i="55"/>
  <c r="F204" i="55"/>
  <c r="V203" i="55"/>
  <c r="U203" i="55"/>
  <c r="S203" i="55"/>
  <c r="R203" i="55"/>
  <c r="K203" i="55"/>
  <c r="J203" i="55"/>
  <c r="I203" i="55"/>
  <c r="H203" i="55"/>
  <c r="G203" i="55"/>
  <c r="F203" i="55"/>
  <c r="X198" i="55"/>
  <c r="V198" i="55"/>
  <c r="U198" i="55"/>
  <c r="S198" i="55"/>
  <c r="R198" i="55"/>
  <c r="L198" i="55"/>
  <c r="J198" i="55"/>
  <c r="I198" i="55"/>
  <c r="G198" i="55"/>
  <c r="F198" i="55"/>
  <c r="V197" i="55"/>
  <c r="U197" i="55"/>
  <c r="S197" i="55"/>
  <c r="R197" i="55"/>
  <c r="J197" i="55"/>
  <c r="I197" i="55"/>
  <c r="G197" i="55"/>
  <c r="F197" i="55"/>
  <c r="V196" i="55"/>
  <c r="U196" i="55"/>
  <c r="S196" i="55"/>
  <c r="R196" i="55"/>
  <c r="J196" i="55"/>
  <c r="I196" i="55"/>
  <c r="G196" i="55"/>
  <c r="F196" i="55"/>
  <c r="X192" i="55"/>
  <c r="V192" i="55"/>
  <c r="U192" i="55"/>
  <c r="S192" i="55"/>
  <c r="R192" i="55"/>
  <c r="M192" i="55"/>
  <c r="L192" i="55"/>
  <c r="K192" i="55"/>
  <c r="J192" i="55"/>
  <c r="I192" i="55"/>
  <c r="H192" i="55"/>
  <c r="G192" i="55"/>
  <c r="F192" i="55"/>
  <c r="V191" i="55"/>
  <c r="U191" i="55"/>
  <c r="S191" i="55"/>
  <c r="R191" i="55"/>
  <c r="K191" i="55"/>
  <c r="J191" i="55"/>
  <c r="I191" i="55"/>
  <c r="H191" i="55"/>
  <c r="G191" i="55"/>
  <c r="F191" i="55"/>
  <c r="V190" i="55"/>
  <c r="U190" i="55"/>
  <c r="S190" i="55"/>
  <c r="R190" i="55"/>
  <c r="K190" i="55"/>
  <c r="J190" i="55"/>
  <c r="I190" i="55"/>
  <c r="H190" i="55"/>
  <c r="G190" i="55"/>
  <c r="F190" i="55"/>
  <c r="X185" i="55"/>
  <c r="V185" i="55"/>
  <c r="U185" i="55"/>
  <c r="S185" i="55"/>
  <c r="R185" i="55"/>
  <c r="L185" i="55"/>
  <c r="J185" i="55"/>
  <c r="I185" i="55"/>
  <c r="G185" i="55"/>
  <c r="F185" i="55"/>
  <c r="V184" i="55"/>
  <c r="U184" i="55"/>
  <c r="S184" i="55"/>
  <c r="R184" i="55"/>
  <c r="J184" i="55"/>
  <c r="I184" i="55"/>
  <c r="G184" i="55"/>
  <c r="F184" i="55"/>
  <c r="V183" i="55"/>
  <c r="U183" i="55"/>
  <c r="S183" i="55"/>
  <c r="R183" i="55"/>
  <c r="J183" i="55"/>
  <c r="I183" i="55"/>
  <c r="G183" i="55"/>
  <c r="F183" i="55"/>
  <c r="X179" i="55"/>
  <c r="V179" i="55"/>
  <c r="U179" i="55"/>
  <c r="S179" i="55"/>
  <c r="R179" i="55"/>
  <c r="M179" i="55"/>
  <c r="L179" i="55"/>
  <c r="K179" i="55"/>
  <c r="J179" i="55"/>
  <c r="I179" i="55"/>
  <c r="H179" i="55"/>
  <c r="G179" i="55"/>
  <c r="F179" i="55"/>
  <c r="V178" i="55"/>
  <c r="U178" i="55"/>
  <c r="S178" i="55"/>
  <c r="R178" i="55"/>
  <c r="K178" i="55"/>
  <c r="J178" i="55"/>
  <c r="I178" i="55"/>
  <c r="H178" i="55"/>
  <c r="G178" i="55"/>
  <c r="F178" i="55"/>
  <c r="V177" i="55"/>
  <c r="U177" i="55"/>
  <c r="S177" i="55"/>
  <c r="R177" i="55"/>
  <c r="K177" i="55"/>
  <c r="J177" i="55"/>
  <c r="I177" i="55"/>
  <c r="H177" i="55"/>
  <c r="G177" i="55"/>
  <c r="F177" i="55"/>
  <c r="X172" i="55"/>
  <c r="V172" i="55"/>
  <c r="U172" i="55"/>
  <c r="S172" i="55"/>
  <c r="R172" i="55"/>
  <c r="L172" i="55"/>
  <c r="J172" i="55"/>
  <c r="I172" i="55"/>
  <c r="G172" i="55"/>
  <c r="F172" i="55"/>
  <c r="V171" i="55"/>
  <c r="U171" i="55"/>
  <c r="S171" i="55"/>
  <c r="R171" i="55"/>
  <c r="J171" i="55"/>
  <c r="I171" i="55"/>
  <c r="G171" i="55"/>
  <c r="F171" i="55"/>
  <c r="V170" i="55"/>
  <c r="U170" i="55"/>
  <c r="S170" i="55"/>
  <c r="R170" i="55"/>
  <c r="J170" i="55"/>
  <c r="I170" i="55"/>
  <c r="G170" i="55"/>
  <c r="F170" i="55"/>
  <c r="X166" i="55"/>
  <c r="V166" i="55"/>
  <c r="U166" i="55"/>
  <c r="S166" i="55"/>
  <c r="R166" i="55"/>
  <c r="M166" i="55"/>
  <c r="L166" i="55"/>
  <c r="K166" i="55"/>
  <c r="J166" i="55"/>
  <c r="I166" i="55"/>
  <c r="H166" i="55"/>
  <c r="G166" i="55"/>
  <c r="F166" i="55"/>
  <c r="V165" i="55"/>
  <c r="U165" i="55"/>
  <c r="S165" i="55"/>
  <c r="R165" i="55"/>
  <c r="K165" i="55"/>
  <c r="J165" i="55"/>
  <c r="I165" i="55"/>
  <c r="H165" i="55"/>
  <c r="G165" i="55"/>
  <c r="F165" i="55"/>
  <c r="V164" i="55"/>
  <c r="U164" i="55"/>
  <c r="S164" i="55"/>
  <c r="R164" i="55"/>
  <c r="K164" i="55"/>
  <c r="J164" i="55"/>
  <c r="I164" i="55"/>
  <c r="H164" i="55"/>
  <c r="G164" i="55"/>
  <c r="F164" i="55"/>
  <c r="X159" i="55"/>
  <c r="V159" i="55"/>
  <c r="U159" i="55"/>
  <c r="S159" i="55"/>
  <c r="R159" i="55"/>
  <c r="L159" i="55"/>
  <c r="J159" i="55"/>
  <c r="I159" i="55"/>
  <c r="G159" i="55"/>
  <c r="F159" i="55"/>
  <c r="V158" i="55"/>
  <c r="U158" i="55"/>
  <c r="S158" i="55"/>
  <c r="R158" i="55"/>
  <c r="J158" i="55"/>
  <c r="I158" i="55"/>
  <c r="G158" i="55"/>
  <c r="F158" i="55"/>
  <c r="V157" i="55"/>
  <c r="U157" i="55"/>
  <c r="S157" i="55"/>
  <c r="R157" i="55"/>
  <c r="J157" i="55"/>
  <c r="I157" i="55"/>
  <c r="G157" i="55"/>
  <c r="F157" i="55"/>
  <c r="X153" i="55"/>
  <c r="V153" i="55"/>
  <c r="U153" i="55"/>
  <c r="S153" i="55"/>
  <c r="R153" i="55"/>
  <c r="M153" i="55"/>
  <c r="L153" i="55"/>
  <c r="K153" i="55"/>
  <c r="J153" i="55"/>
  <c r="I153" i="55"/>
  <c r="H153" i="55"/>
  <c r="G153" i="55"/>
  <c r="F153" i="55"/>
  <c r="V152" i="55"/>
  <c r="U152" i="55"/>
  <c r="S152" i="55"/>
  <c r="R152" i="55"/>
  <c r="K152" i="55"/>
  <c r="J152" i="55"/>
  <c r="I152" i="55"/>
  <c r="H152" i="55"/>
  <c r="G152" i="55"/>
  <c r="F152" i="55"/>
  <c r="V151" i="55"/>
  <c r="U151" i="55"/>
  <c r="S151" i="55"/>
  <c r="R151" i="55"/>
  <c r="K151" i="55"/>
  <c r="J151" i="55"/>
  <c r="I151" i="55"/>
  <c r="H151" i="55"/>
  <c r="G151" i="55"/>
  <c r="F151" i="55"/>
  <c r="X146" i="55"/>
  <c r="V146" i="55"/>
  <c r="U146" i="55"/>
  <c r="S146" i="55"/>
  <c r="R146" i="55"/>
  <c r="L146" i="55"/>
  <c r="J146" i="55"/>
  <c r="I146" i="55"/>
  <c r="G146" i="55"/>
  <c r="F146" i="55"/>
  <c r="V145" i="55"/>
  <c r="U145" i="55"/>
  <c r="S145" i="55"/>
  <c r="R145" i="55"/>
  <c r="J145" i="55"/>
  <c r="I145" i="55"/>
  <c r="G145" i="55"/>
  <c r="F145" i="55"/>
  <c r="V144" i="55"/>
  <c r="U144" i="55"/>
  <c r="S144" i="55"/>
  <c r="R144" i="55"/>
  <c r="J144" i="55"/>
  <c r="I144" i="55"/>
  <c r="G144" i="55"/>
  <c r="F144" i="55"/>
  <c r="X140" i="55"/>
  <c r="V140" i="55"/>
  <c r="U140" i="55"/>
  <c r="S140" i="55"/>
  <c r="R140" i="55"/>
  <c r="M140" i="55"/>
  <c r="L140" i="55"/>
  <c r="K140" i="55"/>
  <c r="J140" i="55"/>
  <c r="I140" i="55"/>
  <c r="H140" i="55"/>
  <c r="G140" i="55"/>
  <c r="F140" i="55"/>
  <c r="V139" i="55"/>
  <c r="U139" i="55"/>
  <c r="S139" i="55"/>
  <c r="R139" i="55"/>
  <c r="K139" i="55"/>
  <c r="J139" i="55"/>
  <c r="I139" i="55"/>
  <c r="H139" i="55"/>
  <c r="G139" i="55"/>
  <c r="F139" i="55"/>
  <c r="V138" i="55"/>
  <c r="U138" i="55"/>
  <c r="S138" i="55"/>
  <c r="R138" i="55"/>
  <c r="K138" i="55"/>
  <c r="J138" i="55"/>
  <c r="I138" i="55"/>
  <c r="H138" i="55"/>
  <c r="G138" i="55"/>
  <c r="F138" i="55"/>
  <c r="X133" i="55"/>
  <c r="V133" i="55"/>
  <c r="U133" i="55"/>
  <c r="S133" i="55"/>
  <c r="R133" i="55"/>
  <c r="L133" i="55"/>
  <c r="J133" i="55"/>
  <c r="I133" i="55"/>
  <c r="G133" i="55"/>
  <c r="F133" i="55"/>
  <c r="V132" i="55"/>
  <c r="U132" i="55"/>
  <c r="S132" i="55"/>
  <c r="R132" i="55"/>
  <c r="J132" i="55"/>
  <c r="I132" i="55"/>
  <c r="G132" i="55"/>
  <c r="F132" i="55"/>
  <c r="V131" i="55"/>
  <c r="U131" i="55"/>
  <c r="S131" i="55"/>
  <c r="R131" i="55"/>
  <c r="J131" i="55"/>
  <c r="I131" i="55"/>
  <c r="G131" i="55"/>
  <c r="F131" i="55"/>
  <c r="X127" i="55"/>
  <c r="V127" i="55"/>
  <c r="U127" i="55"/>
  <c r="S127" i="55"/>
  <c r="R127" i="55"/>
  <c r="M127" i="55"/>
  <c r="L127" i="55"/>
  <c r="K127" i="55"/>
  <c r="J127" i="55"/>
  <c r="I127" i="55"/>
  <c r="H127" i="55"/>
  <c r="G127" i="55"/>
  <c r="F127" i="55"/>
  <c r="V126" i="55"/>
  <c r="U126" i="55"/>
  <c r="S126" i="55"/>
  <c r="R126" i="55"/>
  <c r="K126" i="55"/>
  <c r="J126" i="55"/>
  <c r="I126" i="55"/>
  <c r="H126" i="55"/>
  <c r="G126" i="55"/>
  <c r="F126" i="55"/>
  <c r="V125" i="55"/>
  <c r="U125" i="55"/>
  <c r="S125" i="55"/>
  <c r="R125" i="55"/>
  <c r="K125" i="55"/>
  <c r="J125" i="55"/>
  <c r="I125" i="55"/>
  <c r="H125" i="55"/>
  <c r="G125" i="55"/>
  <c r="F125" i="55"/>
  <c r="X120" i="55"/>
  <c r="V120" i="55"/>
  <c r="U120" i="55"/>
  <c r="S120" i="55"/>
  <c r="R120" i="55"/>
  <c r="L120" i="55"/>
  <c r="J120" i="55"/>
  <c r="I120" i="55"/>
  <c r="G120" i="55"/>
  <c r="F120" i="55"/>
  <c r="V119" i="55"/>
  <c r="U119" i="55"/>
  <c r="S119" i="55"/>
  <c r="R119" i="55"/>
  <c r="J119" i="55"/>
  <c r="I119" i="55"/>
  <c r="G119" i="55"/>
  <c r="F119" i="55"/>
  <c r="V118" i="55"/>
  <c r="U118" i="55"/>
  <c r="S118" i="55"/>
  <c r="R118" i="55"/>
  <c r="J118" i="55"/>
  <c r="I118" i="55"/>
  <c r="G118" i="55"/>
  <c r="F118" i="55"/>
  <c r="X114" i="55"/>
  <c r="V114" i="55"/>
  <c r="U114" i="55"/>
  <c r="S114" i="55"/>
  <c r="R114" i="55"/>
  <c r="M114" i="55"/>
  <c r="L114" i="55"/>
  <c r="K114" i="55"/>
  <c r="J114" i="55"/>
  <c r="I114" i="55"/>
  <c r="H114" i="55"/>
  <c r="G114" i="55"/>
  <c r="F114" i="55"/>
  <c r="V113" i="55"/>
  <c r="U113" i="55"/>
  <c r="S113" i="55"/>
  <c r="R113" i="55"/>
  <c r="K113" i="55"/>
  <c r="J113" i="55"/>
  <c r="I113" i="55"/>
  <c r="H113" i="55"/>
  <c r="G113" i="55"/>
  <c r="F113" i="55"/>
  <c r="V112" i="55"/>
  <c r="U112" i="55"/>
  <c r="S112" i="55"/>
  <c r="R112" i="55"/>
  <c r="K112" i="55"/>
  <c r="J112" i="55"/>
  <c r="I112" i="55"/>
  <c r="H112" i="55"/>
  <c r="G112" i="55"/>
  <c r="F112" i="55"/>
  <c r="X107" i="55"/>
  <c r="V107" i="55"/>
  <c r="U107" i="55"/>
  <c r="S107" i="55"/>
  <c r="R107" i="55"/>
  <c r="L107" i="55"/>
  <c r="J107" i="55"/>
  <c r="I107" i="55"/>
  <c r="G107" i="55"/>
  <c r="F107" i="55"/>
  <c r="V106" i="55"/>
  <c r="U106" i="55"/>
  <c r="S106" i="55"/>
  <c r="R106" i="55"/>
  <c r="J106" i="55"/>
  <c r="I106" i="55"/>
  <c r="G106" i="55"/>
  <c r="F106" i="55"/>
  <c r="V105" i="55"/>
  <c r="U105" i="55"/>
  <c r="S105" i="55"/>
  <c r="R105" i="55"/>
  <c r="J105" i="55"/>
  <c r="I105" i="55"/>
  <c r="G105" i="55"/>
  <c r="F105" i="55"/>
  <c r="X101" i="55"/>
  <c r="V101" i="55"/>
  <c r="U101" i="55"/>
  <c r="S101" i="55"/>
  <c r="R101" i="55"/>
  <c r="M101" i="55"/>
  <c r="L101" i="55"/>
  <c r="K101" i="55"/>
  <c r="J101" i="55"/>
  <c r="I101" i="55"/>
  <c r="H101" i="55"/>
  <c r="G101" i="55"/>
  <c r="F101" i="55"/>
  <c r="V100" i="55"/>
  <c r="U100" i="55"/>
  <c r="S100" i="55"/>
  <c r="R100" i="55"/>
  <c r="K100" i="55"/>
  <c r="J100" i="55"/>
  <c r="I100" i="55"/>
  <c r="H100" i="55"/>
  <c r="G100" i="55"/>
  <c r="F100" i="55"/>
  <c r="V99" i="55"/>
  <c r="U99" i="55"/>
  <c r="S99" i="55"/>
  <c r="R99" i="55"/>
  <c r="K99" i="55"/>
  <c r="J99" i="55"/>
  <c r="I99" i="55"/>
  <c r="H99" i="55"/>
  <c r="G99" i="55"/>
  <c r="F99" i="55"/>
  <c r="X94" i="55"/>
  <c r="V94" i="55"/>
  <c r="U94" i="55"/>
  <c r="S94" i="55"/>
  <c r="R94" i="55"/>
  <c r="L94" i="55"/>
  <c r="J94" i="55"/>
  <c r="I94" i="55"/>
  <c r="G94" i="55"/>
  <c r="F94" i="55"/>
  <c r="V93" i="55"/>
  <c r="U93" i="55"/>
  <c r="S93" i="55"/>
  <c r="R93" i="55"/>
  <c r="J93" i="55"/>
  <c r="I93" i="55"/>
  <c r="G93" i="55"/>
  <c r="F93" i="55"/>
  <c r="V92" i="55"/>
  <c r="U92" i="55"/>
  <c r="S92" i="55"/>
  <c r="R92" i="55"/>
  <c r="J92" i="55"/>
  <c r="I92" i="55"/>
  <c r="G92" i="55"/>
  <c r="F92" i="55"/>
  <c r="X88" i="55"/>
  <c r="V88" i="55"/>
  <c r="U88" i="55"/>
  <c r="S88" i="55"/>
  <c r="R88" i="55"/>
  <c r="M88" i="55"/>
  <c r="L88" i="55"/>
  <c r="K88" i="55"/>
  <c r="J88" i="55"/>
  <c r="I88" i="55"/>
  <c r="H88" i="55"/>
  <c r="G88" i="55"/>
  <c r="F88" i="55"/>
  <c r="V87" i="55"/>
  <c r="U87" i="55"/>
  <c r="S87" i="55"/>
  <c r="R87" i="55"/>
  <c r="K87" i="55"/>
  <c r="J87" i="55"/>
  <c r="I87" i="55"/>
  <c r="H87" i="55"/>
  <c r="G87" i="55"/>
  <c r="F87" i="55"/>
  <c r="V86" i="55"/>
  <c r="U86" i="55"/>
  <c r="S86" i="55"/>
  <c r="R86" i="55"/>
  <c r="K86" i="55"/>
  <c r="J86" i="55"/>
  <c r="I86" i="55"/>
  <c r="H86" i="55"/>
  <c r="G86" i="55"/>
  <c r="F86" i="55"/>
  <c r="X81" i="55"/>
  <c r="V81" i="55"/>
  <c r="U81" i="55"/>
  <c r="S81" i="55"/>
  <c r="R81" i="55"/>
  <c r="L81" i="55"/>
  <c r="J81" i="55"/>
  <c r="I81" i="55"/>
  <c r="G81" i="55"/>
  <c r="F81" i="55"/>
  <c r="V80" i="55"/>
  <c r="U80" i="55"/>
  <c r="S80" i="55"/>
  <c r="R80" i="55"/>
  <c r="J80" i="55"/>
  <c r="I80" i="55"/>
  <c r="G80" i="55"/>
  <c r="F80" i="55"/>
  <c r="V79" i="55"/>
  <c r="U79" i="55"/>
  <c r="S79" i="55"/>
  <c r="R79" i="55"/>
  <c r="J79" i="55"/>
  <c r="I79" i="55"/>
  <c r="G79" i="55"/>
  <c r="F79" i="55"/>
  <c r="X75" i="55"/>
  <c r="V75" i="55"/>
  <c r="U75" i="55"/>
  <c r="S75" i="55"/>
  <c r="R75" i="55"/>
  <c r="M75" i="55"/>
  <c r="L75" i="55"/>
  <c r="K75" i="55"/>
  <c r="J75" i="55"/>
  <c r="I75" i="55"/>
  <c r="H75" i="55"/>
  <c r="G75" i="55"/>
  <c r="F75" i="55"/>
  <c r="V74" i="55"/>
  <c r="U74" i="55"/>
  <c r="S74" i="55"/>
  <c r="R74" i="55"/>
  <c r="K74" i="55"/>
  <c r="J74" i="55"/>
  <c r="I74" i="55"/>
  <c r="H74" i="55"/>
  <c r="G74" i="55"/>
  <c r="F74" i="55"/>
  <c r="V73" i="55"/>
  <c r="U73" i="55"/>
  <c r="S73" i="55"/>
  <c r="R73" i="55"/>
  <c r="K73" i="55"/>
  <c r="J73" i="55"/>
  <c r="I73" i="55"/>
  <c r="H73" i="55"/>
  <c r="G73" i="55"/>
  <c r="F73" i="55"/>
  <c r="X263" i="54"/>
  <c r="V263" i="54"/>
  <c r="U263" i="54"/>
  <c r="S263" i="54"/>
  <c r="R263" i="54"/>
  <c r="L263" i="54"/>
  <c r="J263" i="54"/>
  <c r="I263" i="54"/>
  <c r="G263" i="54"/>
  <c r="F263" i="54"/>
  <c r="V262" i="54"/>
  <c r="U262" i="54"/>
  <c r="S262" i="54"/>
  <c r="R262" i="54"/>
  <c r="J262" i="54"/>
  <c r="I262" i="54"/>
  <c r="G262" i="54"/>
  <c r="F262" i="54"/>
  <c r="V261" i="54"/>
  <c r="U261" i="54"/>
  <c r="S261" i="54"/>
  <c r="R261" i="54"/>
  <c r="J261" i="54"/>
  <c r="I261" i="54"/>
  <c r="G261" i="54"/>
  <c r="F261" i="54"/>
  <c r="X257" i="54"/>
  <c r="V257" i="54"/>
  <c r="U257" i="54"/>
  <c r="S257" i="54"/>
  <c r="R257" i="54"/>
  <c r="M257" i="54"/>
  <c r="L257" i="54"/>
  <c r="K257" i="54"/>
  <c r="J257" i="54"/>
  <c r="I257" i="54"/>
  <c r="H257" i="54"/>
  <c r="G257" i="54"/>
  <c r="F257" i="54"/>
  <c r="V256" i="54"/>
  <c r="U256" i="54"/>
  <c r="S256" i="54"/>
  <c r="R256" i="54"/>
  <c r="K256" i="54"/>
  <c r="J256" i="54"/>
  <c r="I256" i="54"/>
  <c r="H256" i="54"/>
  <c r="G256" i="54"/>
  <c r="F256" i="54"/>
  <c r="V255" i="54"/>
  <c r="U255" i="54"/>
  <c r="S255" i="54"/>
  <c r="R255" i="54"/>
  <c r="K255" i="54"/>
  <c r="J255" i="54"/>
  <c r="I255" i="54"/>
  <c r="H255" i="54"/>
  <c r="G255" i="54"/>
  <c r="F255" i="54"/>
  <c r="X250" i="54"/>
  <c r="V250" i="54"/>
  <c r="U250" i="54"/>
  <c r="S250" i="54"/>
  <c r="R250" i="54"/>
  <c r="L250" i="54"/>
  <c r="J250" i="54"/>
  <c r="I250" i="54"/>
  <c r="G250" i="54"/>
  <c r="F250" i="54"/>
  <c r="V249" i="54"/>
  <c r="U249" i="54"/>
  <c r="S249" i="54"/>
  <c r="R249" i="54"/>
  <c r="J249" i="54"/>
  <c r="I249" i="54"/>
  <c r="G249" i="54"/>
  <c r="F249" i="54"/>
  <c r="V248" i="54"/>
  <c r="U248" i="54"/>
  <c r="S248" i="54"/>
  <c r="R248" i="54"/>
  <c r="J248" i="54"/>
  <c r="I248" i="54"/>
  <c r="G248" i="54"/>
  <c r="F248" i="54"/>
  <c r="X244" i="54"/>
  <c r="V244" i="54"/>
  <c r="U244" i="54"/>
  <c r="S244" i="54"/>
  <c r="R244" i="54"/>
  <c r="M244" i="54"/>
  <c r="L244" i="54"/>
  <c r="K244" i="54"/>
  <c r="J244" i="54"/>
  <c r="I244" i="54"/>
  <c r="H244" i="54"/>
  <c r="G244" i="54"/>
  <c r="F244" i="54"/>
  <c r="V243" i="54"/>
  <c r="U243" i="54"/>
  <c r="S243" i="54"/>
  <c r="R243" i="54"/>
  <c r="K243" i="54"/>
  <c r="J243" i="54"/>
  <c r="I243" i="54"/>
  <c r="H243" i="54"/>
  <c r="G243" i="54"/>
  <c r="F243" i="54"/>
  <c r="V242" i="54"/>
  <c r="U242" i="54"/>
  <c r="S242" i="54"/>
  <c r="R242" i="54"/>
  <c r="K242" i="54"/>
  <c r="J242" i="54"/>
  <c r="I242" i="54"/>
  <c r="H242" i="54"/>
  <c r="G242" i="54"/>
  <c r="F242" i="54"/>
  <c r="X237" i="54"/>
  <c r="V237" i="54"/>
  <c r="U237" i="54"/>
  <c r="S237" i="54"/>
  <c r="R237" i="54"/>
  <c r="L237" i="54"/>
  <c r="J237" i="54"/>
  <c r="I237" i="54"/>
  <c r="G237" i="54"/>
  <c r="F237" i="54"/>
  <c r="V236" i="54"/>
  <c r="U236" i="54"/>
  <c r="S236" i="54"/>
  <c r="R236" i="54"/>
  <c r="J236" i="54"/>
  <c r="I236" i="54"/>
  <c r="G236" i="54"/>
  <c r="F236" i="54"/>
  <c r="V235" i="54"/>
  <c r="U235" i="54"/>
  <c r="S235" i="54"/>
  <c r="R235" i="54"/>
  <c r="J235" i="54"/>
  <c r="I235" i="54"/>
  <c r="G235" i="54"/>
  <c r="F235" i="54"/>
  <c r="X231" i="54"/>
  <c r="V231" i="54"/>
  <c r="U231" i="54"/>
  <c r="S231" i="54"/>
  <c r="R231" i="54"/>
  <c r="M231" i="54"/>
  <c r="L231" i="54"/>
  <c r="K231" i="54"/>
  <c r="J231" i="54"/>
  <c r="I231" i="54"/>
  <c r="H231" i="54"/>
  <c r="G231" i="54"/>
  <c r="F231" i="54"/>
  <c r="V230" i="54"/>
  <c r="U230" i="54"/>
  <c r="S230" i="54"/>
  <c r="R230" i="54"/>
  <c r="K230" i="54"/>
  <c r="J230" i="54"/>
  <c r="I230" i="54"/>
  <c r="H230" i="54"/>
  <c r="G230" i="54"/>
  <c r="F230" i="54"/>
  <c r="V229" i="54"/>
  <c r="U229" i="54"/>
  <c r="S229" i="54"/>
  <c r="R229" i="54"/>
  <c r="K229" i="54"/>
  <c r="J229" i="54"/>
  <c r="I229" i="54"/>
  <c r="H229" i="54"/>
  <c r="G229" i="54"/>
  <c r="F229" i="54"/>
  <c r="X224" i="54"/>
  <c r="V224" i="54"/>
  <c r="U224" i="54"/>
  <c r="S224" i="54"/>
  <c r="R224" i="54"/>
  <c r="L224" i="54"/>
  <c r="J224" i="54"/>
  <c r="I224" i="54"/>
  <c r="G224" i="54"/>
  <c r="F224" i="54"/>
  <c r="V223" i="54"/>
  <c r="U223" i="54"/>
  <c r="S223" i="54"/>
  <c r="R223" i="54"/>
  <c r="J223" i="54"/>
  <c r="I223" i="54"/>
  <c r="G223" i="54"/>
  <c r="F223" i="54"/>
  <c r="V222" i="54"/>
  <c r="U222" i="54"/>
  <c r="S222" i="54"/>
  <c r="R222" i="54"/>
  <c r="J222" i="54"/>
  <c r="I222" i="54"/>
  <c r="G222" i="54"/>
  <c r="F222" i="54"/>
  <c r="X218" i="54"/>
  <c r="V218" i="54"/>
  <c r="U218" i="54"/>
  <c r="S218" i="54"/>
  <c r="R218" i="54"/>
  <c r="M218" i="54"/>
  <c r="L218" i="54"/>
  <c r="K218" i="54"/>
  <c r="J218" i="54"/>
  <c r="I218" i="54"/>
  <c r="H218" i="54"/>
  <c r="G218" i="54"/>
  <c r="F218" i="54"/>
  <c r="V217" i="54"/>
  <c r="U217" i="54"/>
  <c r="S217" i="54"/>
  <c r="R217" i="54"/>
  <c r="K217" i="54"/>
  <c r="J217" i="54"/>
  <c r="I217" i="54"/>
  <c r="H217" i="54"/>
  <c r="G217" i="54"/>
  <c r="F217" i="54"/>
  <c r="V216" i="54"/>
  <c r="U216" i="54"/>
  <c r="S216" i="54"/>
  <c r="R216" i="54"/>
  <c r="K216" i="54"/>
  <c r="J216" i="54"/>
  <c r="I216" i="54"/>
  <c r="H216" i="54"/>
  <c r="G216" i="54"/>
  <c r="F216" i="54"/>
  <c r="X211" i="54"/>
  <c r="V211" i="54"/>
  <c r="U211" i="54"/>
  <c r="S211" i="54"/>
  <c r="R211" i="54"/>
  <c r="L211" i="54"/>
  <c r="J211" i="54"/>
  <c r="I211" i="54"/>
  <c r="G211" i="54"/>
  <c r="F211" i="54"/>
  <c r="V210" i="54"/>
  <c r="U210" i="54"/>
  <c r="S210" i="54"/>
  <c r="R210" i="54"/>
  <c r="J210" i="54"/>
  <c r="I210" i="54"/>
  <c r="G210" i="54"/>
  <c r="F210" i="54"/>
  <c r="V209" i="54"/>
  <c r="U209" i="54"/>
  <c r="S209" i="54"/>
  <c r="R209" i="54"/>
  <c r="J209" i="54"/>
  <c r="I209" i="54"/>
  <c r="G209" i="54"/>
  <c r="F209" i="54"/>
  <c r="X205" i="54"/>
  <c r="V205" i="54"/>
  <c r="U205" i="54"/>
  <c r="S205" i="54"/>
  <c r="R205" i="54"/>
  <c r="M205" i="54"/>
  <c r="L205" i="54"/>
  <c r="K205" i="54"/>
  <c r="J205" i="54"/>
  <c r="I205" i="54"/>
  <c r="H205" i="54"/>
  <c r="G205" i="54"/>
  <c r="F205" i="54"/>
  <c r="V204" i="54"/>
  <c r="U204" i="54"/>
  <c r="S204" i="54"/>
  <c r="R204" i="54"/>
  <c r="K204" i="54"/>
  <c r="J204" i="54"/>
  <c r="I204" i="54"/>
  <c r="H204" i="54"/>
  <c r="G204" i="54"/>
  <c r="F204" i="54"/>
  <c r="V203" i="54"/>
  <c r="U203" i="54"/>
  <c r="S203" i="54"/>
  <c r="R203" i="54"/>
  <c r="K203" i="54"/>
  <c r="J203" i="54"/>
  <c r="I203" i="54"/>
  <c r="H203" i="54"/>
  <c r="G203" i="54"/>
  <c r="F203" i="54"/>
  <c r="X198" i="54"/>
  <c r="V198" i="54"/>
  <c r="U198" i="54"/>
  <c r="S198" i="54"/>
  <c r="R198" i="54"/>
  <c r="L198" i="54"/>
  <c r="J198" i="54"/>
  <c r="I198" i="54"/>
  <c r="G198" i="54"/>
  <c r="F198" i="54"/>
  <c r="V197" i="54"/>
  <c r="U197" i="54"/>
  <c r="S197" i="54"/>
  <c r="R197" i="54"/>
  <c r="J197" i="54"/>
  <c r="I197" i="54"/>
  <c r="G197" i="54"/>
  <c r="F197" i="54"/>
  <c r="V196" i="54"/>
  <c r="U196" i="54"/>
  <c r="S196" i="54"/>
  <c r="R196" i="54"/>
  <c r="J196" i="54"/>
  <c r="I196" i="54"/>
  <c r="G196" i="54"/>
  <c r="F196" i="54"/>
  <c r="X192" i="54"/>
  <c r="V192" i="54"/>
  <c r="U192" i="54"/>
  <c r="S192" i="54"/>
  <c r="R192" i="54"/>
  <c r="M192" i="54"/>
  <c r="L192" i="54"/>
  <c r="K192" i="54"/>
  <c r="J192" i="54"/>
  <c r="I192" i="54"/>
  <c r="H192" i="54"/>
  <c r="G192" i="54"/>
  <c r="F192" i="54"/>
  <c r="V191" i="54"/>
  <c r="U191" i="54"/>
  <c r="S191" i="54"/>
  <c r="R191" i="54"/>
  <c r="K191" i="54"/>
  <c r="J191" i="54"/>
  <c r="I191" i="54"/>
  <c r="H191" i="54"/>
  <c r="G191" i="54"/>
  <c r="F191" i="54"/>
  <c r="V190" i="54"/>
  <c r="U190" i="54"/>
  <c r="S190" i="54"/>
  <c r="R190" i="54"/>
  <c r="K190" i="54"/>
  <c r="J190" i="54"/>
  <c r="I190" i="54"/>
  <c r="H190" i="54"/>
  <c r="G190" i="54"/>
  <c r="F190" i="54"/>
  <c r="X185" i="54"/>
  <c r="V185" i="54"/>
  <c r="U185" i="54"/>
  <c r="S185" i="54"/>
  <c r="R185" i="54"/>
  <c r="L185" i="54"/>
  <c r="J185" i="54"/>
  <c r="I185" i="54"/>
  <c r="G185" i="54"/>
  <c r="F185" i="54"/>
  <c r="V184" i="54"/>
  <c r="U184" i="54"/>
  <c r="S184" i="54"/>
  <c r="R184" i="54"/>
  <c r="J184" i="54"/>
  <c r="I184" i="54"/>
  <c r="G184" i="54"/>
  <c r="F184" i="54"/>
  <c r="V183" i="54"/>
  <c r="U183" i="54"/>
  <c r="S183" i="54"/>
  <c r="R183" i="54"/>
  <c r="J183" i="54"/>
  <c r="I183" i="54"/>
  <c r="G183" i="54"/>
  <c r="F183" i="54"/>
  <c r="X179" i="54"/>
  <c r="V179" i="54"/>
  <c r="U179" i="54"/>
  <c r="S179" i="54"/>
  <c r="R179" i="54"/>
  <c r="M179" i="54"/>
  <c r="L179" i="54"/>
  <c r="K179" i="54"/>
  <c r="J179" i="54"/>
  <c r="I179" i="54"/>
  <c r="H179" i="54"/>
  <c r="G179" i="54"/>
  <c r="F179" i="54"/>
  <c r="V178" i="54"/>
  <c r="U178" i="54"/>
  <c r="S178" i="54"/>
  <c r="R178" i="54"/>
  <c r="K178" i="54"/>
  <c r="J178" i="54"/>
  <c r="I178" i="54"/>
  <c r="H178" i="54"/>
  <c r="G178" i="54"/>
  <c r="F178" i="54"/>
  <c r="V177" i="54"/>
  <c r="U177" i="54"/>
  <c r="S177" i="54"/>
  <c r="R177" i="54"/>
  <c r="K177" i="54"/>
  <c r="J177" i="54"/>
  <c r="I177" i="54"/>
  <c r="H177" i="54"/>
  <c r="G177" i="54"/>
  <c r="F177" i="54"/>
  <c r="X172" i="54"/>
  <c r="V172" i="54"/>
  <c r="U172" i="54"/>
  <c r="S172" i="54"/>
  <c r="R172" i="54"/>
  <c r="L172" i="54"/>
  <c r="J172" i="54"/>
  <c r="I172" i="54"/>
  <c r="G172" i="54"/>
  <c r="F172" i="54"/>
  <c r="V171" i="54"/>
  <c r="U171" i="54"/>
  <c r="S171" i="54"/>
  <c r="R171" i="54"/>
  <c r="J171" i="54"/>
  <c r="I171" i="54"/>
  <c r="G171" i="54"/>
  <c r="F171" i="54"/>
  <c r="V170" i="54"/>
  <c r="U170" i="54"/>
  <c r="S170" i="54"/>
  <c r="R170" i="54"/>
  <c r="J170" i="54"/>
  <c r="I170" i="54"/>
  <c r="G170" i="54"/>
  <c r="F170" i="54"/>
  <c r="X166" i="54"/>
  <c r="V166" i="54"/>
  <c r="U166" i="54"/>
  <c r="S166" i="54"/>
  <c r="R166" i="54"/>
  <c r="M166" i="54"/>
  <c r="L166" i="54"/>
  <c r="K166" i="54"/>
  <c r="J166" i="54"/>
  <c r="I166" i="54"/>
  <c r="H166" i="54"/>
  <c r="G166" i="54"/>
  <c r="F166" i="54"/>
  <c r="V165" i="54"/>
  <c r="U165" i="54"/>
  <c r="S165" i="54"/>
  <c r="R165" i="54"/>
  <c r="K165" i="54"/>
  <c r="J165" i="54"/>
  <c r="I165" i="54"/>
  <c r="H165" i="54"/>
  <c r="G165" i="54"/>
  <c r="F165" i="54"/>
  <c r="V164" i="54"/>
  <c r="U164" i="54"/>
  <c r="S164" i="54"/>
  <c r="R164" i="54"/>
  <c r="K164" i="54"/>
  <c r="J164" i="54"/>
  <c r="I164" i="54"/>
  <c r="H164" i="54"/>
  <c r="G164" i="54"/>
  <c r="F164" i="54"/>
  <c r="X159" i="54"/>
  <c r="V159" i="54"/>
  <c r="U159" i="54"/>
  <c r="S159" i="54"/>
  <c r="R159" i="54"/>
  <c r="L159" i="54"/>
  <c r="J159" i="54"/>
  <c r="I159" i="54"/>
  <c r="G159" i="54"/>
  <c r="F159" i="54"/>
  <c r="V158" i="54"/>
  <c r="U158" i="54"/>
  <c r="S158" i="54"/>
  <c r="R158" i="54"/>
  <c r="J158" i="54"/>
  <c r="I158" i="54"/>
  <c r="G158" i="54"/>
  <c r="F158" i="54"/>
  <c r="V157" i="54"/>
  <c r="U157" i="54"/>
  <c r="S157" i="54"/>
  <c r="R157" i="54"/>
  <c r="J157" i="54"/>
  <c r="I157" i="54"/>
  <c r="G157" i="54"/>
  <c r="F157" i="54"/>
  <c r="X153" i="54"/>
  <c r="V153" i="54"/>
  <c r="U153" i="54"/>
  <c r="S153" i="54"/>
  <c r="R153" i="54"/>
  <c r="M153" i="54"/>
  <c r="L153" i="54"/>
  <c r="K153" i="54"/>
  <c r="J153" i="54"/>
  <c r="I153" i="54"/>
  <c r="H153" i="54"/>
  <c r="G153" i="54"/>
  <c r="F153" i="54"/>
  <c r="V152" i="54"/>
  <c r="U152" i="54"/>
  <c r="S152" i="54"/>
  <c r="R152" i="54"/>
  <c r="K152" i="54"/>
  <c r="J152" i="54"/>
  <c r="I152" i="54"/>
  <c r="H152" i="54"/>
  <c r="G152" i="54"/>
  <c r="F152" i="54"/>
  <c r="V151" i="54"/>
  <c r="U151" i="54"/>
  <c r="S151" i="54"/>
  <c r="R151" i="54"/>
  <c r="K151" i="54"/>
  <c r="J151" i="54"/>
  <c r="I151" i="54"/>
  <c r="H151" i="54"/>
  <c r="G151" i="54"/>
  <c r="F151" i="54"/>
  <c r="X146" i="54"/>
  <c r="V146" i="54"/>
  <c r="U146" i="54"/>
  <c r="S146" i="54"/>
  <c r="R146" i="54"/>
  <c r="L146" i="54"/>
  <c r="J146" i="54"/>
  <c r="I146" i="54"/>
  <c r="G146" i="54"/>
  <c r="F146" i="54"/>
  <c r="V145" i="54"/>
  <c r="U145" i="54"/>
  <c r="S145" i="54"/>
  <c r="R145" i="54"/>
  <c r="J145" i="54"/>
  <c r="I145" i="54"/>
  <c r="G145" i="54"/>
  <c r="F145" i="54"/>
  <c r="V144" i="54"/>
  <c r="U144" i="54"/>
  <c r="S144" i="54"/>
  <c r="R144" i="54"/>
  <c r="J144" i="54"/>
  <c r="I144" i="54"/>
  <c r="G144" i="54"/>
  <c r="F144" i="54"/>
  <c r="X140" i="54"/>
  <c r="V140" i="54"/>
  <c r="U140" i="54"/>
  <c r="S140" i="54"/>
  <c r="R140" i="54"/>
  <c r="M140" i="54"/>
  <c r="L140" i="54"/>
  <c r="K140" i="54"/>
  <c r="J140" i="54"/>
  <c r="I140" i="54"/>
  <c r="H140" i="54"/>
  <c r="G140" i="54"/>
  <c r="F140" i="54"/>
  <c r="V139" i="54"/>
  <c r="U139" i="54"/>
  <c r="S139" i="54"/>
  <c r="R139" i="54"/>
  <c r="K139" i="54"/>
  <c r="J139" i="54"/>
  <c r="I139" i="54"/>
  <c r="H139" i="54"/>
  <c r="G139" i="54"/>
  <c r="F139" i="54"/>
  <c r="V138" i="54"/>
  <c r="U138" i="54"/>
  <c r="S138" i="54"/>
  <c r="R138" i="54"/>
  <c r="K138" i="54"/>
  <c r="J138" i="54"/>
  <c r="I138" i="54"/>
  <c r="H138" i="54"/>
  <c r="G138" i="54"/>
  <c r="F138" i="54"/>
  <c r="X133" i="54"/>
  <c r="V133" i="54"/>
  <c r="U133" i="54"/>
  <c r="S133" i="54"/>
  <c r="R133" i="54"/>
  <c r="L133" i="54"/>
  <c r="J133" i="54"/>
  <c r="I133" i="54"/>
  <c r="G133" i="54"/>
  <c r="F133" i="54"/>
  <c r="V132" i="54"/>
  <c r="U132" i="54"/>
  <c r="S132" i="54"/>
  <c r="R132" i="54"/>
  <c r="J132" i="54"/>
  <c r="I132" i="54"/>
  <c r="G132" i="54"/>
  <c r="F132" i="54"/>
  <c r="V131" i="54"/>
  <c r="U131" i="54"/>
  <c r="S131" i="54"/>
  <c r="R131" i="54"/>
  <c r="J131" i="54"/>
  <c r="I131" i="54"/>
  <c r="G131" i="54"/>
  <c r="F131" i="54"/>
  <c r="X127" i="54"/>
  <c r="V127" i="54"/>
  <c r="U127" i="54"/>
  <c r="S127" i="54"/>
  <c r="R127" i="54"/>
  <c r="M127" i="54"/>
  <c r="L127" i="54"/>
  <c r="K127" i="54"/>
  <c r="J127" i="54"/>
  <c r="I127" i="54"/>
  <c r="H127" i="54"/>
  <c r="G127" i="54"/>
  <c r="F127" i="54"/>
  <c r="V126" i="54"/>
  <c r="U126" i="54"/>
  <c r="S126" i="54"/>
  <c r="R126" i="54"/>
  <c r="K126" i="54"/>
  <c r="J126" i="54"/>
  <c r="I126" i="54"/>
  <c r="H126" i="54"/>
  <c r="G126" i="54"/>
  <c r="F126" i="54"/>
  <c r="V125" i="54"/>
  <c r="U125" i="54"/>
  <c r="S125" i="54"/>
  <c r="R125" i="54"/>
  <c r="K125" i="54"/>
  <c r="J125" i="54"/>
  <c r="I125" i="54"/>
  <c r="H125" i="54"/>
  <c r="G125" i="54"/>
  <c r="F125" i="54"/>
  <c r="X120" i="54"/>
  <c r="V120" i="54"/>
  <c r="U120" i="54"/>
  <c r="S120" i="54"/>
  <c r="R120" i="54"/>
  <c r="L120" i="54"/>
  <c r="J120" i="54"/>
  <c r="I120" i="54"/>
  <c r="G120" i="54"/>
  <c r="F120" i="54"/>
  <c r="V119" i="54"/>
  <c r="U119" i="54"/>
  <c r="S119" i="54"/>
  <c r="R119" i="54"/>
  <c r="J119" i="54"/>
  <c r="I119" i="54"/>
  <c r="G119" i="54"/>
  <c r="F119" i="54"/>
  <c r="V118" i="54"/>
  <c r="U118" i="54"/>
  <c r="S118" i="54"/>
  <c r="R118" i="54"/>
  <c r="J118" i="54"/>
  <c r="I118" i="54"/>
  <c r="G118" i="54"/>
  <c r="F118" i="54"/>
  <c r="X114" i="54"/>
  <c r="V114" i="54"/>
  <c r="U114" i="54"/>
  <c r="S114" i="54"/>
  <c r="R114" i="54"/>
  <c r="M114" i="54"/>
  <c r="L114" i="54"/>
  <c r="K114" i="54"/>
  <c r="J114" i="54"/>
  <c r="I114" i="54"/>
  <c r="H114" i="54"/>
  <c r="G114" i="54"/>
  <c r="F114" i="54"/>
  <c r="V113" i="54"/>
  <c r="U113" i="54"/>
  <c r="S113" i="54"/>
  <c r="R113" i="54"/>
  <c r="K113" i="54"/>
  <c r="J113" i="54"/>
  <c r="I113" i="54"/>
  <c r="H113" i="54"/>
  <c r="G113" i="54"/>
  <c r="F113" i="54"/>
  <c r="V112" i="54"/>
  <c r="U112" i="54"/>
  <c r="S112" i="54"/>
  <c r="R112" i="54"/>
  <c r="K112" i="54"/>
  <c r="J112" i="54"/>
  <c r="I112" i="54"/>
  <c r="H112" i="54"/>
  <c r="G112" i="54"/>
  <c r="F112" i="54"/>
  <c r="X107" i="54"/>
  <c r="V107" i="54"/>
  <c r="U107" i="54"/>
  <c r="S107" i="54"/>
  <c r="R107" i="54"/>
  <c r="L107" i="54"/>
  <c r="J107" i="54"/>
  <c r="I107" i="54"/>
  <c r="G107" i="54"/>
  <c r="F107" i="54"/>
  <c r="V106" i="54"/>
  <c r="U106" i="54"/>
  <c r="S106" i="54"/>
  <c r="R106" i="54"/>
  <c r="J106" i="54"/>
  <c r="I106" i="54"/>
  <c r="G106" i="54"/>
  <c r="F106" i="54"/>
  <c r="V105" i="54"/>
  <c r="U105" i="54"/>
  <c r="S105" i="54"/>
  <c r="R105" i="54"/>
  <c r="J105" i="54"/>
  <c r="I105" i="54"/>
  <c r="G105" i="54"/>
  <c r="F105" i="54"/>
  <c r="X101" i="54"/>
  <c r="V101" i="54"/>
  <c r="U101" i="54"/>
  <c r="S101" i="54"/>
  <c r="R101" i="54"/>
  <c r="M101" i="54"/>
  <c r="L101" i="54"/>
  <c r="K101" i="54"/>
  <c r="J101" i="54"/>
  <c r="I101" i="54"/>
  <c r="H101" i="54"/>
  <c r="G101" i="54"/>
  <c r="F101" i="54"/>
  <c r="V100" i="54"/>
  <c r="U100" i="54"/>
  <c r="S100" i="54"/>
  <c r="R100" i="54"/>
  <c r="K100" i="54"/>
  <c r="J100" i="54"/>
  <c r="I100" i="54"/>
  <c r="H100" i="54"/>
  <c r="G100" i="54"/>
  <c r="F100" i="54"/>
  <c r="V99" i="54"/>
  <c r="U99" i="54"/>
  <c r="S99" i="54"/>
  <c r="R99" i="54"/>
  <c r="K99" i="54"/>
  <c r="J99" i="54"/>
  <c r="I99" i="54"/>
  <c r="H99" i="54"/>
  <c r="G99" i="54"/>
  <c r="F99" i="54"/>
  <c r="X94" i="54"/>
  <c r="V94" i="54"/>
  <c r="U94" i="54"/>
  <c r="S94" i="54"/>
  <c r="R94" i="54"/>
  <c r="L94" i="54"/>
  <c r="J94" i="54"/>
  <c r="I94" i="54"/>
  <c r="G94" i="54"/>
  <c r="F94" i="54"/>
  <c r="V93" i="54"/>
  <c r="U93" i="54"/>
  <c r="S93" i="54"/>
  <c r="R93" i="54"/>
  <c r="J93" i="54"/>
  <c r="I93" i="54"/>
  <c r="G93" i="54"/>
  <c r="F93" i="54"/>
  <c r="V92" i="54"/>
  <c r="U92" i="54"/>
  <c r="S92" i="54"/>
  <c r="R92" i="54"/>
  <c r="J92" i="54"/>
  <c r="I92" i="54"/>
  <c r="G92" i="54"/>
  <c r="F92" i="54"/>
  <c r="X88" i="54"/>
  <c r="V88" i="54"/>
  <c r="U88" i="54"/>
  <c r="S88" i="54"/>
  <c r="R88" i="54"/>
  <c r="M88" i="54"/>
  <c r="L88" i="54"/>
  <c r="K88" i="54"/>
  <c r="J88" i="54"/>
  <c r="I88" i="54"/>
  <c r="H88" i="54"/>
  <c r="G88" i="54"/>
  <c r="F88" i="54"/>
  <c r="V87" i="54"/>
  <c r="U87" i="54"/>
  <c r="S87" i="54"/>
  <c r="R87" i="54"/>
  <c r="K87" i="54"/>
  <c r="J87" i="54"/>
  <c r="I87" i="54"/>
  <c r="H87" i="54"/>
  <c r="G87" i="54"/>
  <c r="F87" i="54"/>
  <c r="V86" i="54"/>
  <c r="U86" i="54"/>
  <c r="S86" i="54"/>
  <c r="R86" i="54"/>
  <c r="K86" i="54"/>
  <c r="J86" i="54"/>
  <c r="I86" i="54"/>
  <c r="H86" i="54"/>
  <c r="G86" i="54"/>
  <c r="F86" i="54"/>
  <c r="X81" i="54"/>
  <c r="V81" i="54"/>
  <c r="U81" i="54"/>
  <c r="S81" i="54"/>
  <c r="R81" i="54"/>
  <c r="L81" i="54"/>
  <c r="J81" i="54"/>
  <c r="I81" i="54"/>
  <c r="G81" i="54"/>
  <c r="F81" i="54"/>
  <c r="V80" i="54"/>
  <c r="U80" i="54"/>
  <c r="S80" i="54"/>
  <c r="R80" i="54"/>
  <c r="J80" i="54"/>
  <c r="I80" i="54"/>
  <c r="G80" i="54"/>
  <c r="F80" i="54"/>
  <c r="V79" i="54"/>
  <c r="U79" i="54"/>
  <c r="S79" i="54"/>
  <c r="R79" i="54"/>
  <c r="J79" i="54"/>
  <c r="I79" i="54"/>
  <c r="G79" i="54"/>
  <c r="F79" i="54"/>
  <c r="X75" i="54"/>
  <c r="V75" i="54"/>
  <c r="U75" i="54"/>
  <c r="S75" i="54"/>
  <c r="R75" i="54"/>
  <c r="M75" i="54"/>
  <c r="L75" i="54"/>
  <c r="K75" i="54"/>
  <c r="J75" i="54"/>
  <c r="I75" i="54"/>
  <c r="H75" i="54"/>
  <c r="G75" i="54"/>
  <c r="F75" i="54"/>
  <c r="V74" i="54"/>
  <c r="U74" i="54"/>
  <c r="S74" i="54"/>
  <c r="R74" i="54"/>
  <c r="K74" i="54"/>
  <c r="J74" i="54"/>
  <c r="I74" i="54"/>
  <c r="H74" i="54"/>
  <c r="G74" i="54"/>
  <c r="F74" i="54"/>
  <c r="V73" i="54"/>
  <c r="U73" i="54"/>
  <c r="S73" i="54"/>
  <c r="R73" i="54"/>
  <c r="K73" i="54"/>
  <c r="J73" i="54"/>
  <c r="I73" i="54"/>
  <c r="H73" i="54"/>
  <c r="G73" i="54"/>
  <c r="F73" i="54"/>
  <c r="X263" i="53"/>
  <c r="V263" i="53"/>
  <c r="U263" i="53"/>
  <c r="S263" i="53"/>
  <c r="R263" i="53"/>
  <c r="L263" i="53"/>
  <c r="J263" i="53"/>
  <c r="I263" i="53"/>
  <c r="G263" i="53"/>
  <c r="F263" i="53"/>
  <c r="V262" i="53"/>
  <c r="U262" i="53"/>
  <c r="S262" i="53"/>
  <c r="R262" i="53"/>
  <c r="J262" i="53"/>
  <c r="I262" i="53"/>
  <c r="G262" i="53"/>
  <c r="F262" i="53"/>
  <c r="V261" i="53"/>
  <c r="U261" i="53"/>
  <c r="S261" i="53"/>
  <c r="R261" i="53"/>
  <c r="J261" i="53"/>
  <c r="I261" i="53"/>
  <c r="G261" i="53"/>
  <c r="F261" i="53"/>
  <c r="X257" i="53"/>
  <c r="V257" i="53"/>
  <c r="U257" i="53"/>
  <c r="S257" i="53"/>
  <c r="R257" i="53"/>
  <c r="M257" i="53"/>
  <c r="L257" i="53"/>
  <c r="K257" i="53"/>
  <c r="J257" i="53"/>
  <c r="I257" i="53"/>
  <c r="H257" i="53"/>
  <c r="G257" i="53"/>
  <c r="F257" i="53"/>
  <c r="V256" i="53"/>
  <c r="U256" i="53"/>
  <c r="S256" i="53"/>
  <c r="R256" i="53"/>
  <c r="K256" i="53"/>
  <c r="J256" i="53"/>
  <c r="I256" i="53"/>
  <c r="H256" i="53"/>
  <c r="G256" i="53"/>
  <c r="F256" i="53"/>
  <c r="V255" i="53"/>
  <c r="U255" i="53"/>
  <c r="S255" i="53"/>
  <c r="R255" i="53"/>
  <c r="K255" i="53"/>
  <c r="J255" i="53"/>
  <c r="I255" i="53"/>
  <c r="H255" i="53"/>
  <c r="G255" i="53"/>
  <c r="F255" i="53"/>
  <c r="X250" i="53"/>
  <c r="V250" i="53"/>
  <c r="U250" i="53"/>
  <c r="S250" i="53"/>
  <c r="R250" i="53"/>
  <c r="L250" i="53"/>
  <c r="J250" i="53"/>
  <c r="I250" i="53"/>
  <c r="G250" i="53"/>
  <c r="F250" i="53"/>
  <c r="V249" i="53"/>
  <c r="U249" i="53"/>
  <c r="S249" i="53"/>
  <c r="R249" i="53"/>
  <c r="J249" i="53"/>
  <c r="I249" i="53"/>
  <c r="G249" i="53"/>
  <c r="F249" i="53"/>
  <c r="V248" i="53"/>
  <c r="U248" i="53"/>
  <c r="S248" i="53"/>
  <c r="R248" i="53"/>
  <c r="J248" i="53"/>
  <c r="I248" i="53"/>
  <c r="G248" i="53"/>
  <c r="F248" i="53"/>
  <c r="X244" i="53"/>
  <c r="V244" i="53"/>
  <c r="U244" i="53"/>
  <c r="S244" i="53"/>
  <c r="R244" i="53"/>
  <c r="M244" i="53"/>
  <c r="L244" i="53"/>
  <c r="K244" i="53"/>
  <c r="J244" i="53"/>
  <c r="I244" i="53"/>
  <c r="H244" i="53"/>
  <c r="G244" i="53"/>
  <c r="F244" i="53"/>
  <c r="V243" i="53"/>
  <c r="U243" i="53"/>
  <c r="S243" i="53"/>
  <c r="R243" i="53"/>
  <c r="K243" i="53"/>
  <c r="J243" i="53"/>
  <c r="I243" i="53"/>
  <c r="H243" i="53"/>
  <c r="G243" i="53"/>
  <c r="F243" i="53"/>
  <c r="V242" i="53"/>
  <c r="U242" i="53"/>
  <c r="S242" i="53"/>
  <c r="R242" i="53"/>
  <c r="K242" i="53"/>
  <c r="J242" i="53"/>
  <c r="I242" i="53"/>
  <c r="H242" i="53"/>
  <c r="G242" i="53"/>
  <c r="F242" i="53"/>
  <c r="X237" i="53"/>
  <c r="V237" i="53"/>
  <c r="U237" i="53"/>
  <c r="S237" i="53"/>
  <c r="R237" i="53"/>
  <c r="L237" i="53"/>
  <c r="J237" i="53"/>
  <c r="I237" i="53"/>
  <c r="G237" i="53"/>
  <c r="F237" i="53"/>
  <c r="V236" i="53"/>
  <c r="U236" i="53"/>
  <c r="S236" i="53"/>
  <c r="R236" i="53"/>
  <c r="J236" i="53"/>
  <c r="I236" i="53"/>
  <c r="G236" i="53"/>
  <c r="F236" i="53"/>
  <c r="V235" i="53"/>
  <c r="U235" i="53"/>
  <c r="S235" i="53"/>
  <c r="R235" i="53"/>
  <c r="J235" i="53"/>
  <c r="I235" i="53"/>
  <c r="G235" i="53"/>
  <c r="F235" i="53"/>
  <c r="X231" i="53"/>
  <c r="V231" i="53"/>
  <c r="U231" i="53"/>
  <c r="S231" i="53"/>
  <c r="R231" i="53"/>
  <c r="M231" i="53"/>
  <c r="L231" i="53"/>
  <c r="K231" i="53"/>
  <c r="J231" i="53"/>
  <c r="I231" i="53"/>
  <c r="H231" i="53"/>
  <c r="G231" i="53"/>
  <c r="F231" i="53"/>
  <c r="V230" i="53"/>
  <c r="U230" i="53"/>
  <c r="S230" i="53"/>
  <c r="R230" i="53"/>
  <c r="K230" i="53"/>
  <c r="J230" i="53"/>
  <c r="I230" i="53"/>
  <c r="H230" i="53"/>
  <c r="G230" i="53"/>
  <c r="F230" i="53"/>
  <c r="V229" i="53"/>
  <c r="U229" i="53"/>
  <c r="S229" i="53"/>
  <c r="R229" i="53"/>
  <c r="K229" i="53"/>
  <c r="J229" i="53"/>
  <c r="I229" i="53"/>
  <c r="H229" i="53"/>
  <c r="G229" i="53"/>
  <c r="F229" i="53"/>
  <c r="X224" i="53"/>
  <c r="V224" i="53"/>
  <c r="U224" i="53"/>
  <c r="S224" i="53"/>
  <c r="R224" i="53"/>
  <c r="L224" i="53"/>
  <c r="J224" i="53"/>
  <c r="I224" i="53"/>
  <c r="G224" i="53"/>
  <c r="F224" i="53"/>
  <c r="V223" i="53"/>
  <c r="U223" i="53"/>
  <c r="S223" i="53"/>
  <c r="R223" i="53"/>
  <c r="J223" i="53"/>
  <c r="I223" i="53"/>
  <c r="G223" i="53"/>
  <c r="F223" i="53"/>
  <c r="V222" i="53"/>
  <c r="U222" i="53"/>
  <c r="S222" i="53"/>
  <c r="R222" i="53"/>
  <c r="J222" i="53"/>
  <c r="I222" i="53"/>
  <c r="G222" i="53"/>
  <c r="F222" i="53"/>
  <c r="X218" i="53"/>
  <c r="V218" i="53"/>
  <c r="U218" i="53"/>
  <c r="S218" i="53"/>
  <c r="R218" i="53"/>
  <c r="M218" i="53"/>
  <c r="L218" i="53"/>
  <c r="K218" i="53"/>
  <c r="J218" i="53"/>
  <c r="I218" i="53"/>
  <c r="H218" i="53"/>
  <c r="G218" i="53"/>
  <c r="F218" i="53"/>
  <c r="V217" i="53"/>
  <c r="U217" i="53"/>
  <c r="S217" i="53"/>
  <c r="R217" i="53"/>
  <c r="K217" i="53"/>
  <c r="J217" i="53"/>
  <c r="I217" i="53"/>
  <c r="H217" i="53"/>
  <c r="G217" i="53"/>
  <c r="F217" i="53"/>
  <c r="V216" i="53"/>
  <c r="U216" i="53"/>
  <c r="S216" i="53"/>
  <c r="R216" i="53"/>
  <c r="K216" i="53"/>
  <c r="J216" i="53"/>
  <c r="I216" i="53"/>
  <c r="H216" i="53"/>
  <c r="G216" i="53"/>
  <c r="F216" i="53"/>
  <c r="X211" i="53"/>
  <c r="V211" i="53"/>
  <c r="U211" i="53"/>
  <c r="S211" i="53"/>
  <c r="R211" i="53"/>
  <c r="L211" i="53"/>
  <c r="J211" i="53"/>
  <c r="I211" i="53"/>
  <c r="G211" i="53"/>
  <c r="F211" i="53"/>
  <c r="V210" i="53"/>
  <c r="U210" i="53"/>
  <c r="S210" i="53"/>
  <c r="R210" i="53"/>
  <c r="J210" i="53"/>
  <c r="I210" i="53"/>
  <c r="G210" i="53"/>
  <c r="F210" i="53"/>
  <c r="V209" i="53"/>
  <c r="U209" i="53"/>
  <c r="S209" i="53"/>
  <c r="R209" i="53"/>
  <c r="J209" i="53"/>
  <c r="I209" i="53"/>
  <c r="G209" i="53"/>
  <c r="F209" i="53"/>
  <c r="X205" i="53"/>
  <c r="V205" i="53"/>
  <c r="U205" i="53"/>
  <c r="S205" i="53"/>
  <c r="R205" i="53"/>
  <c r="M205" i="53"/>
  <c r="L205" i="53"/>
  <c r="K205" i="53"/>
  <c r="J205" i="53"/>
  <c r="I205" i="53"/>
  <c r="H205" i="53"/>
  <c r="G205" i="53"/>
  <c r="F205" i="53"/>
  <c r="V204" i="53"/>
  <c r="U204" i="53"/>
  <c r="S204" i="53"/>
  <c r="R204" i="53"/>
  <c r="K204" i="53"/>
  <c r="J204" i="53"/>
  <c r="I204" i="53"/>
  <c r="H204" i="53"/>
  <c r="G204" i="53"/>
  <c r="F204" i="53"/>
  <c r="V203" i="53"/>
  <c r="U203" i="53"/>
  <c r="S203" i="53"/>
  <c r="R203" i="53"/>
  <c r="K203" i="53"/>
  <c r="J203" i="53"/>
  <c r="I203" i="53"/>
  <c r="H203" i="53"/>
  <c r="G203" i="53"/>
  <c r="F203" i="53"/>
  <c r="X198" i="53"/>
  <c r="V198" i="53"/>
  <c r="U198" i="53"/>
  <c r="S198" i="53"/>
  <c r="R198" i="53"/>
  <c r="L198" i="53"/>
  <c r="J198" i="53"/>
  <c r="I198" i="53"/>
  <c r="G198" i="53"/>
  <c r="F198" i="53"/>
  <c r="V197" i="53"/>
  <c r="U197" i="53"/>
  <c r="S197" i="53"/>
  <c r="R197" i="53"/>
  <c r="J197" i="53"/>
  <c r="I197" i="53"/>
  <c r="G197" i="53"/>
  <c r="F197" i="53"/>
  <c r="V196" i="53"/>
  <c r="U196" i="53"/>
  <c r="S196" i="53"/>
  <c r="R196" i="53"/>
  <c r="J196" i="53"/>
  <c r="I196" i="53"/>
  <c r="G196" i="53"/>
  <c r="F196" i="53"/>
  <c r="X192" i="53"/>
  <c r="V192" i="53"/>
  <c r="U192" i="53"/>
  <c r="S192" i="53"/>
  <c r="R192" i="53"/>
  <c r="M192" i="53"/>
  <c r="L192" i="53"/>
  <c r="K192" i="53"/>
  <c r="J192" i="53"/>
  <c r="I192" i="53"/>
  <c r="H192" i="53"/>
  <c r="G192" i="53"/>
  <c r="F192" i="53"/>
  <c r="V191" i="53"/>
  <c r="U191" i="53"/>
  <c r="S191" i="53"/>
  <c r="R191" i="53"/>
  <c r="K191" i="53"/>
  <c r="J191" i="53"/>
  <c r="I191" i="53"/>
  <c r="H191" i="53"/>
  <c r="G191" i="53"/>
  <c r="F191" i="53"/>
  <c r="V190" i="53"/>
  <c r="U190" i="53"/>
  <c r="S190" i="53"/>
  <c r="R190" i="53"/>
  <c r="K190" i="53"/>
  <c r="J190" i="53"/>
  <c r="I190" i="53"/>
  <c r="H190" i="53"/>
  <c r="G190" i="53"/>
  <c r="F190" i="53"/>
  <c r="X185" i="53"/>
  <c r="V185" i="53"/>
  <c r="U185" i="53"/>
  <c r="S185" i="53"/>
  <c r="R185" i="53"/>
  <c r="L185" i="53"/>
  <c r="J185" i="53"/>
  <c r="I185" i="53"/>
  <c r="G185" i="53"/>
  <c r="F185" i="53"/>
  <c r="V184" i="53"/>
  <c r="U184" i="53"/>
  <c r="S184" i="53"/>
  <c r="R184" i="53"/>
  <c r="J184" i="53"/>
  <c r="I184" i="53"/>
  <c r="G184" i="53"/>
  <c r="F184" i="53"/>
  <c r="V183" i="53"/>
  <c r="U183" i="53"/>
  <c r="S183" i="53"/>
  <c r="R183" i="53"/>
  <c r="J183" i="53"/>
  <c r="I183" i="53"/>
  <c r="G183" i="53"/>
  <c r="F183" i="53"/>
  <c r="X179" i="53"/>
  <c r="V179" i="53"/>
  <c r="U179" i="53"/>
  <c r="S179" i="53"/>
  <c r="R179" i="53"/>
  <c r="M179" i="53"/>
  <c r="L179" i="53"/>
  <c r="K179" i="53"/>
  <c r="J179" i="53"/>
  <c r="I179" i="53"/>
  <c r="H179" i="53"/>
  <c r="G179" i="53"/>
  <c r="F179" i="53"/>
  <c r="V178" i="53"/>
  <c r="U178" i="53"/>
  <c r="S178" i="53"/>
  <c r="R178" i="53"/>
  <c r="K178" i="53"/>
  <c r="J178" i="53"/>
  <c r="I178" i="53"/>
  <c r="H178" i="53"/>
  <c r="G178" i="53"/>
  <c r="F178" i="53"/>
  <c r="V177" i="53"/>
  <c r="U177" i="53"/>
  <c r="S177" i="53"/>
  <c r="R177" i="53"/>
  <c r="K177" i="53"/>
  <c r="J177" i="53"/>
  <c r="I177" i="53"/>
  <c r="H177" i="53"/>
  <c r="G177" i="53"/>
  <c r="F177" i="53"/>
  <c r="X172" i="53"/>
  <c r="V172" i="53"/>
  <c r="U172" i="53"/>
  <c r="S172" i="53"/>
  <c r="R172" i="53"/>
  <c r="L172" i="53"/>
  <c r="J172" i="53"/>
  <c r="I172" i="53"/>
  <c r="G172" i="53"/>
  <c r="F172" i="53"/>
  <c r="V171" i="53"/>
  <c r="U171" i="53"/>
  <c r="S171" i="53"/>
  <c r="R171" i="53"/>
  <c r="J171" i="53"/>
  <c r="I171" i="53"/>
  <c r="G171" i="53"/>
  <c r="F171" i="53"/>
  <c r="V170" i="53"/>
  <c r="U170" i="53"/>
  <c r="S170" i="53"/>
  <c r="R170" i="53"/>
  <c r="J170" i="53"/>
  <c r="I170" i="53"/>
  <c r="G170" i="53"/>
  <c r="F170" i="53"/>
  <c r="X166" i="53"/>
  <c r="V166" i="53"/>
  <c r="U166" i="53"/>
  <c r="S166" i="53"/>
  <c r="R166" i="53"/>
  <c r="M166" i="53"/>
  <c r="L166" i="53"/>
  <c r="K166" i="53"/>
  <c r="J166" i="53"/>
  <c r="I166" i="53"/>
  <c r="H166" i="53"/>
  <c r="G166" i="53"/>
  <c r="F166" i="53"/>
  <c r="V165" i="53"/>
  <c r="U165" i="53"/>
  <c r="S165" i="53"/>
  <c r="R165" i="53"/>
  <c r="K165" i="53"/>
  <c r="J165" i="53"/>
  <c r="I165" i="53"/>
  <c r="H165" i="53"/>
  <c r="G165" i="53"/>
  <c r="F165" i="53"/>
  <c r="V164" i="53"/>
  <c r="U164" i="53"/>
  <c r="S164" i="53"/>
  <c r="R164" i="53"/>
  <c r="K164" i="53"/>
  <c r="J164" i="53"/>
  <c r="I164" i="53"/>
  <c r="H164" i="53"/>
  <c r="G164" i="53"/>
  <c r="F164" i="53"/>
  <c r="X159" i="53"/>
  <c r="V159" i="53"/>
  <c r="U159" i="53"/>
  <c r="S159" i="53"/>
  <c r="R159" i="53"/>
  <c r="L159" i="53"/>
  <c r="J159" i="53"/>
  <c r="I159" i="53"/>
  <c r="G159" i="53"/>
  <c r="F159" i="53"/>
  <c r="V158" i="53"/>
  <c r="U158" i="53"/>
  <c r="S158" i="53"/>
  <c r="R158" i="53"/>
  <c r="J158" i="53"/>
  <c r="I158" i="53"/>
  <c r="G158" i="53"/>
  <c r="F158" i="53"/>
  <c r="V157" i="53"/>
  <c r="U157" i="53"/>
  <c r="S157" i="53"/>
  <c r="R157" i="53"/>
  <c r="J157" i="53"/>
  <c r="I157" i="53"/>
  <c r="G157" i="53"/>
  <c r="F157" i="53"/>
  <c r="X153" i="53"/>
  <c r="V153" i="53"/>
  <c r="U153" i="53"/>
  <c r="S153" i="53"/>
  <c r="R153" i="53"/>
  <c r="M153" i="53"/>
  <c r="L153" i="53"/>
  <c r="K153" i="53"/>
  <c r="J153" i="53"/>
  <c r="I153" i="53"/>
  <c r="H153" i="53"/>
  <c r="G153" i="53"/>
  <c r="F153" i="53"/>
  <c r="V152" i="53"/>
  <c r="U152" i="53"/>
  <c r="S152" i="53"/>
  <c r="R152" i="53"/>
  <c r="K152" i="53"/>
  <c r="J152" i="53"/>
  <c r="I152" i="53"/>
  <c r="H152" i="53"/>
  <c r="G152" i="53"/>
  <c r="F152" i="53"/>
  <c r="V151" i="53"/>
  <c r="U151" i="53"/>
  <c r="S151" i="53"/>
  <c r="R151" i="53"/>
  <c r="K151" i="53"/>
  <c r="J151" i="53"/>
  <c r="I151" i="53"/>
  <c r="H151" i="53"/>
  <c r="G151" i="53"/>
  <c r="F151" i="53"/>
  <c r="X146" i="53"/>
  <c r="V146" i="53"/>
  <c r="U146" i="53"/>
  <c r="S146" i="53"/>
  <c r="R146" i="53"/>
  <c r="L146" i="53"/>
  <c r="J146" i="53"/>
  <c r="I146" i="53"/>
  <c r="G146" i="53"/>
  <c r="F146" i="53"/>
  <c r="V145" i="53"/>
  <c r="U145" i="53"/>
  <c r="S145" i="53"/>
  <c r="R145" i="53"/>
  <c r="J145" i="53"/>
  <c r="I145" i="53"/>
  <c r="G145" i="53"/>
  <c r="F145" i="53"/>
  <c r="V144" i="53"/>
  <c r="U144" i="53"/>
  <c r="S144" i="53"/>
  <c r="R144" i="53"/>
  <c r="J144" i="53"/>
  <c r="I144" i="53"/>
  <c r="G144" i="53"/>
  <c r="F144" i="53"/>
  <c r="X140" i="53"/>
  <c r="V140" i="53"/>
  <c r="U140" i="53"/>
  <c r="S140" i="53"/>
  <c r="R140" i="53"/>
  <c r="M140" i="53"/>
  <c r="L140" i="53"/>
  <c r="K140" i="53"/>
  <c r="J140" i="53"/>
  <c r="I140" i="53"/>
  <c r="H140" i="53"/>
  <c r="G140" i="53"/>
  <c r="F140" i="53"/>
  <c r="V139" i="53"/>
  <c r="U139" i="53"/>
  <c r="S139" i="53"/>
  <c r="R139" i="53"/>
  <c r="K139" i="53"/>
  <c r="J139" i="53"/>
  <c r="I139" i="53"/>
  <c r="H139" i="53"/>
  <c r="G139" i="53"/>
  <c r="F139" i="53"/>
  <c r="V138" i="53"/>
  <c r="U138" i="53"/>
  <c r="S138" i="53"/>
  <c r="R138" i="53"/>
  <c r="K138" i="53"/>
  <c r="J138" i="53"/>
  <c r="I138" i="53"/>
  <c r="H138" i="53"/>
  <c r="G138" i="53"/>
  <c r="F138" i="53"/>
  <c r="X133" i="53"/>
  <c r="V133" i="53"/>
  <c r="U133" i="53"/>
  <c r="S133" i="53"/>
  <c r="R133" i="53"/>
  <c r="L133" i="53"/>
  <c r="J133" i="53"/>
  <c r="I133" i="53"/>
  <c r="G133" i="53"/>
  <c r="F133" i="53"/>
  <c r="V132" i="53"/>
  <c r="U132" i="53"/>
  <c r="S132" i="53"/>
  <c r="R132" i="53"/>
  <c r="J132" i="53"/>
  <c r="I132" i="53"/>
  <c r="G132" i="53"/>
  <c r="F132" i="53"/>
  <c r="V131" i="53"/>
  <c r="U131" i="53"/>
  <c r="S131" i="53"/>
  <c r="R131" i="53"/>
  <c r="J131" i="53"/>
  <c r="I131" i="53"/>
  <c r="G131" i="53"/>
  <c r="F131" i="53"/>
  <c r="X127" i="53"/>
  <c r="V127" i="53"/>
  <c r="U127" i="53"/>
  <c r="S127" i="53"/>
  <c r="R127" i="53"/>
  <c r="M127" i="53"/>
  <c r="L127" i="53"/>
  <c r="K127" i="53"/>
  <c r="J127" i="53"/>
  <c r="I127" i="53"/>
  <c r="H127" i="53"/>
  <c r="G127" i="53"/>
  <c r="F127" i="53"/>
  <c r="V126" i="53"/>
  <c r="U126" i="53"/>
  <c r="S126" i="53"/>
  <c r="R126" i="53"/>
  <c r="K126" i="53"/>
  <c r="J126" i="53"/>
  <c r="I126" i="53"/>
  <c r="H126" i="53"/>
  <c r="G126" i="53"/>
  <c r="F126" i="53"/>
  <c r="V125" i="53"/>
  <c r="U125" i="53"/>
  <c r="S125" i="53"/>
  <c r="R125" i="53"/>
  <c r="K125" i="53"/>
  <c r="J125" i="53"/>
  <c r="I125" i="53"/>
  <c r="H125" i="53"/>
  <c r="G125" i="53"/>
  <c r="F125" i="53"/>
  <c r="X120" i="53"/>
  <c r="V120" i="53"/>
  <c r="U120" i="53"/>
  <c r="S120" i="53"/>
  <c r="R120" i="53"/>
  <c r="L120" i="53"/>
  <c r="J120" i="53"/>
  <c r="I120" i="53"/>
  <c r="G120" i="53"/>
  <c r="F120" i="53"/>
  <c r="V119" i="53"/>
  <c r="U119" i="53"/>
  <c r="S119" i="53"/>
  <c r="R119" i="53"/>
  <c r="J119" i="53"/>
  <c r="I119" i="53"/>
  <c r="G119" i="53"/>
  <c r="F119" i="53"/>
  <c r="V118" i="53"/>
  <c r="U118" i="53"/>
  <c r="S118" i="53"/>
  <c r="R118" i="53"/>
  <c r="J118" i="53"/>
  <c r="I118" i="53"/>
  <c r="G118" i="53"/>
  <c r="F118" i="53"/>
  <c r="X114" i="53"/>
  <c r="V114" i="53"/>
  <c r="U114" i="53"/>
  <c r="S114" i="53"/>
  <c r="R114" i="53"/>
  <c r="M114" i="53"/>
  <c r="L114" i="53"/>
  <c r="K114" i="53"/>
  <c r="J114" i="53"/>
  <c r="I114" i="53"/>
  <c r="H114" i="53"/>
  <c r="G114" i="53"/>
  <c r="F114" i="53"/>
  <c r="V113" i="53"/>
  <c r="U113" i="53"/>
  <c r="S113" i="53"/>
  <c r="R113" i="53"/>
  <c r="K113" i="53"/>
  <c r="J113" i="53"/>
  <c r="I113" i="53"/>
  <c r="H113" i="53"/>
  <c r="G113" i="53"/>
  <c r="F113" i="53"/>
  <c r="V112" i="53"/>
  <c r="U112" i="53"/>
  <c r="S112" i="53"/>
  <c r="R112" i="53"/>
  <c r="K112" i="53"/>
  <c r="J112" i="53"/>
  <c r="I112" i="53"/>
  <c r="H112" i="53"/>
  <c r="G112" i="53"/>
  <c r="F112" i="53"/>
  <c r="X107" i="53"/>
  <c r="V107" i="53"/>
  <c r="U107" i="53"/>
  <c r="S107" i="53"/>
  <c r="R107" i="53"/>
  <c r="L107" i="53"/>
  <c r="J107" i="53"/>
  <c r="I107" i="53"/>
  <c r="G107" i="53"/>
  <c r="F107" i="53"/>
  <c r="V106" i="53"/>
  <c r="U106" i="53"/>
  <c r="S106" i="53"/>
  <c r="R106" i="53"/>
  <c r="J106" i="53"/>
  <c r="I106" i="53"/>
  <c r="G106" i="53"/>
  <c r="F106" i="53"/>
  <c r="V105" i="53"/>
  <c r="U105" i="53"/>
  <c r="S105" i="53"/>
  <c r="R105" i="53"/>
  <c r="J105" i="53"/>
  <c r="I105" i="53"/>
  <c r="G105" i="53"/>
  <c r="F105" i="53"/>
  <c r="X101" i="53"/>
  <c r="V101" i="53"/>
  <c r="U101" i="53"/>
  <c r="S101" i="53"/>
  <c r="R101" i="53"/>
  <c r="M101" i="53"/>
  <c r="L101" i="53"/>
  <c r="K101" i="53"/>
  <c r="J101" i="53"/>
  <c r="I101" i="53"/>
  <c r="H101" i="53"/>
  <c r="G101" i="53"/>
  <c r="F101" i="53"/>
  <c r="V100" i="53"/>
  <c r="U100" i="53"/>
  <c r="S100" i="53"/>
  <c r="R100" i="53"/>
  <c r="K100" i="53"/>
  <c r="J100" i="53"/>
  <c r="I100" i="53"/>
  <c r="H100" i="53"/>
  <c r="G100" i="53"/>
  <c r="F100" i="53"/>
  <c r="V99" i="53"/>
  <c r="U99" i="53"/>
  <c r="S99" i="53"/>
  <c r="R99" i="53"/>
  <c r="K99" i="53"/>
  <c r="J99" i="53"/>
  <c r="I99" i="53"/>
  <c r="H99" i="53"/>
  <c r="G99" i="53"/>
  <c r="F99" i="53"/>
  <c r="X94" i="53"/>
  <c r="V94" i="53"/>
  <c r="U94" i="53"/>
  <c r="S94" i="53"/>
  <c r="R94" i="53"/>
  <c r="L94" i="53"/>
  <c r="J94" i="53"/>
  <c r="I94" i="53"/>
  <c r="G94" i="53"/>
  <c r="F94" i="53"/>
  <c r="V93" i="53"/>
  <c r="U93" i="53"/>
  <c r="S93" i="53"/>
  <c r="R93" i="53"/>
  <c r="J93" i="53"/>
  <c r="I93" i="53"/>
  <c r="G93" i="53"/>
  <c r="F93" i="53"/>
  <c r="V92" i="53"/>
  <c r="U92" i="53"/>
  <c r="S92" i="53"/>
  <c r="R92" i="53"/>
  <c r="J92" i="53"/>
  <c r="I92" i="53"/>
  <c r="G92" i="53"/>
  <c r="F92" i="53"/>
  <c r="X88" i="53"/>
  <c r="V88" i="53"/>
  <c r="U88" i="53"/>
  <c r="S88" i="53"/>
  <c r="R88" i="53"/>
  <c r="M88" i="53"/>
  <c r="L88" i="53"/>
  <c r="K88" i="53"/>
  <c r="J88" i="53"/>
  <c r="I88" i="53"/>
  <c r="H88" i="53"/>
  <c r="G88" i="53"/>
  <c r="F88" i="53"/>
  <c r="V87" i="53"/>
  <c r="U87" i="53"/>
  <c r="S87" i="53"/>
  <c r="R87" i="53"/>
  <c r="K87" i="53"/>
  <c r="J87" i="53"/>
  <c r="I87" i="53"/>
  <c r="H87" i="53"/>
  <c r="G87" i="53"/>
  <c r="F87" i="53"/>
  <c r="V86" i="53"/>
  <c r="U86" i="53"/>
  <c r="S86" i="53"/>
  <c r="R86" i="53"/>
  <c r="K86" i="53"/>
  <c r="J86" i="53"/>
  <c r="I86" i="53"/>
  <c r="H86" i="53"/>
  <c r="G86" i="53"/>
  <c r="F86" i="53"/>
  <c r="X81" i="53"/>
  <c r="V81" i="53"/>
  <c r="U81" i="53"/>
  <c r="S81" i="53"/>
  <c r="R81" i="53"/>
  <c r="L81" i="53"/>
  <c r="J81" i="53"/>
  <c r="I81" i="53"/>
  <c r="G81" i="53"/>
  <c r="F81" i="53"/>
  <c r="V80" i="53"/>
  <c r="U80" i="53"/>
  <c r="S80" i="53"/>
  <c r="R80" i="53"/>
  <c r="J80" i="53"/>
  <c r="I80" i="53"/>
  <c r="G80" i="53"/>
  <c r="F80" i="53"/>
  <c r="V79" i="53"/>
  <c r="U79" i="53"/>
  <c r="S79" i="53"/>
  <c r="R79" i="53"/>
  <c r="J79" i="53"/>
  <c r="I79" i="53"/>
  <c r="G79" i="53"/>
  <c r="F79" i="53"/>
  <c r="X75" i="53"/>
  <c r="V75" i="53"/>
  <c r="U75" i="53"/>
  <c r="S75" i="53"/>
  <c r="R75" i="53"/>
  <c r="M75" i="53"/>
  <c r="L75" i="53"/>
  <c r="K75" i="53"/>
  <c r="J75" i="53"/>
  <c r="I75" i="53"/>
  <c r="H75" i="53"/>
  <c r="G75" i="53"/>
  <c r="F75" i="53"/>
  <c r="V74" i="53"/>
  <c r="U74" i="53"/>
  <c r="S74" i="53"/>
  <c r="R74" i="53"/>
  <c r="K74" i="53"/>
  <c r="J74" i="53"/>
  <c r="I74" i="53"/>
  <c r="H74" i="53"/>
  <c r="G74" i="53"/>
  <c r="F74" i="53"/>
  <c r="V73" i="53"/>
  <c r="U73" i="53"/>
  <c r="S73" i="53"/>
  <c r="R73" i="53"/>
  <c r="K73" i="53"/>
  <c r="J73" i="53"/>
  <c r="I73" i="53"/>
  <c r="H73" i="53"/>
  <c r="G73" i="53"/>
  <c r="F73" i="53"/>
  <c r="X263" i="52"/>
  <c r="V263" i="52"/>
  <c r="U263" i="52"/>
  <c r="S263" i="52"/>
  <c r="R263" i="52"/>
  <c r="L263" i="52"/>
  <c r="J263" i="52"/>
  <c r="I263" i="52"/>
  <c r="G263" i="52"/>
  <c r="F263" i="52"/>
  <c r="V262" i="52"/>
  <c r="U262" i="52"/>
  <c r="S262" i="52"/>
  <c r="R262" i="52"/>
  <c r="J262" i="52"/>
  <c r="I262" i="52"/>
  <c r="G262" i="52"/>
  <c r="F262" i="52"/>
  <c r="V261" i="52"/>
  <c r="U261" i="52"/>
  <c r="S261" i="52"/>
  <c r="R261" i="52"/>
  <c r="J261" i="52"/>
  <c r="I261" i="52"/>
  <c r="G261" i="52"/>
  <c r="F261" i="52"/>
  <c r="X257" i="52"/>
  <c r="V257" i="52"/>
  <c r="U257" i="52"/>
  <c r="S257" i="52"/>
  <c r="R257" i="52"/>
  <c r="M257" i="52"/>
  <c r="L257" i="52"/>
  <c r="K257" i="52"/>
  <c r="J257" i="52"/>
  <c r="I257" i="52"/>
  <c r="H257" i="52"/>
  <c r="G257" i="52"/>
  <c r="F257" i="52"/>
  <c r="V256" i="52"/>
  <c r="U256" i="52"/>
  <c r="S256" i="52"/>
  <c r="R256" i="52"/>
  <c r="K256" i="52"/>
  <c r="J256" i="52"/>
  <c r="I256" i="52"/>
  <c r="H256" i="52"/>
  <c r="G256" i="52"/>
  <c r="F256" i="52"/>
  <c r="V255" i="52"/>
  <c r="U255" i="52"/>
  <c r="S255" i="52"/>
  <c r="R255" i="52"/>
  <c r="K255" i="52"/>
  <c r="J255" i="52"/>
  <c r="I255" i="52"/>
  <c r="H255" i="52"/>
  <c r="G255" i="52"/>
  <c r="F255" i="52"/>
  <c r="X250" i="52"/>
  <c r="V250" i="52"/>
  <c r="U250" i="52"/>
  <c r="S250" i="52"/>
  <c r="R250" i="52"/>
  <c r="L250" i="52"/>
  <c r="J250" i="52"/>
  <c r="I250" i="52"/>
  <c r="G250" i="52"/>
  <c r="F250" i="52"/>
  <c r="V249" i="52"/>
  <c r="U249" i="52"/>
  <c r="S249" i="52"/>
  <c r="R249" i="52"/>
  <c r="J249" i="52"/>
  <c r="I249" i="52"/>
  <c r="G249" i="52"/>
  <c r="F249" i="52"/>
  <c r="V248" i="52"/>
  <c r="U248" i="52"/>
  <c r="S248" i="52"/>
  <c r="R248" i="52"/>
  <c r="J248" i="52"/>
  <c r="I248" i="52"/>
  <c r="G248" i="52"/>
  <c r="F248" i="52"/>
  <c r="X244" i="52"/>
  <c r="V244" i="52"/>
  <c r="U244" i="52"/>
  <c r="S244" i="52"/>
  <c r="R244" i="52"/>
  <c r="M244" i="52"/>
  <c r="L244" i="52"/>
  <c r="K244" i="52"/>
  <c r="J244" i="52"/>
  <c r="I244" i="52"/>
  <c r="H244" i="52"/>
  <c r="G244" i="52"/>
  <c r="F244" i="52"/>
  <c r="V243" i="52"/>
  <c r="U243" i="52"/>
  <c r="S243" i="52"/>
  <c r="R243" i="52"/>
  <c r="K243" i="52"/>
  <c r="J243" i="52"/>
  <c r="I243" i="52"/>
  <c r="H243" i="52"/>
  <c r="G243" i="52"/>
  <c r="F243" i="52"/>
  <c r="V242" i="52"/>
  <c r="U242" i="52"/>
  <c r="S242" i="52"/>
  <c r="R242" i="52"/>
  <c r="K242" i="52"/>
  <c r="J242" i="52"/>
  <c r="I242" i="52"/>
  <c r="H242" i="52"/>
  <c r="G242" i="52"/>
  <c r="F242" i="52"/>
  <c r="X237" i="52"/>
  <c r="V237" i="52"/>
  <c r="U237" i="52"/>
  <c r="S237" i="52"/>
  <c r="R237" i="52"/>
  <c r="L237" i="52"/>
  <c r="J237" i="52"/>
  <c r="I237" i="52"/>
  <c r="G237" i="52"/>
  <c r="F237" i="52"/>
  <c r="V236" i="52"/>
  <c r="U236" i="52"/>
  <c r="S236" i="52"/>
  <c r="R236" i="52"/>
  <c r="J236" i="52"/>
  <c r="I236" i="52"/>
  <c r="G236" i="52"/>
  <c r="F236" i="52"/>
  <c r="V235" i="52"/>
  <c r="U235" i="52"/>
  <c r="S235" i="52"/>
  <c r="R235" i="52"/>
  <c r="J235" i="52"/>
  <c r="I235" i="52"/>
  <c r="G235" i="52"/>
  <c r="F235" i="52"/>
  <c r="X231" i="52"/>
  <c r="V231" i="52"/>
  <c r="U231" i="52"/>
  <c r="S231" i="52"/>
  <c r="R231" i="52"/>
  <c r="M231" i="52"/>
  <c r="L231" i="52"/>
  <c r="K231" i="52"/>
  <c r="J231" i="52"/>
  <c r="I231" i="52"/>
  <c r="H231" i="52"/>
  <c r="G231" i="52"/>
  <c r="F231" i="52"/>
  <c r="V230" i="52"/>
  <c r="U230" i="52"/>
  <c r="S230" i="52"/>
  <c r="R230" i="52"/>
  <c r="K230" i="52"/>
  <c r="J230" i="52"/>
  <c r="I230" i="52"/>
  <c r="H230" i="52"/>
  <c r="G230" i="52"/>
  <c r="F230" i="52"/>
  <c r="V229" i="52"/>
  <c r="U229" i="52"/>
  <c r="S229" i="52"/>
  <c r="R229" i="52"/>
  <c r="K229" i="52"/>
  <c r="J229" i="52"/>
  <c r="I229" i="52"/>
  <c r="H229" i="52"/>
  <c r="G229" i="52"/>
  <c r="F229" i="52"/>
  <c r="X224" i="52"/>
  <c r="V224" i="52"/>
  <c r="U224" i="52"/>
  <c r="S224" i="52"/>
  <c r="R224" i="52"/>
  <c r="L224" i="52"/>
  <c r="J224" i="52"/>
  <c r="I224" i="52"/>
  <c r="G224" i="52"/>
  <c r="F224" i="52"/>
  <c r="V223" i="52"/>
  <c r="U223" i="52"/>
  <c r="S223" i="52"/>
  <c r="R223" i="52"/>
  <c r="J223" i="52"/>
  <c r="I223" i="52"/>
  <c r="G223" i="52"/>
  <c r="F223" i="52"/>
  <c r="V222" i="52"/>
  <c r="U222" i="52"/>
  <c r="S222" i="52"/>
  <c r="R222" i="52"/>
  <c r="J222" i="52"/>
  <c r="I222" i="52"/>
  <c r="G222" i="52"/>
  <c r="F222" i="52"/>
  <c r="X218" i="52"/>
  <c r="V218" i="52"/>
  <c r="U218" i="52"/>
  <c r="S218" i="52"/>
  <c r="R218" i="52"/>
  <c r="M218" i="52"/>
  <c r="L218" i="52"/>
  <c r="K218" i="52"/>
  <c r="J218" i="52"/>
  <c r="I218" i="52"/>
  <c r="H218" i="52"/>
  <c r="G218" i="52"/>
  <c r="F218" i="52"/>
  <c r="V217" i="52"/>
  <c r="U217" i="52"/>
  <c r="S217" i="52"/>
  <c r="R217" i="52"/>
  <c r="K217" i="52"/>
  <c r="J217" i="52"/>
  <c r="I217" i="52"/>
  <c r="H217" i="52"/>
  <c r="G217" i="52"/>
  <c r="F217" i="52"/>
  <c r="V216" i="52"/>
  <c r="U216" i="52"/>
  <c r="S216" i="52"/>
  <c r="R216" i="52"/>
  <c r="K216" i="52"/>
  <c r="J216" i="52"/>
  <c r="I216" i="52"/>
  <c r="H216" i="52"/>
  <c r="G216" i="52"/>
  <c r="F216" i="52"/>
  <c r="X211" i="52"/>
  <c r="V211" i="52"/>
  <c r="U211" i="52"/>
  <c r="S211" i="52"/>
  <c r="R211" i="52"/>
  <c r="L211" i="52"/>
  <c r="J211" i="52"/>
  <c r="I211" i="52"/>
  <c r="G211" i="52"/>
  <c r="F211" i="52"/>
  <c r="V210" i="52"/>
  <c r="U210" i="52"/>
  <c r="S210" i="52"/>
  <c r="R210" i="52"/>
  <c r="J210" i="52"/>
  <c r="I210" i="52"/>
  <c r="G210" i="52"/>
  <c r="F210" i="52"/>
  <c r="V209" i="52"/>
  <c r="U209" i="52"/>
  <c r="S209" i="52"/>
  <c r="R209" i="52"/>
  <c r="J209" i="52"/>
  <c r="I209" i="52"/>
  <c r="G209" i="52"/>
  <c r="F209" i="52"/>
  <c r="X205" i="52"/>
  <c r="V205" i="52"/>
  <c r="U205" i="52"/>
  <c r="S205" i="52"/>
  <c r="R205" i="52"/>
  <c r="M205" i="52"/>
  <c r="L205" i="52"/>
  <c r="K205" i="52"/>
  <c r="J205" i="52"/>
  <c r="I205" i="52"/>
  <c r="H205" i="52"/>
  <c r="G205" i="52"/>
  <c r="F205" i="52"/>
  <c r="V204" i="52"/>
  <c r="U204" i="52"/>
  <c r="S204" i="52"/>
  <c r="R204" i="52"/>
  <c r="K204" i="52"/>
  <c r="J204" i="52"/>
  <c r="I204" i="52"/>
  <c r="H204" i="52"/>
  <c r="G204" i="52"/>
  <c r="F204" i="52"/>
  <c r="V203" i="52"/>
  <c r="U203" i="52"/>
  <c r="S203" i="52"/>
  <c r="R203" i="52"/>
  <c r="K203" i="52"/>
  <c r="J203" i="52"/>
  <c r="I203" i="52"/>
  <c r="H203" i="52"/>
  <c r="G203" i="52"/>
  <c r="F203" i="52"/>
  <c r="X198" i="52"/>
  <c r="V198" i="52"/>
  <c r="U198" i="52"/>
  <c r="S198" i="52"/>
  <c r="R198" i="52"/>
  <c r="L198" i="52"/>
  <c r="J198" i="52"/>
  <c r="I198" i="52"/>
  <c r="G198" i="52"/>
  <c r="F198" i="52"/>
  <c r="V197" i="52"/>
  <c r="U197" i="52"/>
  <c r="S197" i="52"/>
  <c r="R197" i="52"/>
  <c r="J197" i="52"/>
  <c r="I197" i="52"/>
  <c r="G197" i="52"/>
  <c r="F197" i="52"/>
  <c r="V196" i="52"/>
  <c r="U196" i="52"/>
  <c r="S196" i="52"/>
  <c r="R196" i="52"/>
  <c r="J196" i="52"/>
  <c r="I196" i="52"/>
  <c r="G196" i="52"/>
  <c r="F196" i="52"/>
  <c r="X192" i="52"/>
  <c r="V192" i="52"/>
  <c r="U192" i="52"/>
  <c r="S192" i="52"/>
  <c r="R192" i="52"/>
  <c r="M192" i="52"/>
  <c r="L192" i="52"/>
  <c r="K192" i="52"/>
  <c r="J192" i="52"/>
  <c r="I192" i="52"/>
  <c r="H192" i="52"/>
  <c r="G192" i="52"/>
  <c r="F192" i="52"/>
  <c r="V191" i="52"/>
  <c r="U191" i="52"/>
  <c r="S191" i="52"/>
  <c r="R191" i="52"/>
  <c r="K191" i="52"/>
  <c r="J191" i="52"/>
  <c r="I191" i="52"/>
  <c r="H191" i="52"/>
  <c r="G191" i="52"/>
  <c r="F191" i="52"/>
  <c r="V190" i="52"/>
  <c r="U190" i="52"/>
  <c r="S190" i="52"/>
  <c r="R190" i="52"/>
  <c r="K190" i="52"/>
  <c r="J190" i="52"/>
  <c r="I190" i="52"/>
  <c r="H190" i="52"/>
  <c r="G190" i="52"/>
  <c r="F190" i="52"/>
  <c r="X185" i="52"/>
  <c r="V185" i="52"/>
  <c r="U185" i="52"/>
  <c r="S185" i="52"/>
  <c r="R185" i="52"/>
  <c r="L185" i="52"/>
  <c r="J185" i="52"/>
  <c r="I185" i="52"/>
  <c r="G185" i="52"/>
  <c r="F185" i="52"/>
  <c r="V184" i="52"/>
  <c r="U184" i="52"/>
  <c r="S184" i="52"/>
  <c r="R184" i="52"/>
  <c r="J184" i="52"/>
  <c r="I184" i="52"/>
  <c r="G184" i="52"/>
  <c r="F184" i="52"/>
  <c r="V183" i="52"/>
  <c r="U183" i="52"/>
  <c r="S183" i="52"/>
  <c r="R183" i="52"/>
  <c r="J183" i="52"/>
  <c r="I183" i="52"/>
  <c r="G183" i="52"/>
  <c r="F183" i="52"/>
  <c r="X179" i="52"/>
  <c r="V179" i="52"/>
  <c r="U179" i="52"/>
  <c r="S179" i="52"/>
  <c r="R179" i="52"/>
  <c r="M179" i="52"/>
  <c r="L179" i="52"/>
  <c r="K179" i="52"/>
  <c r="J179" i="52"/>
  <c r="I179" i="52"/>
  <c r="H179" i="52"/>
  <c r="G179" i="52"/>
  <c r="F179" i="52"/>
  <c r="V178" i="52"/>
  <c r="U178" i="52"/>
  <c r="S178" i="52"/>
  <c r="R178" i="52"/>
  <c r="K178" i="52"/>
  <c r="J178" i="52"/>
  <c r="I178" i="52"/>
  <c r="H178" i="52"/>
  <c r="G178" i="52"/>
  <c r="F178" i="52"/>
  <c r="V177" i="52"/>
  <c r="U177" i="52"/>
  <c r="S177" i="52"/>
  <c r="R177" i="52"/>
  <c r="K177" i="52"/>
  <c r="J177" i="52"/>
  <c r="I177" i="52"/>
  <c r="H177" i="52"/>
  <c r="G177" i="52"/>
  <c r="F177" i="52"/>
  <c r="X172" i="52"/>
  <c r="V172" i="52"/>
  <c r="U172" i="52"/>
  <c r="S172" i="52"/>
  <c r="R172" i="52"/>
  <c r="L172" i="52"/>
  <c r="J172" i="52"/>
  <c r="I172" i="52"/>
  <c r="G172" i="52"/>
  <c r="F172" i="52"/>
  <c r="V171" i="52"/>
  <c r="U171" i="52"/>
  <c r="S171" i="52"/>
  <c r="R171" i="52"/>
  <c r="J171" i="52"/>
  <c r="I171" i="52"/>
  <c r="G171" i="52"/>
  <c r="F171" i="52"/>
  <c r="V170" i="52"/>
  <c r="U170" i="52"/>
  <c r="S170" i="52"/>
  <c r="R170" i="52"/>
  <c r="J170" i="52"/>
  <c r="I170" i="52"/>
  <c r="G170" i="52"/>
  <c r="F170" i="52"/>
  <c r="X166" i="52"/>
  <c r="V166" i="52"/>
  <c r="U166" i="52"/>
  <c r="S166" i="52"/>
  <c r="R166" i="52"/>
  <c r="M166" i="52"/>
  <c r="L166" i="52"/>
  <c r="K166" i="52"/>
  <c r="J166" i="52"/>
  <c r="I166" i="52"/>
  <c r="H166" i="52"/>
  <c r="G166" i="52"/>
  <c r="F166" i="52"/>
  <c r="V165" i="52"/>
  <c r="U165" i="52"/>
  <c r="S165" i="52"/>
  <c r="R165" i="52"/>
  <c r="K165" i="52"/>
  <c r="J165" i="52"/>
  <c r="I165" i="52"/>
  <c r="H165" i="52"/>
  <c r="G165" i="52"/>
  <c r="F165" i="52"/>
  <c r="V164" i="52"/>
  <c r="U164" i="52"/>
  <c r="S164" i="52"/>
  <c r="R164" i="52"/>
  <c r="K164" i="52"/>
  <c r="J164" i="52"/>
  <c r="I164" i="52"/>
  <c r="H164" i="52"/>
  <c r="G164" i="52"/>
  <c r="F164" i="52"/>
  <c r="X159" i="52"/>
  <c r="V159" i="52"/>
  <c r="U159" i="52"/>
  <c r="S159" i="52"/>
  <c r="R159" i="52"/>
  <c r="L159" i="52"/>
  <c r="J159" i="52"/>
  <c r="I159" i="52"/>
  <c r="G159" i="52"/>
  <c r="F159" i="52"/>
  <c r="V158" i="52"/>
  <c r="U158" i="52"/>
  <c r="S158" i="52"/>
  <c r="R158" i="52"/>
  <c r="J158" i="52"/>
  <c r="I158" i="52"/>
  <c r="G158" i="52"/>
  <c r="F158" i="52"/>
  <c r="V157" i="52"/>
  <c r="U157" i="52"/>
  <c r="S157" i="52"/>
  <c r="R157" i="52"/>
  <c r="J157" i="52"/>
  <c r="I157" i="52"/>
  <c r="G157" i="52"/>
  <c r="F157" i="52"/>
  <c r="X153" i="52"/>
  <c r="V153" i="52"/>
  <c r="U153" i="52"/>
  <c r="S153" i="52"/>
  <c r="R153" i="52"/>
  <c r="M153" i="52"/>
  <c r="L153" i="52"/>
  <c r="K153" i="52"/>
  <c r="J153" i="52"/>
  <c r="I153" i="52"/>
  <c r="H153" i="52"/>
  <c r="G153" i="52"/>
  <c r="F153" i="52"/>
  <c r="V152" i="52"/>
  <c r="U152" i="52"/>
  <c r="S152" i="52"/>
  <c r="R152" i="52"/>
  <c r="K152" i="52"/>
  <c r="J152" i="52"/>
  <c r="I152" i="52"/>
  <c r="H152" i="52"/>
  <c r="G152" i="52"/>
  <c r="F152" i="52"/>
  <c r="V151" i="52"/>
  <c r="U151" i="52"/>
  <c r="S151" i="52"/>
  <c r="R151" i="52"/>
  <c r="K151" i="52"/>
  <c r="J151" i="52"/>
  <c r="I151" i="52"/>
  <c r="H151" i="52"/>
  <c r="G151" i="52"/>
  <c r="F151" i="52"/>
  <c r="X146" i="52"/>
  <c r="V146" i="52"/>
  <c r="U146" i="52"/>
  <c r="S146" i="52"/>
  <c r="R146" i="52"/>
  <c r="L146" i="52"/>
  <c r="J146" i="52"/>
  <c r="I146" i="52"/>
  <c r="G146" i="52"/>
  <c r="F146" i="52"/>
  <c r="V145" i="52"/>
  <c r="U145" i="52"/>
  <c r="S145" i="52"/>
  <c r="R145" i="52"/>
  <c r="J145" i="52"/>
  <c r="I145" i="52"/>
  <c r="G145" i="52"/>
  <c r="F145" i="52"/>
  <c r="V144" i="52"/>
  <c r="U144" i="52"/>
  <c r="S144" i="52"/>
  <c r="R144" i="52"/>
  <c r="J144" i="52"/>
  <c r="I144" i="52"/>
  <c r="G144" i="52"/>
  <c r="F144" i="52"/>
  <c r="X140" i="52"/>
  <c r="V140" i="52"/>
  <c r="U140" i="52"/>
  <c r="S140" i="52"/>
  <c r="R140" i="52"/>
  <c r="M140" i="52"/>
  <c r="L140" i="52"/>
  <c r="K140" i="52"/>
  <c r="J140" i="52"/>
  <c r="I140" i="52"/>
  <c r="H140" i="52"/>
  <c r="G140" i="52"/>
  <c r="F140" i="52"/>
  <c r="V139" i="52"/>
  <c r="U139" i="52"/>
  <c r="S139" i="52"/>
  <c r="R139" i="52"/>
  <c r="K139" i="52"/>
  <c r="J139" i="52"/>
  <c r="I139" i="52"/>
  <c r="H139" i="52"/>
  <c r="G139" i="52"/>
  <c r="F139" i="52"/>
  <c r="V138" i="52"/>
  <c r="U138" i="52"/>
  <c r="S138" i="52"/>
  <c r="R138" i="52"/>
  <c r="K138" i="52"/>
  <c r="J138" i="52"/>
  <c r="I138" i="52"/>
  <c r="H138" i="52"/>
  <c r="G138" i="52"/>
  <c r="F138" i="52"/>
  <c r="X133" i="52"/>
  <c r="V133" i="52"/>
  <c r="U133" i="52"/>
  <c r="S133" i="52"/>
  <c r="R133" i="52"/>
  <c r="L133" i="52"/>
  <c r="J133" i="52"/>
  <c r="I133" i="52"/>
  <c r="G133" i="52"/>
  <c r="F133" i="52"/>
  <c r="V132" i="52"/>
  <c r="U132" i="52"/>
  <c r="S132" i="52"/>
  <c r="R132" i="52"/>
  <c r="J132" i="52"/>
  <c r="I132" i="52"/>
  <c r="G132" i="52"/>
  <c r="F132" i="52"/>
  <c r="V131" i="52"/>
  <c r="U131" i="52"/>
  <c r="S131" i="52"/>
  <c r="R131" i="52"/>
  <c r="J131" i="52"/>
  <c r="I131" i="52"/>
  <c r="G131" i="52"/>
  <c r="F131" i="52"/>
  <c r="X127" i="52"/>
  <c r="V127" i="52"/>
  <c r="U127" i="52"/>
  <c r="S127" i="52"/>
  <c r="R127" i="52"/>
  <c r="M127" i="52"/>
  <c r="L127" i="52"/>
  <c r="K127" i="52"/>
  <c r="J127" i="52"/>
  <c r="I127" i="52"/>
  <c r="H127" i="52"/>
  <c r="G127" i="52"/>
  <c r="F127" i="52"/>
  <c r="V126" i="52"/>
  <c r="U126" i="52"/>
  <c r="S126" i="52"/>
  <c r="R126" i="52"/>
  <c r="K126" i="52"/>
  <c r="J126" i="52"/>
  <c r="I126" i="52"/>
  <c r="H126" i="52"/>
  <c r="G126" i="52"/>
  <c r="F126" i="52"/>
  <c r="V125" i="52"/>
  <c r="U125" i="52"/>
  <c r="S125" i="52"/>
  <c r="R125" i="52"/>
  <c r="K125" i="52"/>
  <c r="J125" i="52"/>
  <c r="I125" i="52"/>
  <c r="H125" i="52"/>
  <c r="G125" i="52"/>
  <c r="F125" i="52"/>
  <c r="X120" i="52"/>
  <c r="V120" i="52"/>
  <c r="U120" i="52"/>
  <c r="S120" i="52"/>
  <c r="R120" i="52"/>
  <c r="L120" i="52"/>
  <c r="J120" i="52"/>
  <c r="I120" i="52"/>
  <c r="G120" i="52"/>
  <c r="F120" i="52"/>
  <c r="V119" i="52"/>
  <c r="U119" i="52"/>
  <c r="S119" i="52"/>
  <c r="R119" i="52"/>
  <c r="J119" i="52"/>
  <c r="I119" i="52"/>
  <c r="G119" i="52"/>
  <c r="F119" i="52"/>
  <c r="V118" i="52"/>
  <c r="U118" i="52"/>
  <c r="S118" i="52"/>
  <c r="R118" i="52"/>
  <c r="J118" i="52"/>
  <c r="I118" i="52"/>
  <c r="G118" i="52"/>
  <c r="F118" i="52"/>
  <c r="X114" i="52"/>
  <c r="V114" i="52"/>
  <c r="U114" i="52"/>
  <c r="S114" i="52"/>
  <c r="R114" i="52"/>
  <c r="M114" i="52"/>
  <c r="L114" i="52"/>
  <c r="K114" i="52"/>
  <c r="J114" i="52"/>
  <c r="I114" i="52"/>
  <c r="H114" i="52"/>
  <c r="G114" i="52"/>
  <c r="F114" i="52"/>
  <c r="V113" i="52"/>
  <c r="U113" i="52"/>
  <c r="S113" i="52"/>
  <c r="R113" i="52"/>
  <c r="K113" i="52"/>
  <c r="J113" i="52"/>
  <c r="I113" i="52"/>
  <c r="H113" i="52"/>
  <c r="G113" i="52"/>
  <c r="F113" i="52"/>
  <c r="V112" i="52"/>
  <c r="U112" i="52"/>
  <c r="S112" i="52"/>
  <c r="R112" i="52"/>
  <c r="K112" i="52"/>
  <c r="J112" i="52"/>
  <c r="I112" i="52"/>
  <c r="H112" i="52"/>
  <c r="G112" i="52"/>
  <c r="F112" i="52"/>
  <c r="X107" i="52"/>
  <c r="V107" i="52"/>
  <c r="U107" i="52"/>
  <c r="S107" i="52"/>
  <c r="R107" i="52"/>
  <c r="L107" i="52"/>
  <c r="J107" i="52"/>
  <c r="I107" i="52"/>
  <c r="G107" i="52"/>
  <c r="F107" i="52"/>
  <c r="V106" i="52"/>
  <c r="U106" i="52"/>
  <c r="S106" i="52"/>
  <c r="R106" i="52"/>
  <c r="J106" i="52"/>
  <c r="I106" i="52"/>
  <c r="G106" i="52"/>
  <c r="F106" i="52"/>
  <c r="V105" i="52"/>
  <c r="U105" i="52"/>
  <c r="S105" i="52"/>
  <c r="R105" i="52"/>
  <c r="J105" i="52"/>
  <c r="I105" i="52"/>
  <c r="G105" i="52"/>
  <c r="F105" i="52"/>
  <c r="X101" i="52"/>
  <c r="V101" i="52"/>
  <c r="U101" i="52"/>
  <c r="S101" i="52"/>
  <c r="R101" i="52"/>
  <c r="M101" i="52"/>
  <c r="L101" i="52"/>
  <c r="K101" i="52"/>
  <c r="J101" i="52"/>
  <c r="I101" i="52"/>
  <c r="H101" i="52"/>
  <c r="G101" i="52"/>
  <c r="F101" i="52"/>
  <c r="V100" i="52"/>
  <c r="U100" i="52"/>
  <c r="S100" i="52"/>
  <c r="R100" i="52"/>
  <c r="K100" i="52"/>
  <c r="J100" i="52"/>
  <c r="I100" i="52"/>
  <c r="H100" i="52"/>
  <c r="G100" i="52"/>
  <c r="F100" i="52"/>
  <c r="V99" i="52"/>
  <c r="U99" i="52"/>
  <c r="S99" i="52"/>
  <c r="R99" i="52"/>
  <c r="K99" i="52"/>
  <c r="J99" i="52"/>
  <c r="I99" i="52"/>
  <c r="H99" i="52"/>
  <c r="G99" i="52"/>
  <c r="F99" i="52"/>
  <c r="X94" i="52"/>
  <c r="V94" i="52"/>
  <c r="U94" i="52"/>
  <c r="S94" i="52"/>
  <c r="R94" i="52"/>
  <c r="L94" i="52"/>
  <c r="J94" i="52"/>
  <c r="I94" i="52"/>
  <c r="G94" i="52"/>
  <c r="F94" i="52"/>
  <c r="V93" i="52"/>
  <c r="U93" i="52"/>
  <c r="S93" i="52"/>
  <c r="R93" i="52"/>
  <c r="J93" i="52"/>
  <c r="I93" i="52"/>
  <c r="G93" i="52"/>
  <c r="F93" i="52"/>
  <c r="V92" i="52"/>
  <c r="U92" i="52"/>
  <c r="S92" i="52"/>
  <c r="R92" i="52"/>
  <c r="J92" i="52"/>
  <c r="I92" i="52"/>
  <c r="G92" i="52"/>
  <c r="F92" i="52"/>
  <c r="X88" i="52"/>
  <c r="V88" i="52"/>
  <c r="U88" i="52"/>
  <c r="S88" i="52"/>
  <c r="R88" i="52"/>
  <c r="M88" i="52"/>
  <c r="L88" i="52"/>
  <c r="K88" i="52"/>
  <c r="J88" i="52"/>
  <c r="I88" i="52"/>
  <c r="H88" i="52"/>
  <c r="G88" i="52"/>
  <c r="F88" i="52"/>
  <c r="V87" i="52"/>
  <c r="U87" i="52"/>
  <c r="S87" i="52"/>
  <c r="R87" i="52"/>
  <c r="K87" i="52"/>
  <c r="J87" i="52"/>
  <c r="I87" i="52"/>
  <c r="H87" i="52"/>
  <c r="G87" i="52"/>
  <c r="F87" i="52"/>
  <c r="V86" i="52"/>
  <c r="U86" i="52"/>
  <c r="S86" i="52"/>
  <c r="R86" i="52"/>
  <c r="K86" i="52"/>
  <c r="J86" i="52"/>
  <c r="I86" i="52"/>
  <c r="H86" i="52"/>
  <c r="G86" i="52"/>
  <c r="F86" i="52"/>
  <c r="X81" i="52"/>
  <c r="V81" i="52"/>
  <c r="U81" i="52"/>
  <c r="S81" i="52"/>
  <c r="R81" i="52"/>
  <c r="L81" i="52"/>
  <c r="J81" i="52"/>
  <c r="I81" i="52"/>
  <c r="G81" i="52"/>
  <c r="F81" i="52"/>
  <c r="V80" i="52"/>
  <c r="U80" i="52"/>
  <c r="S80" i="52"/>
  <c r="R80" i="52"/>
  <c r="J80" i="52"/>
  <c r="I80" i="52"/>
  <c r="G80" i="52"/>
  <c r="F80" i="52"/>
  <c r="V79" i="52"/>
  <c r="U79" i="52"/>
  <c r="S79" i="52"/>
  <c r="R79" i="52"/>
  <c r="J79" i="52"/>
  <c r="I79" i="52"/>
  <c r="G79" i="52"/>
  <c r="F79" i="52"/>
  <c r="X75" i="52"/>
  <c r="V75" i="52"/>
  <c r="U75" i="52"/>
  <c r="S75" i="52"/>
  <c r="R75" i="52"/>
  <c r="M75" i="52"/>
  <c r="L75" i="52"/>
  <c r="K75" i="52"/>
  <c r="J75" i="52"/>
  <c r="I75" i="52"/>
  <c r="H75" i="52"/>
  <c r="G75" i="52"/>
  <c r="F75" i="52"/>
  <c r="V74" i="52"/>
  <c r="U74" i="52"/>
  <c r="S74" i="52"/>
  <c r="R74" i="52"/>
  <c r="K74" i="52"/>
  <c r="J74" i="52"/>
  <c r="I74" i="52"/>
  <c r="H74" i="52"/>
  <c r="G74" i="52"/>
  <c r="F74" i="52"/>
  <c r="V73" i="52"/>
  <c r="U73" i="52"/>
  <c r="S73" i="52"/>
  <c r="R73" i="52"/>
  <c r="K73" i="52"/>
  <c r="J73" i="52"/>
  <c r="I73" i="52"/>
  <c r="H73" i="52"/>
  <c r="G73" i="52"/>
  <c r="F73" i="52"/>
  <c r="X263" i="51"/>
  <c r="V263" i="51"/>
  <c r="U263" i="51"/>
  <c r="S263" i="51"/>
  <c r="R263" i="51"/>
  <c r="L263" i="51"/>
  <c r="J263" i="51"/>
  <c r="I263" i="51"/>
  <c r="G263" i="51"/>
  <c r="F263" i="51"/>
  <c r="V262" i="51"/>
  <c r="U262" i="51"/>
  <c r="S262" i="51"/>
  <c r="R262" i="51"/>
  <c r="J262" i="51"/>
  <c r="I262" i="51"/>
  <c r="G262" i="51"/>
  <c r="F262" i="51"/>
  <c r="V261" i="51"/>
  <c r="U261" i="51"/>
  <c r="S261" i="51"/>
  <c r="R261" i="51"/>
  <c r="J261" i="51"/>
  <c r="I261" i="51"/>
  <c r="G261" i="51"/>
  <c r="F261" i="51"/>
  <c r="X257" i="51"/>
  <c r="V257" i="51"/>
  <c r="U257" i="51"/>
  <c r="S257" i="51"/>
  <c r="R257" i="51"/>
  <c r="M257" i="51"/>
  <c r="L257" i="51"/>
  <c r="K257" i="51"/>
  <c r="J257" i="51"/>
  <c r="I257" i="51"/>
  <c r="H257" i="51"/>
  <c r="G257" i="51"/>
  <c r="F257" i="51"/>
  <c r="V256" i="51"/>
  <c r="U256" i="51"/>
  <c r="S256" i="51"/>
  <c r="R256" i="51"/>
  <c r="K256" i="51"/>
  <c r="J256" i="51"/>
  <c r="I256" i="51"/>
  <c r="H256" i="51"/>
  <c r="G256" i="51"/>
  <c r="F256" i="51"/>
  <c r="V255" i="51"/>
  <c r="U255" i="51"/>
  <c r="S255" i="51"/>
  <c r="R255" i="51"/>
  <c r="K255" i="51"/>
  <c r="J255" i="51"/>
  <c r="I255" i="51"/>
  <c r="H255" i="51"/>
  <c r="G255" i="51"/>
  <c r="F255" i="51"/>
  <c r="X250" i="51"/>
  <c r="V250" i="51"/>
  <c r="U250" i="51"/>
  <c r="S250" i="51"/>
  <c r="R250" i="51"/>
  <c r="L250" i="51"/>
  <c r="J250" i="51"/>
  <c r="I250" i="51"/>
  <c r="G250" i="51"/>
  <c r="F250" i="51"/>
  <c r="V249" i="51"/>
  <c r="U249" i="51"/>
  <c r="S249" i="51"/>
  <c r="R249" i="51"/>
  <c r="J249" i="51"/>
  <c r="I249" i="51"/>
  <c r="G249" i="51"/>
  <c r="F249" i="51"/>
  <c r="V248" i="51"/>
  <c r="U248" i="51"/>
  <c r="S248" i="51"/>
  <c r="R248" i="51"/>
  <c r="J248" i="51"/>
  <c r="I248" i="51"/>
  <c r="G248" i="51"/>
  <c r="F248" i="51"/>
  <c r="X244" i="51"/>
  <c r="V244" i="51"/>
  <c r="U244" i="51"/>
  <c r="S244" i="51"/>
  <c r="R244" i="51"/>
  <c r="M244" i="51"/>
  <c r="L244" i="51"/>
  <c r="K244" i="51"/>
  <c r="J244" i="51"/>
  <c r="I244" i="51"/>
  <c r="H244" i="51"/>
  <c r="G244" i="51"/>
  <c r="F244" i="51"/>
  <c r="V243" i="51"/>
  <c r="U243" i="51"/>
  <c r="S243" i="51"/>
  <c r="R243" i="51"/>
  <c r="K243" i="51"/>
  <c r="J243" i="51"/>
  <c r="I243" i="51"/>
  <c r="H243" i="51"/>
  <c r="G243" i="51"/>
  <c r="F243" i="51"/>
  <c r="V242" i="51"/>
  <c r="U242" i="51"/>
  <c r="S242" i="51"/>
  <c r="R242" i="51"/>
  <c r="K242" i="51"/>
  <c r="J242" i="51"/>
  <c r="I242" i="51"/>
  <c r="H242" i="51"/>
  <c r="G242" i="51"/>
  <c r="F242" i="51"/>
  <c r="X237" i="51"/>
  <c r="V237" i="51"/>
  <c r="U237" i="51"/>
  <c r="S237" i="51"/>
  <c r="R237" i="51"/>
  <c r="L237" i="51"/>
  <c r="J237" i="51"/>
  <c r="I237" i="51"/>
  <c r="G237" i="51"/>
  <c r="F237" i="51"/>
  <c r="V236" i="51"/>
  <c r="U236" i="51"/>
  <c r="S236" i="51"/>
  <c r="R236" i="51"/>
  <c r="J236" i="51"/>
  <c r="I236" i="51"/>
  <c r="G236" i="51"/>
  <c r="F236" i="51"/>
  <c r="V235" i="51"/>
  <c r="U235" i="51"/>
  <c r="S235" i="51"/>
  <c r="R235" i="51"/>
  <c r="J235" i="51"/>
  <c r="I235" i="51"/>
  <c r="G235" i="51"/>
  <c r="F235" i="51"/>
  <c r="X231" i="51"/>
  <c r="V231" i="51"/>
  <c r="U231" i="51"/>
  <c r="S231" i="51"/>
  <c r="R231" i="51"/>
  <c r="M231" i="51"/>
  <c r="L231" i="51"/>
  <c r="K231" i="51"/>
  <c r="J231" i="51"/>
  <c r="I231" i="51"/>
  <c r="H231" i="51"/>
  <c r="G231" i="51"/>
  <c r="F231" i="51"/>
  <c r="V230" i="51"/>
  <c r="U230" i="51"/>
  <c r="S230" i="51"/>
  <c r="R230" i="51"/>
  <c r="K230" i="51"/>
  <c r="J230" i="51"/>
  <c r="I230" i="51"/>
  <c r="H230" i="51"/>
  <c r="G230" i="51"/>
  <c r="F230" i="51"/>
  <c r="V229" i="51"/>
  <c r="U229" i="51"/>
  <c r="S229" i="51"/>
  <c r="R229" i="51"/>
  <c r="K229" i="51"/>
  <c r="J229" i="51"/>
  <c r="I229" i="51"/>
  <c r="H229" i="51"/>
  <c r="G229" i="51"/>
  <c r="F229" i="51"/>
  <c r="X224" i="51"/>
  <c r="V224" i="51"/>
  <c r="U224" i="51"/>
  <c r="S224" i="51"/>
  <c r="R224" i="51"/>
  <c r="L224" i="51"/>
  <c r="J224" i="51"/>
  <c r="I224" i="51"/>
  <c r="G224" i="51"/>
  <c r="F224" i="51"/>
  <c r="V223" i="51"/>
  <c r="U223" i="51"/>
  <c r="S223" i="51"/>
  <c r="R223" i="51"/>
  <c r="J223" i="51"/>
  <c r="I223" i="51"/>
  <c r="G223" i="51"/>
  <c r="F223" i="51"/>
  <c r="V222" i="51"/>
  <c r="U222" i="51"/>
  <c r="S222" i="51"/>
  <c r="R222" i="51"/>
  <c r="J222" i="51"/>
  <c r="I222" i="51"/>
  <c r="G222" i="51"/>
  <c r="F222" i="51"/>
  <c r="X218" i="51"/>
  <c r="V218" i="51"/>
  <c r="U218" i="51"/>
  <c r="S218" i="51"/>
  <c r="R218" i="51"/>
  <c r="M218" i="51"/>
  <c r="L218" i="51"/>
  <c r="K218" i="51"/>
  <c r="J218" i="51"/>
  <c r="I218" i="51"/>
  <c r="H218" i="51"/>
  <c r="G218" i="51"/>
  <c r="F218" i="51"/>
  <c r="V217" i="51"/>
  <c r="U217" i="51"/>
  <c r="S217" i="51"/>
  <c r="R217" i="51"/>
  <c r="K217" i="51"/>
  <c r="J217" i="51"/>
  <c r="I217" i="51"/>
  <c r="H217" i="51"/>
  <c r="G217" i="51"/>
  <c r="F217" i="51"/>
  <c r="V216" i="51"/>
  <c r="U216" i="51"/>
  <c r="S216" i="51"/>
  <c r="R216" i="51"/>
  <c r="K216" i="51"/>
  <c r="J216" i="51"/>
  <c r="I216" i="51"/>
  <c r="H216" i="51"/>
  <c r="G216" i="51"/>
  <c r="F216" i="51"/>
  <c r="X211" i="51"/>
  <c r="V211" i="51"/>
  <c r="U211" i="51"/>
  <c r="S211" i="51"/>
  <c r="R211" i="51"/>
  <c r="L211" i="51"/>
  <c r="J211" i="51"/>
  <c r="I211" i="51"/>
  <c r="G211" i="51"/>
  <c r="F211" i="51"/>
  <c r="V210" i="51"/>
  <c r="U210" i="51"/>
  <c r="S210" i="51"/>
  <c r="R210" i="51"/>
  <c r="J210" i="51"/>
  <c r="I210" i="51"/>
  <c r="G210" i="51"/>
  <c r="F210" i="51"/>
  <c r="V209" i="51"/>
  <c r="U209" i="51"/>
  <c r="S209" i="51"/>
  <c r="R209" i="51"/>
  <c r="J209" i="51"/>
  <c r="I209" i="51"/>
  <c r="G209" i="51"/>
  <c r="F209" i="51"/>
  <c r="X205" i="51"/>
  <c r="V205" i="51"/>
  <c r="U205" i="51"/>
  <c r="S205" i="51"/>
  <c r="R205" i="51"/>
  <c r="M205" i="51"/>
  <c r="L205" i="51"/>
  <c r="K205" i="51"/>
  <c r="J205" i="51"/>
  <c r="I205" i="51"/>
  <c r="H205" i="51"/>
  <c r="G205" i="51"/>
  <c r="F205" i="51"/>
  <c r="V204" i="51"/>
  <c r="U204" i="51"/>
  <c r="S204" i="51"/>
  <c r="R204" i="51"/>
  <c r="K204" i="51"/>
  <c r="J204" i="51"/>
  <c r="I204" i="51"/>
  <c r="H204" i="51"/>
  <c r="G204" i="51"/>
  <c r="F204" i="51"/>
  <c r="V203" i="51"/>
  <c r="U203" i="51"/>
  <c r="S203" i="51"/>
  <c r="R203" i="51"/>
  <c r="K203" i="51"/>
  <c r="J203" i="51"/>
  <c r="I203" i="51"/>
  <c r="H203" i="51"/>
  <c r="G203" i="51"/>
  <c r="F203" i="51"/>
  <c r="X198" i="51"/>
  <c r="V198" i="51"/>
  <c r="U198" i="51"/>
  <c r="S198" i="51"/>
  <c r="R198" i="51"/>
  <c r="L198" i="51"/>
  <c r="J198" i="51"/>
  <c r="I198" i="51"/>
  <c r="G198" i="51"/>
  <c r="F198" i="51"/>
  <c r="V197" i="51"/>
  <c r="U197" i="51"/>
  <c r="S197" i="51"/>
  <c r="R197" i="51"/>
  <c r="J197" i="51"/>
  <c r="I197" i="51"/>
  <c r="G197" i="51"/>
  <c r="F197" i="51"/>
  <c r="V196" i="51"/>
  <c r="U196" i="51"/>
  <c r="S196" i="51"/>
  <c r="R196" i="51"/>
  <c r="J196" i="51"/>
  <c r="I196" i="51"/>
  <c r="G196" i="51"/>
  <c r="F196" i="51"/>
  <c r="X192" i="51"/>
  <c r="V192" i="51"/>
  <c r="U192" i="51"/>
  <c r="S192" i="51"/>
  <c r="R192" i="51"/>
  <c r="M192" i="51"/>
  <c r="L192" i="51"/>
  <c r="K192" i="51"/>
  <c r="J192" i="51"/>
  <c r="I192" i="51"/>
  <c r="H192" i="51"/>
  <c r="G192" i="51"/>
  <c r="F192" i="51"/>
  <c r="V191" i="51"/>
  <c r="U191" i="51"/>
  <c r="S191" i="51"/>
  <c r="R191" i="51"/>
  <c r="K191" i="51"/>
  <c r="J191" i="51"/>
  <c r="I191" i="51"/>
  <c r="H191" i="51"/>
  <c r="G191" i="51"/>
  <c r="F191" i="51"/>
  <c r="V190" i="51"/>
  <c r="U190" i="51"/>
  <c r="S190" i="51"/>
  <c r="R190" i="51"/>
  <c r="K190" i="51"/>
  <c r="J190" i="51"/>
  <c r="I190" i="51"/>
  <c r="H190" i="51"/>
  <c r="G190" i="51"/>
  <c r="F190" i="51"/>
  <c r="X185" i="51"/>
  <c r="V185" i="51"/>
  <c r="U185" i="51"/>
  <c r="S185" i="51"/>
  <c r="R185" i="51"/>
  <c r="L185" i="51"/>
  <c r="J185" i="51"/>
  <c r="I185" i="51"/>
  <c r="G185" i="51"/>
  <c r="F185" i="51"/>
  <c r="V184" i="51"/>
  <c r="U184" i="51"/>
  <c r="S184" i="51"/>
  <c r="R184" i="51"/>
  <c r="J184" i="51"/>
  <c r="I184" i="51"/>
  <c r="G184" i="51"/>
  <c r="F184" i="51"/>
  <c r="V183" i="51"/>
  <c r="U183" i="51"/>
  <c r="S183" i="51"/>
  <c r="R183" i="51"/>
  <c r="J183" i="51"/>
  <c r="I183" i="51"/>
  <c r="G183" i="51"/>
  <c r="F183" i="51"/>
  <c r="X179" i="51"/>
  <c r="V179" i="51"/>
  <c r="U179" i="51"/>
  <c r="S179" i="51"/>
  <c r="R179" i="51"/>
  <c r="M179" i="51"/>
  <c r="L179" i="51"/>
  <c r="K179" i="51"/>
  <c r="J179" i="51"/>
  <c r="I179" i="51"/>
  <c r="H179" i="51"/>
  <c r="G179" i="51"/>
  <c r="F179" i="51"/>
  <c r="V178" i="51"/>
  <c r="U178" i="51"/>
  <c r="S178" i="51"/>
  <c r="R178" i="51"/>
  <c r="K178" i="51"/>
  <c r="J178" i="51"/>
  <c r="I178" i="51"/>
  <c r="H178" i="51"/>
  <c r="G178" i="51"/>
  <c r="F178" i="51"/>
  <c r="V177" i="51"/>
  <c r="U177" i="51"/>
  <c r="S177" i="51"/>
  <c r="R177" i="51"/>
  <c r="K177" i="51"/>
  <c r="J177" i="51"/>
  <c r="I177" i="51"/>
  <c r="H177" i="51"/>
  <c r="G177" i="51"/>
  <c r="F177" i="51"/>
  <c r="X172" i="51"/>
  <c r="V172" i="51"/>
  <c r="U172" i="51"/>
  <c r="S172" i="51"/>
  <c r="R172" i="51"/>
  <c r="L172" i="51"/>
  <c r="J172" i="51"/>
  <c r="I172" i="51"/>
  <c r="G172" i="51"/>
  <c r="F172" i="51"/>
  <c r="V171" i="51"/>
  <c r="U171" i="51"/>
  <c r="S171" i="51"/>
  <c r="R171" i="51"/>
  <c r="J171" i="51"/>
  <c r="I171" i="51"/>
  <c r="G171" i="51"/>
  <c r="F171" i="51"/>
  <c r="V170" i="51"/>
  <c r="U170" i="51"/>
  <c r="S170" i="51"/>
  <c r="R170" i="51"/>
  <c r="J170" i="51"/>
  <c r="I170" i="51"/>
  <c r="G170" i="51"/>
  <c r="F170" i="51"/>
  <c r="X166" i="51"/>
  <c r="V166" i="51"/>
  <c r="U166" i="51"/>
  <c r="S166" i="51"/>
  <c r="R166" i="51"/>
  <c r="M166" i="51"/>
  <c r="L166" i="51"/>
  <c r="K166" i="51"/>
  <c r="J166" i="51"/>
  <c r="I166" i="51"/>
  <c r="H166" i="51"/>
  <c r="G166" i="51"/>
  <c r="F166" i="51"/>
  <c r="V165" i="51"/>
  <c r="U165" i="51"/>
  <c r="S165" i="51"/>
  <c r="R165" i="51"/>
  <c r="K165" i="51"/>
  <c r="J165" i="51"/>
  <c r="I165" i="51"/>
  <c r="H165" i="51"/>
  <c r="G165" i="51"/>
  <c r="F165" i="51"/>
  <c r="V164" i="51"/>
  <c r="U164" i="51"/>
  <c r="S164" i="51"/>
  <c r="R164" i="51"/>
  <c r="K164" i="51"/>
  <c r="J164" i="51"/>
  <c r="I164" i="51"/>
  <c r="H164" i="51"/>
  <c r="G164" i="51"/>
  <c r="F164" i="51"/>
  <c r="X159" i="51"/>
  <c r="V159" i="51"/>
  <c r="U159" i="51"/>
  <c r="S159" i="51"/>
  <c r="R159" i="51"/>
  <c r="L159" i="51"/>
  <c r="J159" i="51"/>
  <c r="I159" i="51"/>
  <c r="G159" i="51"/>
  <c r="F159" i="51"/>
  <c r="V158" i="51"/>
  <c r="U158" i="51"/>
  <c r="S158" i="51"/>
  <c r="R158" i="51"/>
  <c r="J158" i="51"/>
  <c r="I158" i="51"/>
  <c r="G158" i="51"/>
  <c r="F158" i="51"/>
  <c r="V157" i="51"/>
  <c r="U157" i="51"/>
  <c r="S157" i="51"/>
  <c r="R157" i="51"/>
  <c r="J157" i="51"/>
  <c r="I157" i="51"/>
  <c r="G157" i="51"/>
  <c r="F157" i="51"/>
  <c r="X153" i="51"/>
  <c r="V153" i="51"/>
  <c r="U153" i="51"/>
  <c r="S153" i="51"/>
  <c r="R153" i="51"/>
  <c r="M153" i="51"/>
  <c r="L153" i="51"/>
  <c r="K153" i="51"/>
  <c r="J153" i="51"/>
  <c r="I153" i="51"/>
  <c r="H153" i="51"/>
  <c r="G153" i="51"/>
  <c r="F153" i="51"/>
  <c r="V152" i="51"/>
  <c r="U152" i="51"/>
  <c r="S152" i="51"/>
  <c r="R152" i="51"/>
  <c r="K152" i="51"/>
  <c r="J152" i="51"/>
  <c r="I152" i="51"/>
  <c r="H152" i="51"/>
  <c r="G152" i="51"/>
  <c r="F152" i="51"/>
  <c r="V151" i="51"/>
  <c r="U151" i="51"/>
  <c r="S151" i="51"/>
  <c r="R151" i="51"/>
  <c r="K151" i="51"/>
  <c r="J151" i="51"/>
  <c r="I151" i="51"/>
  <c r="H151" i="51"/>
  <c r="G151" i="51"/>
  <c r="F151" i="51"/>
  <c r="X146" i="51"/>
  <c r="V146" i="51"/>
  <c r="U146" i="51"/>
  <c r="S146" i="51"/>
  <c r="R146" i="51"/>
  <c r="L146" i="51"/>
  <c r="J146" i="51"/>
  <c r="I146" i="51"/>
  <c r="G146" i="51"/>
  <c r="F146" i="51"/>
  <c r="V145" i="51"/>
  <c r="U145" i="51"/>
  <c r="S145" i="51"/>
  <c r="R145" i="51"/>
  <c r="J145" i="51"/>
  <c r="I145" i="51"/>
  <c r="G145" i="51"/>
  <c r="F145" i="51"/>
  <c r="V144" i="51"/>
  <c r="U144" i="51"/>
  <c r="S144" i="51"/>
  <c r="R144" i="51"/>
  <c r="J144" i="51"/>
  <c r="I144" i="51"/>
  <c r="G144" i="51"/>
  <c r="F144" i="51"/>
  <c r="X140" i="51"/>
  <c r="V140" i="51"/>
  <c r="U140" i="51"/>
  <c r="S140" i="51"/>
  <c r="R140" i="51"/>
  <c r="M140" i="51"/>
  <c r="L140" i="51"/>
  <c r="K140" i="51"/>
  <c r="J140" i="51"/>
  <c r="I140" i="51"/>
  <c r="H140" i="51"/>
  <c r="G140" i="51"/>
  <c r="F140" i="51"/>
  <c r="V139" i="51"/>
  <c r="U139" i="51"/>
  <c r="S139" i="51"/>
  <c r="R139" i="51"/>
  <c r="K139" i="51"/>
  <c r="J139" i="51"/>
  <c r="I139" i="51"/>
  <c r="H139" i="51"/>
  <c r="G139" i="51"/>
  <c r="F139" i="51"/>
  <c r="V138" i="51"/>
  <c r="U138" i="51"/>
  <c r="S138" i="51"/>
  <c r="R138" i="51"/>
  <c r="K138" i="51"/>
  <c r="J138" i="51"/>
  <c r="I138" i="51"/>
  <c r="H138" i="51"/>
  <c r="G138" i="51"/>
  <c r="F138" i="51"/>
  <c r="X133" i="51"/>
  <c r="V133" i="51"/>
  <c r="U133" i="51"/>
  <c r="S133" i="51"/>
  <c r="R133" i="51"/>
  <c r="L133" i="51"/>
  <c r="J133" i="51"/>
  <c r="I133" i="51"/>
  <c r="G133" i="51"/>
  <c r="F133" i="51"/>
  <c r="V132" i="51"/>
  <c r="U132" i="51"/>
  <c r="S132" i="51"/>
  <c r="R132" i="51"/>
  <c r="J132" i="51"/>
  <c r="I132" i="51"/>
  <c r="G132" i="51"/>
  <c r="F132" i="51"/>
  <c r="V131" i="51"/>
  <c r="U131" i="51"/>
  <c r="S131" i="51"/>
  <c r="R131" i="51"/>
  <c r="J131" i="51"/>
  <c r="I131" i="51"/>
  <c r="G131" i="51"/>
  <c r="F131" i="51"/>
  <c r="X127" i="51"/>
  <c r="V127" i="51"/>
  <c r="U127" i="51"/>
  <c r="S127" i="51"/>
  <c r="R127" i="51"/>
  <c r="M127" i="51"/>
  <c r="L127" i="51"/>
  <c r="K127" i="51"/>
  <c r="J127" i="51"/>
  <c r="I127" i="51"/>
  <c r="H127" i="51"/>
  <c r="G127" i="51"/>
  <c r="F127" i="51"/>
  <c r="V126" i="51"/>
  <c r="U126" i="51"/>
  <c r="S126" i="51"/>
  <c r="R126" i="51"/>
  <c r="K126" i="51"/>
  <c r="J126" i="51"/>
  <c r="I126" i="51"/>
  <c r="H126" i="51"/>
  <c r="G126" i="51"/>
  <c r="F126" i="51"/>
  <c r="V125" i="51"/>
  <c r="U125" i="51"/>
  <c r="S125" i="51"/>
  <c r="R125" i="51"/>
  <c r="K125" i="51"/>
  <c r="J125" i="51"/>
  <c r="I125" i="51"/>
  <c r="H125" i="51"/>
  <c r="G125" i="51"/>
  <c r="F125" i="51"/>
  <c r="X120" i="51"/>
  <c r="V120" i="51"/>
  <c r="U120" i="51"/>
  <c r="S120" i="51"/>
  <c r="R120" i="51"/>
  <c r="L120" i="51"/>
  <c r="J120" i="51"/>
  <c r="I120" i="51"/>
  <c r="G120" i="51"/>
  <c r="F120" i="51"/>
  <c r="V119" i="51"/>
  <c r="U119" i="51"/>
  <c r="S119" i="51"/>
  <c r="R119" i="51"/>
  <c r="J119" i="51"/>
  <c r="I119" i="51"/>
  <c r="G119" i="51"/>
  <c r="F119" i="51"/>
  <c r="V118" i="51"/>
  <c r="U118" i="51"/>
  <c r="S118" i="51"/>
  <c r="R118" i="51"/>
  <c r="J118" i="51"/>
  <c r="I118" i="51"/>
  <c r="G118" i="51"/>
  <c r="F118" i="51"/>
  <c r="X114" i="51"/>
  <c r="V114" i="51"/>
  <c r="U114" i="51"/>
  <c r="S114" i="51"/>
  <c r="R114" i="51"/>
  <c r="M114" i="51"/>
  <c r="L114" i="51"/>
  <c r="K114" i="51"/>
  <c r="J114" i="51"/>
  <c r="I114" i="51"/>
  <c r="H114" i="51"/>
  <c r="G114" i="51"/>
  <c r="F114" i="51"/>
  <c r="V113" i="51"/>
  <c r="U113" i="51"/>
  <c r="S113" i="51"/>
  <c r="R113" i="51"/>
  <c r="K113" i="51"/>
  <c r="J113" i="51"/>
  <c r="I113" i="51"/>
  <c r="H113" i="51"/>
  <c r="G113" i="51"/>
  <c r="F113" i="51"/>
  <c r="V112" i="51"/>
  <c r="U112" i="51"/>
  <c r="S112" i="51"/>
  <c r="R112" i="51"/>
  <c r="K112" i="51"/>
  <c r="J112" i="51"/>
  <c r="I112" i="51"/>
  <c r="H112" i="51"/>
  <c r="G112" i="51"/>
  <c r="F112" i="51"/>
  <c r="X107" i="51"/>
  <c r="V107" i="51"/>
  <c r="U107" i="51"/>
  <c r="S107" i="51"/>
  <c r="R107" i="51"/>
  <c r="L107" i="51"/>
  <c r="J107" i="51"/>
  <c r="I107" i="51"/>
  <c r="G107" i="51"/>
  <c r="F107" i="51"/>
  <c r="V106" i="51"/>
  <c r="U106" i="51"/>
  <c r="S106" i="51"/>
  <c r="R106" i="51"/>
  <c r="J106" i="51"/>
  <c r="I106" i="51"/>
  <c r="G106" i="51"/>
  <c r="F106" i="51"/>
  <c r="V105" i="51"/>
  <c r="U105" i="51"/>
  <c r="S105" i="51"/>
  <c r="R105" i="51"/>
  <c r="J105" i="51"/>
  <c r="I105" i="51"/>
  <c r="G105" i="51"/>
  <c r="F105" i="51"/>
  <c r="X101" i="51"/>
  <c r="V101" i="51"/>
  <c r="U101" i="51"/>
  <c r="S101" i="51"/>
  <c r="R101" i="51"/>
  <c r="M101" i="51"/>
  <c r="L101" i="51"/>
  <c r="K101" i="51"/>
  <c r="J101" i="51"/>
  <c r="I101" i="51"/>
  <c r="H101" i="51"/>
  <c r="G101" i="51"/>
  <c r="F101" i="51"/>
  <c r="V100" i="51"/>
  <c r="U100" i="51"/>
  <c r="S100" i="51"/>
  <c r="R100" i="51"/>
  <c r="K100" i="51"/>
  <c r="J100" i="51"/>
  <c r="I100" i="51"/>
  <c r="H100" i="51"/>
  <c r="G100" i="51"/>
  <c r="F100" i="51"/>
  <c r="V99" i="51"/>
  <c r="U99" i="51"/>
  <c r="S99" i="51"/>
  <c r="R99" i="51"/>
  <c r="K99" i="51"/>
  <c r="J99" i="51"/>
  <c r="I99" i="51"/>
  <c r="H99" i="51"/>
  <c r="G99" i="51"/>
  <c r="F99" i="51"/>
  <c r="X94" i="51"/>
  <c r="V94" i="51"/>
  <c r="U94" i="51"/>
  <c r="S94" i="51"/>
  <c r="R94" i="51"/>
  <c r="L94" i="51"/>
  <c r="J94" i="51"/>
  <c r="I94" i="51"/>
  <c r="G94" i="51"/>
  <c r="F94" i="51"/>
  <c r="V93" i="51"/>
  <c r="U93" i="51"/>
  <c r="S93" i="51"/>
  <c r="R93" i="51"/>
  <c r="J93" i="51"/>
  <c r="I93" i="51"/>
  <c r="G93" i="51"/>
  <c r="F93" i="51"/>
  <c r="V92" i="51"/>
  <c r="U92" i="51"/>
  <c r="S92" i="51"/>
  <c r="R92" i="51"/>
  <c r="J92" i="51"/>
  <c r="I92" i="51"/>
  <c r="G92" i="51"/>
  <c r="F92" i="51"/>
  <c r="X88" i="51"/>
  <c r="V88" i="51"/>
  <c r="U88" i="51"/>
  <c r="S88" i="51"/>
  <c r="R88" i="51"/>
  <c r="M88" i="51"/>
  <c r="L88" i="51"/>
  <c r="K88" i="51"/>
  <c r="J88" i="51"/>
  <c r="I88" i="51"/>
  <c r="H88" i="51"/>
  <c r="G88" i="51"/>
  <c r="F88" i="51"/>
  <c r="V87" i="51"/>
  <c r="U87" i="51"/>
  <c r="S87" i="51"/>
  <c r="R87" i="51"/>
  <c r="K87" i="51"/>
  <c r="J87" i="51"/>
  <c r="I87" i="51"/>
  <c r="H87" i="51"/>
  <c r="G87" i="51"/>
  <c r="F87" i="51"/>
  <c r="V86" i="51"/>
  <c r="U86" i="51"/>
  <c r="S86" i="51"/>
  <c r="R86" i="51"/>
  <c r="K86" i="51"/>
  <c r="J86" i="51"/>
  <c r="I86" i="51"/>
  <c r="H86" i="51"/>
  <c r="G86" i="51"/>
  <c r="F86" i="51"/>
  <c r="X81" i="51"/>
  <c r="V81" i="51"/>
  <c r="U81" i="51"/>
  <c r="S81" i="51"/>
  <c r="R81" i="51"/>
  <c r="L81" i="51"/>
  <c r="J81" i="51"/>
  <c r="I81" i="51"/>
  <c r="G81" i="51"/>
  <c r="F81" i="51"/>
  <c r="V80" i="51"/>
  <c r="U80" i="51"/>
  <c r="S80" i="51"/>
  <c r="R80" i="51"/>
  <c r="J80" i="51"/>
  <c r="I80" i="51"/>
  <c r="G80" i="51"/>
  <c r="F80" i="51"/>
  <c r="V79" i="51"/>
  <c r="U79" i="51"/>
  <c r="S79" i="51"/>
  <c r="R79" i="51"/>
  <c r="J79" i="51"/>
  <c r="I79" i="51"/>
  <c r="G79" i="51"/>
  <c r="F79" i="51"/>
  <c r="X75" i="51"/>
  <c r="V75" i="51"/>
  <c r="U75" i="51"/>
  <c r="S75" i="51"/>
  <c r="R75" i="51"/>
  <c r="M75" i="51"/>
  <c r="L75" i="51"/>
  <c r="K75" i="51"/>
  <c r="J75" i="51"/>
  <c r="I75" i="51"/>
  <c r="H75" i="51"/>
  <c r="G75" i="51"/>
  <c r="F75" i="51"/>
  <c r="V74" i="51"/>
  <c r="U74" i="51"/>
  <c r="S74" i="51"/>
  <c r="R74" i="51"/>
  <c r="K74" i="51"/>
  <c r="J74" i="51"/>
  <c r="I74" i="51"/>
  <c r="H74" i="51"/>
  <c r="G74" i="51"/>
  <c r="F74" i="51"/>
  <c r="V73" i="51"/>
  <c r="U73" i="51"/>
  <c r="S73" i="51"/>
  <c r="R73" i="51"/>
  <c r="K73" i="51"/>
  <c r="J73" i="51"/>
  <c r="I73" i="51"/>
  <c r="H73" i="51"/>
  <c r="G73" i="51"/>
  <c r="F73" i="51"/>
  <c r="X263" i="50"/>
  <c r="V263" i="50"/>
  <c r="U263" i="50"/>
  <c r="S263" i="50"/>
  <c r="R263" i="50"/>
  <c r="L263" i="50"/>
  <c r="J263" i="50"/>
  <c r="I263" i="50"/>
  <c r="G263" i="50"/>
  <c r="F263" i="50"/>
  <c r="V262" i="50"/>
  <c r="U262" i="50"/>
  <c r="S262" i="50"/>
  <c r="R262" i="50"/>
  <c r="J262" i="50"/>
  <c r="I262" i="50"/>
  <c r="G262" i="50"/>
  <c r="F262" i="50"/>
  <c r="V261" i="50"/>
  <c r="U261" i="50"/>
  <c r="S261" i="50"/>
  <c r="R261" i="50"/>
  <c r="J261" i="50"/>
  <c r="I261" i="50"/>
  <c r="G261" i="50"/>
  <c r="F261" i="50"/>
  <c r="X257" i="50"/>
  <c r="V257" i="50"/>
  <c r="U257" i="50"/>
  <c r="S257" i="50"/>
  <c r="R257" i="50"/>
  <c r="M257" i="50"/>
  <c r="L257" i="50"/>
  <c r="K257" i="50"/>
  <c r="J257" i="50"/>
  <c r="I257" i="50"/>
  <c r="H257" i="50"/>
  <c r="G257" i="50"/>
  <c r="F257" i="50"/>
  <c r="V256" i="50"/>
  <c r="U256" i="50"/>
  <c r="S256" i="50"/>
  <c r="R256" i="50"/>
  <c r="K256" i="50"/>
  <c r="J256" i="50"/>
  <c r="I256" i="50"/>
  <c r="H256" i="50"/>
  <c r="G256" i="50"/>
  <c r="F256" i="50"/>
  <c r="V255" i="50"/>
  <c r="U255" i="50"/>
  <c r="S255" i="50"/>
  <c r="R255" i="50"/>
  <c r="K255" i="50"/>
  <c r="J255" i="50"/>
  <c r="I255" i="50"/>
  <c r="H255" i="50"/>
  <c r="G255" i="50"/>
  <c r="F255" i="50"/>
  <c r="X250" i="50"/>
  <c r="V250" i="50"/>
  <c r="U250" i="50"/>
  <c r="S250" i="50"/>
  <c r="R250" i="50"/>
  <c r="L250" i="50"/>
  <c r="J250" i="50"/>
  <c r="I250" i="50"/>
  <c r="G250" i="50"/>
  <c r="F250" i="50"/>
  <c r="V249" i="50"/>
  <c r="U249" i="50"/>
  <c r="S249" i="50"/>
  <c r="R249" i="50"/>
  <c r="J249" i="50"/>
  <c r="I249" i="50"/>
  <c r="G249" i="50"/>
  <c r="F249" i="50"/>
  <c r="V248" i="50"/>
  <c r="U248" i="50"/>
  <c r="S248" i="50"/>
  <c r="R248" i="50"/>
  <c r="J248" i="50"/>
  <c r="I248" i="50"/>
  <c r="G248" i="50"/>
  <c r="F248" i="50"/>
  <c r="X244" i="50"/>
  <c r="V244" i="50"/>
  <c r="U244" i="50"/>
  <c r="S244" i="50"/>
  <c r="R244" i="50"/>
  <c r="M244" i="50"/>
  <c r="L244" i="50"/>
  <c r="K244" i="50"/>
  <c r="J244" i="50"/>
  <c r="I244" i="50"/>
  <c r="H244" i="50"/>
  <c r="G244" i="50"/>
  <c r="F244" i="50"/>
  <c r="V243" i="50"/>
  <c r="U243" i="50"/>
  <c r="S243" i="50"/>
  <c r="R243" i="50"/>
  <c r="K243" i="50"/>
  <c r="J243" i="50"/>
  <c r="I243" i="50"/>
  <c r="H243" i="50"/>
  <c r="G243" i="50"/>
  <c r="F243" i="50"/>
  <c r="V242" i="50"/>
  <c r="U242" i="50"/>
  <c r="S242" i="50"/>
  <c r="R242" i="50"/>
  <c r="K242" i="50"/>
  <c r="J242" i="50"/>
  <c r="I242" i="50"/>
  <c r="H242" i="50"/>
  <c r="G242" i="50"/>
  <c r="F242" i="50"/>
  <c r="X237" i="50"/>
  <c r="V237" i="50"/>
  <c r="U237" i="50"/>
  <c r="S237" i="50"/>
  <c r="R237" i="50"/>
  <c r="L237" i="50"/>
  <c r="J237" i="50"/>
  <c r="I237" i="50"/>
  <c r="G237" i="50"/>
  <c r="F237" i="50"/>
  <c r="V236" i="50"/>
  <c r="U236" i="50"/>
  <c r="S236" i="50"/>
  <c r="R236" i="50"/>
  <c r="J236" i="50"/>
  <c r="I236" i="50"/>
  <c r="G236" i="50"/>
  <c r="F236" i="50"/>
  <c r="V235" i="50"/>
  <c r="U235" i="50"/>
  <c r="S235" i="50"/>
  <c r="R235" i="50"/>
  <c r="J235" i="50"/>
  <c r="I235" i="50"/>
  <c r="G235" i="50"/>
  <c r="F235" i="50"/>
  <c r="X231" i="50"/>
  <c r="V231" i="50"/>
  <c r="U231" i="50"/>
  <c r="S231" i="50"/>
  <c r="R231" i="50"/>
  <c r="M231" i="50"/>
  <c r="L231" i="50"/>
  <c r="K231" i="50"/>
  <c r="J231" i="50"/>
  <c r="I231" i="50"/>
  <c r="H231" i="50"/>
  <c r="G231" i="50"/>
  <c r="F231" i="50"/>
  <c r="V230" i="50"/>
  <c r="U230" i="50"/>
  <c r="S230" i="50"/>
  <c r="R230" i="50"/>
  <c r="K230" i="50"/>
  <c r="J230" i="50"/>
  <c r="I230" i="50"/>
  <c r="H230" i="50"/>
  <c r="G230" i="50"/>
  <c r="F230" i="50"/>
  <c r="V229" i="50"/>
  <c r="U229" i="50"/>
  <c r="S229" i="50"/>
  <c r="R229" i="50"/>
  <c r="K229" i="50"/>
  <c r="J229" i="50"/>
  <c r="I229" i="50"/>
  <c r="H229" i="50"/>
  <c r="G229" i="50"/>
  <c r="F229" i="50"/>
  <c r="X224" i="50"/>
  <c r="V224" i="50"/>
  <c r="U224" i="50"/>
  <c r="S224" i="50"/>
  <c r="R224" i="50"/>
  <c r="L224" i="50"/>
  <c r="J224" i="50"/>
  <c r="I224" i="50"/>
  <c r="G224" i="50"/>
  <c r="F224" i="50"/>
  <c r="V223" i="50"/>
  <c r="U223" i="50"/>
  <c r="S223" i="50"/>
  <c r="R223" i="50"/>
  <c r="J223" i="50"/>
  <c r="I223" i="50"/>
  <c r="G223" i="50"/>
  <c r="F223" i="50"/>
  <c r="V222" i="50"/>
  <c r="U222" i="50"/>
  <c r="S222" i="50"/>
  <c r="R222" i="50"/>
  <c r="J222" i="50"/>
  <c r="I222" i="50"/>
  <c r="G222" i="50"/>
  <c r="F222" i="50"/>
  <c r="X218" i="50"/>
  <c r="V218" i="50"/>
  <c r="U218" i="50"/>
  <c r="S218" i="50"/>
  <c r="R218" i="50"/>
  <c r="M218" i="50"/>
  <c r="L218" i="50"/>
  <c r="K218" i="50"/>
  <c r="J218" i="50"/>
  <c r="I218" i="50"/>
  <c r="H218" i="50"/>
  <c r="G218" i="50"/>
  <c r="F218" i="50"/>
  <c r="V217" i="50"/>
  <c r="U217" i="50"/>
  <c r="S217" i="50"/>
  <c r="R217" i="50"/>
  <c r="K217" i="50"/>
  <c r="J217" i="50"/>
  <c r="I217" i="50"/>
  <c r="H217" i="50"/>
  <c r="G217" i="50"/>
  <c r="F217" i="50"/>
  <c r="V216" i="50"/>
  <c r="U216" i="50"/>
  <c r="S216" i="50"/>
  <c r="R216" i="50"/>
  <c r="K216" i="50"/>
  <c r="J216" i="50"/>
  <c r="I216" i="50"/>
  <c r="H216" i="50"/>
  <c r="G216" i="50"/>
  <c r="F216" i="50"/>
  <c r="X211" i="50"/>
  <c r="V211" i="50"/>
  <c r="U211" i="50"/>
  <c r="S211" i="50"/>
  <c r="R211" i="50"/>
  <c r="L211" i="50"/>
  <c r="J211" i="50"/>
  <c r="I211" i="50"/>
  <c r="G211" i="50"/>
  <c r="F211" i="50"/>
  <c r="V210" i="50"/>
  <c r="U210" i="50"/>
  <c r="S210" i="50"/>
  <c r="R210" i="50"/>
  <c r="J210" i="50"/>
  <c r="I210" i="50"/>
  <c r="G210" i="50"/>
  <c r="F210" i="50"/>
  <c r="V209" i="50"/>
  <c r="U209" i="50"/>
  <c r="S209" i="50"/>
  <c r="R209" i="50"/>
  <c r="J209" i="50"/>
  <c r="I209" i="50"/>
  <c r="G209" i="50"/>
  <c r="F209" i="50"/>
  <c r="X205" i="50"/>
  <c r="V205" i="50"/>
  <c r="U205" i="50"/>
  <c r="S205" i="50"/>
  <c r="R205" i="50"/>
  <c r="M205" i="50"/>
  <c r="L205" i="50"/>
  <c r="K205" i="50"/>
  <c r="J205" i="50"/>
  <c r="I205" i="50"/>
  <c r="H205" i="50"/>
  <c r="G205" i="50"/>
  <c r="F205" i="50"/>
  <c r="V204" i="50"/>
  <c r="U204" i="50"/>
  <c r="S204" i="50"/>
  <c r="R204" i="50"/>
  <c r="K204" i="50"/>
  <c r="J204" i="50"/>
  <c r="I204" i="50"/>
  <c r="H204" i="50"/>
  <c r="G204" i="50"/>
  <c r="F204" i="50"/>
  <c r="V203" i="50"/>
  <c r="U203" i="50"/>
  <c r="S203" i="50"/>
  <c r="R203" i="50"/>
  <c r="K203" i="50"/>
  <c r="J203" i="50"/>
  <c r="I203" i="50"/>
  <c r="H203" i="50"/>
  <c r="G203" i="50"/>
  <c r="F203" i="50"/>
  <c r="X198" i="50"/>
  <c r="V198" i="50"/>
  <c r="U198" i="50"/>
  <c r="S198" i="50"/>
  <c r="R198" i="50"/>
  <c r="L198" i="50"/>
  <c r="J198" i="50"/>
  <c r="I198" i="50"/>
  <c r="G198" i="50"/>
  <c r="F198" i="50"/>
  <c r="V197" i="50"/>
  <c r="U197" i="50"/>
  <c r="S197" i="50"/>
  <c r="R197" i="50"/>
  <c r="J197" i="50"/>
  <c r="I197" i="50"/>
  <c r="G197" i="50"/>
  <c r="F197" i="50"/>
  <c r="V196" i="50"/>
  <c r="U196" i="50"/>
  <c r="S196" i="50"/>
  <c r="R196" i="50"/>
  <c r="J196" i="50"/>
  <c r="I196" i="50"/>
  <c r="G196" i="50"/>
  <c r="F196" i="50"/>
  <c r="X192" i="50"/>
  <c r="V192" i="50"/>
  <c r="U192" i="50"/>
  <c r="S192" i="50"/>
  <c r="R192" i="50"/>
  <c r="M192" i="50"/>
  <c r="L192" i="50"/>
  <c r="K192" i="50"/>
  <c r="J192" i="50"/>
  <c r="I192" i="50"/>
  <c r="H192" i="50"/>
  <c r="G192" i="50"/>
  <c r="F192" i="50"/>
  <c r="V191" i="50"/>
  <c r="U191" i="50"/>
  <c r="S191" i="50"/>
  <c r="R191" i="50"/>
  <c r="K191" i="50"/>
  <c r="J191" i="50"/>
  <c r="I191" i="50"/>
  <c r="H191" i="50"/>
  <c r="G191" i="50"/>
  <c r="F191" i="50"/>
  <c r="V190" i="50"/>
  <c r="U190" i="50"/>
  <c r="S190" i="50"/>
  <c r="R190" i="50"/>
  <c r="K190" i="50"/>
  <c r="J190" i="50"/>
  <c r="I190" i="50"/>
  <c r="H190" i="50"/>
  <c r="G190" i="50"/>
  <c r="F190" i="50"/>
  <c r="X185" i="50"/>
  <c r="V185" i="50"/>
  <c r="U185" i="50"/>
  <c r="S185" i="50"/>
  <c r="R185" i="50"/>
  <c r="L185" i="50"/>
  <c r="J185" i="50"/>
  <c r="I185" i="50"/>
  <c r="G185" i="50"/>
  <c r="F185" i="50"/>
  <c r="V184" i="50"/>
  <c r="U184" i="50"/>
  <c r="S184" i="50"/>
  <c r="R184" i="50"/>
  <c r="J184" i="50"/>
  <c r="I184" i="50"/>
  <c r="G184" i="50"/>
  <c r="F184" i="50"/>
  <c r="V183" i="50"/>
  <c r="U183" i="50"/>
  <c r="S183" i="50"/>
  <c r="R183" i="50"/>
  <c r="J183" i="50"/>
  <c r="I183" i="50"/>
  <c r="G183" i="50"/>
  <c r="F183" i="50"/>
  <c r="X179" i="50"/>
  <c r="V179" i="50"/>
  <c r="U179" i="50"/>
  <c r="S179" i="50"/>
  <c r="R179" i="50"/>
  <c r="M179" i="50"/>
  <c r="L179" i="50"/>
  <c r="K179" i="50"/>
  <c r="J179" i="50"/>
  <c r="I179" i="50"/>
  <c r="H179" i="50"/>
  <c r="G179" i="50"/>
  <c r="F179" i="50"/>
  <c r="V178" i="50"/>
  <c r="U178" i="50"/>
  <c r="S178" i="50"/>
  <c r="R178" i="50"/>
  <c r="K178" i="50"/>
  <c r="J178" i="50"/>
  <c r="I178" i="50"/>
  <c r="H178" i="50"/>
  <c r="G178" i="50"/>
  <c r="F178" i="50"/>
  <c r="V177" i="50"/>
  <c r="U177" i="50"/>
  <c r="S177" i="50"/>
  <c r="R177" i="50"/>
  <c r="K177" i="50"/>
  <c r="J177" i="50"/>
  <c r="I177" i="50"/>
  <c r="H177" i="50"/>
  <c r="G177" i="50"/>
  <c r="F177" i="50"/>
  <c r="X172" i="50"/>
  <c r="V172" i="50"/>
  <c r="U172" i="50"/>
  <c r="S172" i="50"/>
  <c r="R172" i="50"/>
  <c r="L172" i="50"/>
  <c r="J172" i="50"/>
  <c r="I172" i="50"/>
  <c r="G172" i="50"/>
  <c r="F172" i="50"/>
  <c r="V171" i="50"/>
  <c r="U171" i="50"/>
  <c r="S171" i="50"/>
  <c r="R171" i="50"/>
  <c r="J171" i="50"/>
  <c r="I171" i="50"/>
  <c r="G171" i="50"/>
  <c r="F171" i="50"/>
  <c r="V170" i="50"/>
  <c r="U170" i="50"/>
  <c r="S170" i="50"/>
  <c r="R170" i="50"/>
  <c r="J170" i="50"/>
  <c r="I170" i="50"/>
  <c r="G170" i="50"/>
  <c r="F170" i="50"/>
  <c r="X166" i="50"/>
  <c r="V166" i="50"/>
  <c r="U166" i="50"/>
  <c r="S166" i="50"/>
  <c r="R166" i="50"/>
  <c r="M166" i="50"/>
  <c r="L166" i="50"/>
  <c r="K166" i="50"/>
  <c r="J166" i="50"/>
  <c r="I166" i="50"/>
  <c r="H166" i="50"/>
  <c r="G166" i="50"/>
  <c r="F166" i="50"/>
  <c r="V165" i="50"/>
  <c r="U165" i="50"/>
  <c r="S165" i="50"/>
  <c r="R165" i="50"/>
  <c r="K165" i="50"/>
  <c r="J165" i="50"/>
  <c r="I165" i="50"/>
  <c r="H165" i="50"/>
  <c r="G165" i="50"/>
  <c r="F165" i="50"/>
  <c r="V164" i="50"/>
  <c r="U164" i="50"/>
  <c r="S164" i="50"/>
  <c r="R164" i="50"/>
  <c r="K164" i="50"/>
  <c r="J164" i="50"/>
  <c r="I164" i="50"/>
  <c r="H164" i="50"/>
  <c r="G164" i="50"/>
  <c r="F164" i="50"/>
  <c r="X159" i="50"/>
  <c r="V159" i="50"/>
  <c r="U159" i="50"/>
  <c r="S159" i="50"/>
  <c r="R159" i="50"/>
  <c r="L159" i="50"/>
  <c r="J159" i="50"/>
  <c r="I159" i="50"/>
  <c r="G159" i="50"/>
  <c r="F159" i="50"/>
  <c r="V158" i="50"/>
  <c r="U158" i="50"/>
  <c r="S158" i="50"/>
  <c r="R158" i="50"/>
  <c r="J158" i="50"/>
  <c r="I158" i="50"/>
  <c r="G158" i="50"/>
  <c r="F158" i="50"/>
  <c r="V157" i="50"/>
  <c r="U157" i="50"/>
  <c r="S157" i="50"/>
  <c r="R157" i="50"/>
  <c r="J157" i="50"/>
  <c r="I157" i="50"/>
  <c r="G157" i="50"/>
  <c r="F157" i="50"/>
  <c r="X153" i="50"/>
  <c r="V153" i="50"/>
  <c r="U153" i="50"/>
  <c r="S153" i="50"/>
  <c r="R153" i="50"/>
  <c r="M153" i="50"/>
  <c r="L153" i="50"/>
  <c r="K153" i="50"/>
  <c r="J153" i="50"/>
  <c r="I153" i="50"/>
  <c r="H153" i="50"/>
  <c r="G153" i="50"/>
  <c r="F153" i="50"/>
  <c r="V152" i="50"/>
  <c r="U152" i="50"/>
  <c r="S152" i="50"/>
  <c r="R152" i="50"/>
  <c r="K152" i="50"/>
  <c r="J152" i="50"/>
  <c r="I152" i="50"/>
  <c r="H152" i="50"/>
  <c r="G152" i="50"/>
  <c r="F152" i="50"/>
  <c r="V151" i="50"/>
  <c r="U151" i="50"/>
  <c r="S151" i="50"/>
  <c r="R151" i="50"/>
  <c r="K151" i="50"/>
  <c r="J151" i="50"/>
  <c r="I151" i="50"/>
  <c r="H151" i="50"/>
  <c r="G151" i="50"/>
  <c r="F151" i="50"/>
  <c r="X146" i="50"/>
  <c r="V146" i="50"/>
  <c r="U146" i="50"/>
  <c r="S146" i="50"/>
  <c r="R146" i="50"/>
  <c r="L146" i="50"/>
  <c r="J146" i="50"/>
  <c r="I146" i="50"/>
  <c r="G146" i="50"/>
  <c r="F146" i="50"/>
  <c r="V145" i="50"/>
  <c r="U145" i="50"/>
  <c r="S145" i="50"/>
  <c r="R145" i="50"/>
  <c r="J145" i="50"/>
  <c r="I145" i="50"/>
  <c r="G145" i="50"/>
  <c r="F145" i="50"/>
  <c r="V144" i="50"/>
  <c r="U144" i="50"/>
  <c r="S144" i="50"/>
  <c r="R144" i="50"/>
  <c r="J144" i="50"/>
  <c r="I144" i="50"/>
  <c r="G144" i="50"/>
  <c r="F144" i="50"/>
  <c r="X140" i="50"/>
  <c r="V140" i="50"/>
  <c r="U140" i="50"/>
  <c r="S140" i="50"/>
  <c r="R140" i="50"/>
  <c r="M140" i="50"/>
  <c r="L140" i="50"/>
  <c r="K140" i="50"/>
  <c r="J140" i="50"/>
  <c r="I140" i="50"/>
  <c r="H140" i="50"/>
  <c r="G140" i="50"/>
  <c r="F140" i="50"/>
  <c r="V139" i="50"/>
  <c r="U139" i="50"/>
  <c r="S139" i="50"/>
  <c r="R139" i="50"/>
  <c r="K139" i="50"/>
  <c r="J139" i="50"/>
  <c r="I139" i="50"/>
  <c r="H139" i="50"/>
  <c r="G139" i="50"/>
  <c r="F139" i="50"/>
  <c r="V138" i="50"/>
  <c r="U138" i="50"/>
  <c r="S138" i="50"/>
  <c r="R138" i="50"/>
  <c r="K138" i="50"/>
  <c r="J138" i="50"/>
  <c r="I138" i="50"/>
  <c r="H138" i="50"/>
  <c r="G138" i="50"/>
  <c r="F138" i="50"/>
  <c r="X133" i="50"/>
  <c r="V133" i="50"/>
  <c r="U133" i="50"/>
  <c r="S133" i="50"/>
  <c r="R133" i="50"/>
  <c r="L133" i="50"/>
  <c r="J133" i="50"/>
  <c r="I133" i="50"/>
  <c r="G133" i="50"/>
  <c r="F133" i="50"/>
  <c r="V132" i="50"/>
  <c r="U132" i="50"/>
  <c r="S132" i="50"/>
  <c r="R132" i="50"/>
  <c r="J132" i="50"/>
  <c r="I132" i="50"/>
  <c r="G132" i="50"/>
  <c r="F132" i="50"/>
  <c r="V131" i="50"/>
  <c r="U131" i="50"/>
  <c r="S131" i="50"/>
  <c r="R131" i="50"/>
  <c r="J131" i="50"/>
  <c r="I131" i="50"/>
  <c r="G131" i="50"/>
  <c r="F131" i="50"/>
  <c r="X127" i="50"/>
  <c r="V127" i="50"/>
  <c r="U127" i="50"/>
  <c r="S127" i="50"/>
  <c r="R127" i="50"/>
  <c r="M127" i="50"/>
  <c r="L127" i="50"/>
  <c r="K127" i="50"/>
  <c r="J127" i="50"/>
  <c r="I127" i="50"/>
  <c r="H127" i="50"/>
  <c r="G127" i="50"/>
  <c r="F127" i="50"/>
  <c r="V126" i="50"/>
  <c r="U126" i="50"/>
  <c r="S126" i="50"/>
  <c r="R126" i="50"/>
  <c r="K126" i="50"/>
  <c r="J126" i="50"/>
  <c r="I126" i="50"/>
  <c r="H126" i="50"/>
  <c r="G126" i="50"/>
  <c r="F126" i="50"/>
  <c r="V125" i="50"/>
  <c r="U125" i="50"/>
  <c r="S125" i="50"/>
  <c r="R125" i="50"/>
  <c r="K125" i="50"/>
  <c r="J125" i="50"/>
  <c r="I125" i="50"/>
  <c r="H125" i="50"/>
  <c r="G125" i="50"/>
  <c r="F125" i="50"/>
  <c r="X120" i="50"/>
  <c r="V120" i="50"/>
  <c r="U120" i="50"/>
  <c r="S120" i="50"/>
  <c r="R120" i="50"/>
  <c r="L120" i="50"/>
  <c r="J120" i="50"/>
  <c r="I120" i="50"/>
  <c r="G120" i="50"/>
  <c r="F120" i="50"/>
  <c r="V119" i="50"/>
  <c r="U119" i="50"/>
  <c r="S119" i="50"/>
  <c r="R119" i="50"/>
  <c r="J119" i="50"/>
  <c r="I119" i="50"/>
  <c r="G119" i="50"/>
  <c r="F119" i="50"/>
  <c r="V118" i="50"/>
  <c r="U118" i="50"/>
  <c r="S118" i="50"/>
  <c r="R118" i="50"/>
  <c r="J118" i="50"/>
  <c r="I118" i="50"/>
  <c r="G118" i="50"/>
  <c r="F118" i="50"/>
  <c r="X114" i="50"/>
  <c r="V114" i="50"/>
  <c r="U114" i="50"/>
  <c r="S114" i="50"/>
  <c r="R114" i="50"/>
  <c r="M114" i="50"/>
  <c r="L114" i="50"/>
  <c r="K114" i="50"/>
  <c r="J114" i="50"/>
  <c r="I114" i="50"/>
  <c r="H114" i="50"/>
  <c r="G114" i="50"/>
  <c r="F114" i="50"/>
  <c r="V113" i="50"/>
  <c r="U113" i="50"/>
  <c r="S113" i="50"/>
  <c r="R113" i="50"/>
  <c r="K113" i="50"/>
  <c r="J113" i="50"/>
  <c r="I113" i="50"/>
  <c r="H113" i="50"/>
  <c r="G113" i="50"/>
  <c r="F113" i="50"/>
  <c r="V112" i="50"/>
  <c r="U112" i="50"/>
  <c r="S112" i="50"/>
  <c r="R112" i="50"/>
  <c r="K112" i="50"/>
  <c r="J112" i="50"/>
  <c r="I112" i="50"/>
  <c r="H112" i="50"/>
  <c r="G112" i="50"/>
  <c r="F112" i="50"/>
  <c r="X107" i="50"/>
  <c r="V107" i="50"/>
  <c r="U107" i="50"/>
  <c r="S107" i="50"/>
  <c r="R107" i="50"/>
  <c r="L107" i="50"/>
  <c r="J107" i="50"/>
  <c r="I107" i="50"/>
  <c r="G107" i="50"/>
  <c r="F107" i="50"/>
  <c r="V106" i="50"/>
  <c r="U106" i="50"/>
  <c r="S106" i="50"/>
  <c r="R106" i="50"/>
  <c r="J106" i="50"/>
  <c r="I106" i="50"/>
  <c r="G106" i="50"/>
  <c r="F106" i="50"/>
  <c r="V105" i="50"/>
  <c r="U105" i="50"/>
  <c r="S105" i="50"/>
  <c r="R105" i="50"/>
  <c r="J105" i="50"/>
  <c r="I105" i="50"/>
  <c r="G105" i="50"/>
  <c r="F105" i="50"/>
  <c r="X101" i="50"/>
  <c r="V101" i="50"/>
  <c r="U101" i="50"/>
  <c r="S101" i="50"/>
  <c r="R101" i="50"/>
  <c r="M101" i="50"/>
  <c r="L101" i="50"/>
  <c r="K101" i="50"/>
  <c r="J101" i="50"/>
  <c r="I101" i="50"/>
  <c r="H101" i="50"/>
  <c r="G101" i="50"/>
  <c r="F101" i="50"/>
  <c r="V100" i="50"/>
  <c r="U100" i="50"/>
  <c r="S100" i="50"/>
  <c r="R100" i="50"/>
  <c r="K100" i="50"/>
  <c r="J100" i="50"/>
  <c r="I100" i="50"/>
  <c r="H100" i="50"/>
  <c r="G100" i="50"/>
  <c r="F100" i="50"/>
  <c r="V99" i="50"/>
  <c r="U99" i="50"/>
  <c r="S99" i="50"/>
  <c r="R99" i="50"/>
  <c r="K99" i="50"/>
  <c r="J99" i="50"/>
  <c r="I99" i="50"/>
  <c r="H99" i="50"/>
  <c r="G99" i="50"/>
  <c r="F99" i="50"/>
  <c r="X94" i="50"/>
  <c r="V94" i="50"/>
  <c r="U94" i="50"/>
  <c r="S94" i="50"/>
  <c r="R94" i="50"/>
  <c r="L94" i="50"/>
  <c r="J94" i="50"/>
  <c r="I94" i="50"/>
  <c r="G94" i="50"/>
  <c r="F94" i="50"/>
  <c r="V93" i="50"/>
  <c r="U93" i="50"/>
  <c r="S93" i="50"/>
  <c r="R93" i="50"/>
  <c r="J93" i="50"/>
  <c r="I93" i="50"/>
  <c r="G93" i="50"/>
  <c r="F93" i="50"/>
  <c r="V92" i="50"/>
  <c r="U92" i="50"/>
  <c r="S92" i="50"/>
  <c r="R92" i="50"/>
  <c r="J92" i="50"/>
  <c r="I92" i="50"/>
  <c r="G92" i="50"/>
  <c r="F92" i="50"/>
  <c r="X88" i="50"/>
  <c r="V88" i="50"/>
  <c r="U88" i="50"/>
  <c r="S88" i="50"/>
  <c r="R88" i="50"/>
  <c r="M88" i="50"/>
  <c r="L88" i="50"/>
  <c r="K88" i="50"/>
  <c r="J88" i="50"/>
  <c r="I88" i="50"/>
  <c r="H88" i="50"/>
  <c r="G88" i="50"/>
  <c r="F88" i="50"/>
  <c r="V87" i="50"/>
  <c r="U87" i="50"/>
  <c r="S87" i="50"/>
  <c r="R87" i="50"/>
  <c r="K87" i="50"/>
  <c r="J87" i="50"/>
  <c r="I87" i="50"/>
  <c r="H87" i="50"/>
  <c r="G87" i="50"/>
  <c r="F87" i="50"/>
  <c r="V86" i="50"/>
  <c r="U86" i="50"/>
  <c r="S86" i="50"/>
  <c r="R86" i="50"/>
  <c r="K86" i="50"/>
  <c r="J86" i="50"/>
  <c r="I86" i="50"/>
  <c r="H86" i="50"/>
  <c r="G86" i="50"/>
  <c r="F86" i="50"/>
  <c r="X81" i="50"/>
  <c r="V81" i="50"/>
  <c r="U81" i="50"/>
  <c r="S81" i="50"/>
  <c r="R81" i="50"/>
  <c r="L81" i="50"/>
  <c r="J81" i="50"/>
  <c r="I81" i="50"/>
  <c r="G81" i="50"/>
  <c r="F81" i="50"/>
  <c r="V80" i="50"/>
  <c r="U80" i="50"/>
  <c r="S80" i="50"/>
  <c r="R80" i="50"/>
  <c r="J80" i="50"/>
  <c r="I80" i="50"/>
  <c r="G80" i="50"/>
  <c r="F80" i="50"/>
  <c r="V79" i="50"/>
  <c r="U79" i="50"/>
  <c r="S79" i="50"/>
  <c r="R79" i="50"/>
  <c r="J79" i="50"/>
  <c r="I79" i="50"/>
  <c r="G79" i="50"/>
  <c r="F79" i="50"/>
  <c r="X75" i="50"/>
  <c r="V75" i="50"/>
  <c r="U75" i="50"/>
  <c r="S75" i="50"/>
  <c r="R75" i="50"/>
  <c r="M75" i="50"/>
  <c r="L75" i="50"/>
  <c r="K75" i="50"/>
  <c r="J75" i="50"/>
  <c r="I75" i="50"/>
  <c r="H75" i="50"/>
  <c r="G75" i="50"/>
  <c r="F75" i="50"/>
  <c r="V74" i="50"/>
  <c r="U74" i="50"/>
  <c r="S74" i="50"/>
  <c r="R74" i="50"/>
  <c r="K74" i="50"/>
  <c r="J74" i="50"/>
  <c r="I74" i="50"/>
  <c r="H74" i="50"/>
  <c r="G74" i="50"/>
  <c r="F74" i="50"/>
  <c r="V73" i="50"/>
  <c r="U73" i="50"/>
  <c r="S73" i="50"/>
  <c r="R73" i="50"/>
  <c r="K73" i="50"/>
  <c r="J73" i="50"/>
  <c r="I73" i="50"/>
  <c r="H73" i="50"/>
  <c r="G73" i="50"/>
  <c r="F73" i="50"/>
  <c r="X263" i="49"/>
  <c r="V263" i="49"/>
  <c r="U263" i="49"/>
  <c r="S263" i="49"/>
  <c r="R263" i="49"/>
  <c r="L263" i="49"/>
  <c r="J263" i="49"/>
  <c r="I263" i="49"/>
  <c r="G263" i="49"/>
  <c r="F263" i="49"/>
  <c r="V262" i="49"/>
  <c r="U262" i="49"/>
  <c r="S262" i="49"/>
  <c r="R262" i="49"/>
  <c r="J262" i="49"/>
  <c r="I262" i="49"/>
  <c r="G262" i="49"/>
  <c r="F262" i="49"/>
  <c r="V261" i="49"/>
  <c r="U261" i="49"/>
  <c r="S261" i="49"/>
  <c r="R261" i="49"/>
  <c r="J261" i="49"/>
  <c r="I261" i="49"/>
  <c r="G261" i="49"/>
  <c r="F261" i="49"/>
  <c r="X257" i="49"/>
  <c r="V257" i="49"/>
  <c r="U257" i="49"/>
  <c r="S257" i="49"/>
  <c r="R257" i="49"/>
  <c r="M257" i="49"/>
  <c r="L257" i="49"/>
  <c r="K257" i="49"/>
  <c r="J257" i="49"/>
  <c r="I257" i="49"/>
  <c r="H257" i="49"/>
  <c r="G257" i="49"/>
  <c r="F257" i="49"/>
  <c r="V256" i="49"/>
  <c r="U256" i="49"/>
  <c r="S256" i="49"/>
  <c r="R256" i="49"/>
  <c r="K256" i="49"/>
  <c r="J256" i="49"/>
  <c r="I256" i="49"/>
  <c r="H256" i="49"/>
  <c r="G256" i="49"/>
  <c r="F256" i="49"/>
  <c r="V255" i="49"/>
  <c r="U255" i="49"/>
  <c r="S255" i="49"/>
  <c r="R255" i="49"/>
  <c r="K255" i="49"/>
  <c r="J255" i="49"/>
  <c r="I255" i="49"/>
  <c r="H255" i="49"/>
  <c r="G255" i="49"/>
  <c r="F255" i="49"/>
  <c r="X250" i="49"/>
  <c r="V250" i="49"/>
  <c r="U250" i="49"/>
  <c r="S250" i="49"/>
  <c r="R250" i="49"/>
  <c r="L250" i="49"/>
  <c r="J250" i="49"/>
  <c r="I250" i="49"/>
  <c r="G250" i="49"/>
  <c r="F250" i="49"/>
  <c r="V249" i="49"/>
  <c r="U249" i="49"/>
  <c r="S249" i="49"/>
  <c r="R249" i="49"/>
  <c r="J249" i="49"/>
  <c r="I249" i="49"/>
  <c r="G249" i="49"/>
  <c r="F249" i="49"/>
  <c r="V248" i="49"/>
  <c r="U248" i="49"/>
  <c r="S248" i="49"/>
  <c r="R248" i="49"/>
  <c r="J248" i="49"/>
  <c r="I248" i="49"/>
  <c r="G248" i="49"/>
  <c r="F248" i="49"/>
  <c r="X244" i="49"/>
  <c r="V244" i="49"/>
  <c r="U244" i="49"/>
  <c r="S244" i="49"/>
  <c r="R244" i="49"/>
  <c r="M244" i="49"/>
  <c r="L244" i="49"/>
  <c r="K244" i="49"/>
  <c r="J244" i="49"/>
  <c r="I244" i="49"/>
  <c r="H244" i="49"/>
  <c r="G244" i="49"/>
  <c r="F244" i="49"/>
  <c r="V243" i="49"/>
  <c r="U243" i="49"/>
  <c r="S243" i="49"/>
  <c r="R243" i="49"/>
  <c r="K243" i="49"/>
  <c r="J243" i="49"/>
  <c r="I243" i="49"/>
  <c r="H243" i="49"/>
  <c r="G243" i="49"/>
  <c r="F243" i="49"/>
  <c r="V242" i="49"/>
  <c r="U242" i="49"/>
  <c r="S242" i="49"/>
  <c r="R242" i="49"/>
  <c r="K242" i="49"/>
  <c r="J242" i="49"/>
  <c r="I242" i="49"/>
  <c r="H242" i="49"/>
  <c r="G242" i="49"/>
  <c r="F242" i="49"/>
  <c r="X237" i="49"/>
  <c r="V237" i="49"/>
  <c r="U237" i="49"/>
  <c r="S237" i="49"/>
  <c r="R237" i="49"/>
  <c r="L237" i="49"/>
  <c r="J237" i="49"/>
  <c r="I237" i="49"/>
  <c r="G237" i="49"/>
  <c r="F237" i="49"/>
  <c r="V236" i="49"/>
  <c r="U236" i="49"/>
  <c r="S236" i="49"/>
  <c r="R236" i="49"/>
  <c r="J236" i="49"/>
  <c r="I236" i="49"/>
  <c r="G236" i="49"/>
  <c r="F236" i="49"/>
  <c r="V235" i="49"/>
  <c r="U235" i="49"/>
  <c r="S235" i="49"/>
  <c r="R235" i="49"/>
  <c r="J235" i="49"/>
  <c r="I235" i="49"/>
  <c r="G235" i="49"/>
  <c r="F235" i="49"/>
  <c r="X231" i="49"/>
  <c r="V231" i="49"/>
  <c r="U231" i="49"/>
  <c r="S231" i="49"/>
  <c r="R231" i="49"/>
  <c r="M231" i="49"/>
  <c r="L231" i="49"/>
  <c r="K231" i="49"/>
  <c r="J231" i="49"/>
  <c r="I231" i="49"/>
  <c r="H231" i="49"/>
  <c r="G231" i="49"/>
  <c r="F231" i="49"/>
  <c r="V230" i="49"/>
  <c r="U230" i="49"/>
  <c r="S230" i="49"/>
  <c r="R230" i="49"/>
  <c r="K230" i="49"/>
  <c r="J230" i="49"/>
  <c r="I230" i="49"/>
  <c r="H230" i="49"/>
  <c r="G230" i="49"/>
  <c r="F230" i="49"/>
  <c r="V229" i="49"/>
  <c r="U229" i="49"/>
  <c r="S229" i="49"/>
  <c r="R229" i="49"/>
  <c r="K229" i="49"/>
  <c r="J229" i="49"/>
  <c r="I229" i="49"/>
  <c r="H229" i="49"/>
  <c r="G229" i="49"/>
  <c r="F229" i="49"/>
  <c r="X224" i="49"/>
  <c r="V224" i="49"/>
  <c r="U224" i="49"/>
  <c r="S224" i="49"/>
  <c r="R224" i="49"/>
  <c r="L224" i="49"/>
  <c r="J224" i="49"/>
  <c r="I224" i="49"/>
  <c r="G224" i="49"/>
  <c r="F224" i="49"/>
  <c r="V223" i="49"/>
  <c r="U223" i="49"/>
  <c r="S223" i="49"/>
  <c r="R223" i="49"/>
  <c r="J223" i="49"/>
  <c r="I223" i="49"/>
  <c r="G223" i="49"/>
  <c r="F223" i="49"/>
  <c r="V222" i="49"/>
  <c r="U222" i="49"/>
  <c r="S222" i="49"/>
  <c r="R222" i="49"/>
  <c r="J222" i="49"/>
  <c r="I222" i="49"/>
  <c r="G222" i="49"/>
  <c r="F222" i="49"/>
  <c r="X218" i="49"/>
  <c r="V218" i="49"/>
  <c r="U218" i="49"/>
  <c r="S218" i="49"/>
  <c r="R218" i="49"/>
  <c r="M218" i="49"/>
  <c r="L218" i="49"/>
  <c r="K218" i="49"/>
  <c r="J218" i="49"/>
  <c r="I218" i="49"/>
  <c r="H218" i="49"/>
  <c r="G218" i="49"/>
  <c r="F218" i="49"/>
  <c r="V217" i="49"/>
  <c r="U217" i="49"/>
  <c r="S217" i="49"/>
  <c r="R217" i="49"/>
  <c r="K217" i="49"/>
  <c r="J217" i="49"/>
  <c r="I217" i="49"/>
  <c r="H217" i="49"/>
  <c r="G217" i="49"/>
  <c r="F217" i="49"/>
  <c r="V216" i="49"/>
  <c r="U216" i="49"/>
  <c r="S216" i="49"/>
  <c r="R216" i="49"/>
  <c r="K216" i="49"/>
  <c r="J216" i="49"/>
  <c r="I216" i="49"/>
  <c r="H216" i="49"/>
  <c r="G216" i="49"/>
  <c r="F216" i="49"/>
  <c r="X211" i="49"/>
  <c r="V211" i="49"/>
  <c r="U211" i="49"/>
  <c r="S211" i="49"/>
  <c r="R211" i="49"/>
  <c r="L211" i="49"/>
  <c r="J211" i="49"/>
  <c r="I211" i="49"/>
  <c r="G211" i="49"/>
  <c r="F211" i="49"/>
  <c r="V210" i="49"/>
  <c r="U210" i="49"/>
  <c r="S210" i="49"/>
  <c r="R210" i="49"/>
  <c r="J210" i="49"/>
  <c r="I210" i="49"/>
  <c r="G210" i="49"/>
  <c r="F210" i="49"/>
  <c r="V209" i="49"/>
  <c r="U209" i="49"/>
  <c r="S209" i="49"/>
  <c r="R209" i="49"/>
  <c r="J209" i="49"/>
  <c r="I209" i="49"/>
  <c r="G209" i="49"/>
  <c r="F209" i="49"/>
  <c r="X205" i="49"/>
  <c r="V205" i="49"/>
  <c r="U205" i="49"/>
  <c r="S205" i="49"/>
  <c r="R205" i="49"/>
  <c r="M205" i="49"/>
  <c r="L205" i="49"/>
  <c r="K205" i="49"/>
  <c r="J205" i="49"/>
  <c r="I205" i="49"/>
  <c r="H205" i="49"/>
  <c r="G205" i="49"/>
  <c r="F205" i="49"/>
  <c r="V204" i="49"/>
  <c r="U204" i="49"/>
  <c r="S204" i="49"/>
  <c r="R204" i="49"/>
  <c r="K204" i="49"/>
  <c r="J204" i="49"/>
  <c r="I204" i="49"/>
  <c r="H204" i="49"/>
  <c r="G204" i="49"/>
  <c r="F204" i="49"/>
  <c r="V203" i="49"/>
  <c r="U203" i="49"/>
  <c r="S203" i="49"/>
  <c r="R203" i="49"/>
  <c r="K203" i="49"/>
  <c r="J203" i="49"/>
  <c r="I203" i="49"/>
  <c r="H203" i="49"/>
  <c r="G203" i="49"/>
  <c r="F203" i="49"/>
  <c r="X198" i="49"/>
  <c r="V198" i="49"/>
  <c r="U198" i="49"/>
  <c r="S198" i="49"/>
  <c r="R198" i="49"/>
  <c r="L198" i="49"/>
  <c r="J198" i="49"/>
  <c r="I198" i="49"/>
  <c r="G198" i="49"/>
  <c r="F198" i="49"/>
  <c r="V197" i="49"/>
  <c r="U197" i="49"/>
  <c r="S197" i="49"/>
  <c r="R197" i="49"/>
  <c r="J197" i="49"/>
  <c r="I197" i="49"/>
  <c r="G197" i="49"/>
  <c r="F197" i="49"/>
  <c r="V196" i="49"/>
  <c r="U196" i="49"/>
  <c r="S196" i="49"/>
  <c r="R196" i="49"/>
  <c r="J196" i="49"/>
  <c r="I196" i="49"/>
  <c r="G196" i="49"/>
  <c r="F196" i="49"/>
  <c r="X192" i="49"/>
  <c r="V192" i="49"/>
  <c r="U192" i="49"/>
  <c r="S192" i="49"/>
  <c r="R192" i="49"/>
  <c r="M192" i="49"/>
  <c r="L192" i="49"/>
  <c r="K192" i="49"/>
  <c r="J192" i="49"/>
  <c r="I192" i="49"/>
  <c r="H192" i="49"/>
  <c r="G192" i="49"/>
  <c r="F192" i="49"/>
  <c r="V191" i="49"/>
  <c r="U191" i="49"/>
  <c r="S191" i="49"/>
  <c r="R191" i="49"/>
  <c r="K191" i="49"/>
  <c r="J191" i="49"/>
  <c r="I191" i="49"/>
  <c r="H191" i="49"/>
  <c r="G191" i="49"/>
  <c r="F191" i="49"/>
  <c r="V190" i="49"/>
  <c r="U190" i="49"/>
  <c r="S190" i="49"/>
  <c r="R190" i="49"/>
  <c r="K190" i="49"/>
  <c r="J190" i="49"/>
  <c r="I190" i="49"/>
  <c r="H190" i="49"/>
  <c r="G190" i="49"/>
  <c r="F190" i="49"/>
  <c r="X185" i="49"/>
  <c r="V185" i="49"/>
  <c r="U185" i="49"/>
  <c r="S185" i="49"/>
  <c r="R185" i="49"/>
  <c r="L185" i="49"/>
  <c r="J185" i="49"/>
  <c r="I185" i="49"/>
  <c r="G185" i="49"/>
  <c r="F185" i="49"/>
  <c r="V184" i="49"/>
  <c r="U184" i="49"/>
  <c r="S184" i="49"/>
  <c r="R184" i="49"/>
  <c r="J184" i="49"/>
  <c r="I184" i="49"/>
  <c r="G184" i="49"/>
  <c r="F184" i="49"/>
  <c r="V183" i="49"/>
  <c r="U183" i="49"/>
  <c r="S183" i="49"/>
  <c r="R183" i="49"/>
  <c r="J183" i="49"/>
  <c r="I183" i="49"/>
  <c r="G183" i="49"/>
  <c r="F183" i="49"/>
  <c r="X179" i="49"/>
  <c r="V179" i="49"/>
  <c r="U179" i="49"/>
  <c r="S179" i="49"/>
  <c r="R179" i="49"/>
  <c r="M179" i="49"/>
  <c r="L179" i="49"/>
  <c r="K179" i="49"/>
  <c r="J179" i="49"/>
  <c r="I179" i="49"/>
  <c r="H179" i="49"/>
  <c r="G179" i="49"/>
  <c r="F179" i="49"/>
  <c r="V178" i="49"/>
  <c r="U178" i="49"/>
  <c r="S178" i="49"/>
  <c r="R178" i="49"/>
  <c r="K178" i="49"/>
  <c r="J178" i="49"/>
  <c r="I178" i="49"/>
  <c r="H178" i="49"/>
  <c r="G178" i="49"/>
  <c r="F178" i="49"/>
  <c r="V177" i="49"/>
  <c r="U177" i="49"/>
  <c r="S177" i="49"/>
  <c r="R177" i="49"/>
  <c r="K177" i="49"/>
  <c r="J177" i="49"/>
  <c r="I177" i="49"/>
  <c r="H177" i="49"/>
  <c r="G177" i="49"/>
  <c r="F177" i="49"/>
  <c r="X172" i="49"/>
  <c r="V172" i="49"/>
  <c r="U172" i="49"/>
  <c r="S172" i="49"/>
  <c r="R172" i="49"/>
  <c r="L172" i="49"/>
  <c r="J172" i="49"/>
  <c r="I172" i="49"/>
  <c r="G172" i="49"/>
  <c r="F172" i="49"/>
  <c r="V171" i="49"/>
  <c r="U171" i="49"/>
  <c r="S171" i="49"/>
  <c r="R171" i="49"/>
  <c r="J171" i="49"/>
  <c r="I171" i="49"/>
  <c r="G171" i="49"/>
  <c r="F171" i="49"/>
  <c r="V170" i="49"/>
  <c r="U170" i="49"/>
  <c r="S170" i="49"/>
  <c r="R170" i="49"/>
  <c r="J170" i="49"/>
  <c r="I170" i="49"/>
  <c r="G170" i="49"/>
  <c r="F170" i="49"/>
  <c r="X166" i="49"/>
  <c r="V166" i="49"/>
  <c r="U166" i="49"/>
  <c r="S166" i="49"/>
  <c r="R166" i="49"/>
  <c r="M166" i="49"/>
  <c r="L166" i="49"/>
  <c r="K166" i="49"/>
  <c r="J166" i="49"/>
  <c r="I166" i="49"/>
  <c r="H166" i="49"/>
  <c r="G166" i="49"/>
  <c r="F166" i="49"/>
  <c r="V165" i="49"/>
  <c r="U165" i="49"/>
  <c r="S165" i="49"/>
  <c r="R165" i="49"/>
  <c r="K165" i="49"/>
  <c r="J165" i="49"/>
  <c r="I165" i="49"/>
  <c r="H165" i="49"/>
  <c r="G165" i="49"/>
  <c r="F165" i="49"/>
  <c r="V164" i="49"/>
  <c r="U164" i="49"/>
  <c r="S164" i="49"/>
  <c r="R164" i="49"/>
  <c r="K164" i="49"/>
  <c r="J164" i="49"/>
  <c r="I164" i="49"/>
  <c r="H164" i="49"/>
  <c r="G164" i="49"/>
  <c r="F164" i="49"/>
  <c r="X159" i="49"/>
  <c r="V159" i="49"/>
  <c r="U159" i="49"/>
  <c r="S159" i="49"/>
  <c r="R159" i="49"/>
  <c r="L159" i="49"/>
  <c r="J159" i="49"/>
  <c r="I159" i="49"/>
  <c r="G159" i="49"/>
  <c r="F159" i="49"/>
  <c r="V158" i="49"/>
  <c r="U158" i="49"/>
  <c r="S158" i="49"/>
  <c r="R158" i="49"/>
  <c r="J158" i="49"/>
  <c r="I158" i="49"/>
  <c r="G158" i="49"/>
  <c r="F158" i="49"/>
  <c r="V157" i="49"/>
  <c r="U157" i="49"/>
  <c r="S157" i="49"/>
  <c r="R157" i="49"/>
  <c r="J157" i="49"/>
  <c r="I157" i="49"/>
  <c r="G157" i="49"/>
  <c r="F157" i="49"/>
  <c r="X153" i="49"/>
  <c r="V153" i="49"/>
  <c r="U153" i="49"/>
  <c r="S153" i="49"/>
  <c r="R153" i="49"/>
  <c r="M153" i="49"/>
  <c r="L153" i="49"/>
  <c r="K153" i="49"/>
  <c r="J153" i="49"/>
  <c r="I153" i="49"/>
  <c r="H153" i="49"/>
  <c r="G153" i="49"/>
  <c r="F153" i="49"/>
  <c r="V152" i="49"/>
  <c r="U152" i="49"/>
  <c r="S152" i="49"/>
  <c r="R152" i="49"/>
  <c r="K152" i="49"/>
  <c r="J152" i="49"/>
  <c r="I152" i="49"/>
  <c r="H152" i="49"/>
  <c r="G152" i="49"/>
  <c r="F152" i="49"/>
  <c r="V151" i="49"/>
  <c r="U151" i="49"/>
  <c r="S151" i="49"/>
  <c r="R151" i="49"/>
  <c r="K151" i="49"/>
  <c r="J151" i="49"/>
  <c r="I151" i="49"/>
  <c r="H151" i="49"/>
  <c r="G151" i="49"/>
  <c r="F151" i="49"/>
  <c r="X146" i="49"/>
  <c r="V146" i="49"/>
  <c r="U146" i="49"/>
  <c r="S146" i="49"/>
  <c r="R146" i="49"/>
  <c r="L146" i="49"/>
  <c r="J146" i="49"/>
  <c r="I146" i="49"/>
  <c r="G146" i="49"/>
  <c r="F146" i="49"/>
  <c r="V145" i="49"/>
  <c r="U145" i="49"/>
  <c r="S145" i="49"/>
  <c r="R145" i="49"/>
  <c r="J145" i="49"/>
  <c r="I145" i="49"/>
  <c r="G145" i="49"/>
  <c r="F145" i="49"/>
  <c r="V144" i="49"/>
  <c r="U144" i="49"/>
  <c r="S144" i="49"/>
  <c r="R144" i="49"/>
  <c r="J144" i="49"/>
  <c r="I144" i="49"/>
  <c r="G144" i="49"/>
  <c r="F144" i="49"/>
  <c r="X140" i="49"/>
  <c r="V140" i="49"/>
  <c r="U140" i="49"/>
  <c r="S140" i="49"/>
  <c r="R140" i="49"/>
  <c r="M140" i="49"/>
  <c r="L140" i="49"/>
  <c r="K140" i="49"/>
  <c r="J140" i="49"/>
  <c r="I140" i="49"/>
  <c r="H140" i="49"/>
  <c r="G140" i="49"/>
  <c r="F140" i="49"/>
  <c r="V139" i="49"/>
  <c r="U139" i="49"/>
  <c r="S139" i="49"/>
  <c r="R139" i="49"/>
  <c r="K139" i="49"/>
  <c r="J139" i="49"/>
  <c r="I139" i="49"/>
  <c r="H139" i="49"/>
  <c r="G139" i="49"/>
  <c r="F139" i="49"/>
  <c r="V138" i="49"/>
  <c r="U138" i="49"/>
  <c r="S138" i="49"/>
  <c r="R138" i="49"/>
  <c r="K138" i="49"/>
  <c r="J138" i="49"/>
  <c r="I138" i="49"/>
  <c r="H138" i="49"/>
  <c r="G138" i="49"/>
  <c r="F138" i="49"/>
  <c r="X133" i="49"/>
  <c r="V133" i="49"/>
  <c r="U133" i="49"/>
  <c r="S133" i="49"/>
  <c r="R133" i="49"/>
  <c r="L133" i="49"/>
  <c r="J133" i="49"/>
  <c r="I133" i="49"/>
  <c r="G133" i="49"/>
  <c r="F133" i="49"/>
  <c r="V132" i="49"/>
  <c r="U132" i="49"/>
  <c r="S132" i="49"/>
  <c r="R132" i="49"/>
  <c r="J132" i="49"/>
  <c r="I132" i="49"/>
  <c r="G132" i="49"/>
  <c r="F132" i="49"/>
  <c r="V131" i="49"/>
  <c r="U131" i="49"/>
  <c r="S131" i="49"/>
  <c r="R131" i="49"/>
  <c r="J131" i="49"/>
  <c r="I131" i="49"/>
  <c r="G131" i="49"/>
  <c r="F131" i="49"/>
  <c r="X127" i="49"/>
  <c r="V127" i="49"/>
  <c r="U127" i="49"/>
  <c r="S127" i="49"/>
  <c r="R127" i="49"/>
  <c r="M127" i="49"/>
  <c r="L127" i="49"/>
  <c r="K127" i="49"/>
  <c r="J127" i="49"/>
  <c r="I127" i="49"/>
  <c r="H127" i="49"/>
  <c r="G127" i="49"/>
  <c r="F127" i="49"/>
  <c r="V126" i="49"/>
  <c r="U126" i="49"/>
  <c r="S126" i="49"/>
  <c r="R126" i="49"/>
  <c r="K126" i="49"/>
  <c r="J126" i="49"/>
  <c r="I126" i="49"/>
  <c r="H126" i="49"/>
  <c r="G126" i="49"/>
  <c r="F126" i="49"/>
  <c r="V125" i="49"/>
  <c r="U125" i="49"/>
  <c r="S125" i="49"/>
  <c r="R125" i="49"/>
  <c r="K125" i="49"/>
  <c r="J125" i="49"/>
  <c r="I125" i="49"/>
  <c r="H125" i="49"/>
  <c r="G125" i="49"/>
  <c r="F125" i="49"/>
  <c r="X120" i="49"/>
  <c r="V120" i="49"/>
  <c r="U120" i="49"/>
  <c r="S120" i="49"/>
  <c r="R120" i="49"/>
  <c r="L120" i="49"/>
  <c r="J120" i="49"/>
  <c r="I120" i="49"/>
  <c r="G120" i="49"/>
  <c r="F120" i="49"/>
  <c r="V119" i="49"/>
  <c r="U119" i="49"/>
  <c r="S119" i="49"/>
  <c r="R119" i="49"/>
  <c r="J119" i="49"/>
  <c r="I119" i="49"/>
  <c r="G119" i="49"/>
  <c r="F119" i="49"/>
  <c r="V118" i="49"/>
  <c r="U118" i="49"/>
  <c r="S118" i="49"/>
  <c r="R118" i="49"/>
  <c r="J118" i="49"/>
  <c r="I118" i="49"/>
  <c r="G118" i="49"/>
  <c r="F118" i="49"/>
  <c r="X114" i="49"/>
  <c r="V114" i="49"/>
  <c r="U114" i="49"/>
  <c r="S114" i="49"/>
  <c r="R114" i="49"/>
  <c r="M114" i="49"/>
  <c r="L114" i="49"/>
  <c r="K114" i="49"/>
  <c r="J114" i="49"/>
  <c r="I114" i="49"/>
  <c r="H114" i="49"/>
  <c r="G114" i="49"/>
  <c r="F114" i="49"/>
  <c r="V113" i="49"/>
  <c r="U113" i="49"/>
  <c r="S113" i="49"/>
  <c r="R113" i="49"/>
  <c r="K113" i="49"/>
  <c r="J113" i="49"/>
  <c r="I113" i="49"/>
  <c r="H113" i="49"/>
  <c r="G113" i="49"/>
  <c r="F113" i="49"/>
  <c r="V112" i="49"/>
  <c r="U112" i="49"/>
  <c r="S112" i="49"/>
  <c r="R112" i="49"/>
  <c r="K112" i="49"/>
  <c r="J112" i="49"/>
  <c r="I112" i="49"/>
  <c r="H112" i="49"/>
  <c r="G112" i="49"/>
  <c r="F112" i="49"/>
  <c r="X107" i="49"/>
  <c r="V107" i="49"/>
  <c r="U107" i="49"/>
  <c r="S107" i="49"/>
  <c r="R107" i="49"/>
  <c r="L107" i="49"/>
  <c r="J107" i="49"/>
  <c r="I107" i="49"/>
  <c r="G107" i="49"/>
  <c r="F107" i="49"/>
  <c r="V106" i="49"/>
  <c r="U106" i="49"/>
  <c r="S106" i="49"/>
  <c r="R106" i="49"/>
  <c r="J106" i="49"/>
  <c r="I106" i="49"/>
  <c r="G106" i="49"/>
  <c r="F106" i="49"/>
  <c r="V105" i="49"/>
  <c r="U105" i="49"/>
  <c r="S105" i="49"/>
  <c r="R105" i="49"/>
  <c r="J105" i="49"/>
  <c r="I105" i="49"/>
  <c r="G105" i="49"/>
  <c r="F105" i="49"/>
  <c r="X101" i="49"/>
  <c r="V101" i="49"/>
  <c r="U101" i="49"/>
  <c r="S101" i="49"/>
  <c r="R101" i="49"/>
  <c r="M101" i="49"/>
  <c r="L101" i="49"/>
  <c r="K101" i="49"/>
  <c r="J101" i="49"/>
  <c r="I101" i="49"/>
  <c r="H101" i="49"/>
  <c r="G101" i="49"/>
  <c r="F101" i="49"/>
  <c r="V100" i="49"/>
  <c r="U100" i="49"/>
  <c r="S100" i="49"/>
  <c r="R100" i="49"/>
  <c r="K100" i="49"/>
  <c r="J100" i="49"/>
  <c r="I100" i="49"/>
  <c r="H100" i="49"/>
  <c r="G100" i="49"/>
  <c r="F100" i="49"/>
  <c r="V99" i="49"/>
  <c r="U99" i="49"/>
  <c r="S99" i="49"/>
  <c r="R99" i="49"/>
  <c r="K99" i="49"/>
  <c r="J99" i="49"/>
  <c r="I99" i="49"/>
  <c r="H99" i="49"/>
  <c r="G99" i="49"/>
  <c r="F99" i="49"/>
  <c r="X94" i="49"/>
  <c r="V94" i="49"/>
  <c r="U94" i="49"/>
  <c r="S94" i="49"/>
  <c r="R94" i="49"/>
  <c r="L94" i="49"/>
  <c r="J94" i="49"/>
  <c r="I94" i="49"/>
  <c r="G94" i="49"/>
  <c r="F94" i="49"/>
  <c r="V93" i="49"/>
  <c r="U93" i="49"/>
  <c r="S93" i="49"/>
  <c r="R93" i="49"/>
  <c r="J93" i="49"/>
  <c r="I93" i="49"/>
  <c r="G93" i="49"/>
  <c r="F93" i="49"/>
  <c r="V92" i="49"/>
  <c r="U92" i="49"/>
  <c r="S92" i="49"/>
  <c r="R92" i="49"/>
  <c r="J92" i="49"/>
  <c r="I92" i="49"/>
  <c r="G92" i="49"/>
  <c r="F92" i="49"/>
  <c r="X88" i="49"/>
  <c r="V88" i="49"/>
  <c r="U88" i="49"/>
  <c r="S88" i="49"/>
  <c r="R88" i="49"/>
  <c r="M88" i="49"/>
  <c r="L88" i="49"/>
  <c r="K88" i="49"/>
  <c r="J88" i="49"/>
  <c r="I88" i="49"/>
  <c r="H88" i="49"/>
  <c r="G88" i="49"/>
  <c r="F88" i="49"/>
  <c r="V87" i="49"/>
  <c r="U87" i="49"/>
  <c r="S87" i="49"/>
  <c r="R87" i="49"/>
  <c r="K87" i="49"/>
  <c r="J87" i="49"/>
  <c r="I87" i="49"/>
  <c r="H87" i="49"/>
  <c r="G87" i="49"/>
  <c r="F87" i="49"/>
  <c r="V86" i="49"/>
  <c r="U86" i="49"/>
  <c r="S86" i="49"/>
  <c r="R86" i="49"/>
  <c r="K86" i="49"/>
  <c r="J86" i="49"/>
  <c r="I86" i="49"/>
  <c r="H86" i="49"/>
  <c r="G86" i="49"/>
  <c r="F86" i="49"/>
  <c r="X81" i="49"/>
  <c r="V81" i="49"/>
  <c r="U81" i="49"/>
  <c r="S81" i="49"/>
  <c r="R81" i="49"/>
  <c r="L81" i="49"/>
  <c r="J81" i="49"/>
  <c r="I81" i="49"/>
  <c r="G81" i="49"/>
  <c r="F81" i="49"/>
  <c r="V80" i="49"/>
  <c r="U80" i="49"/>
  <c r="S80" i="49"/>
  <c r="R80" i="49"/>
  <c r="J80" i="49"/>
  <c r="I80" i="49"/>
  <c r="G80" i="49"/>
  <c r="F80" i="49"/>
  <c r="V79" i="49"/>
  <c r="U79" i="49"/>
  <c r="S79" i="49"/>
  <c r="R79" i="49"/>
  <c r="J79" i="49"/>
  <c r="I79" i="49"/>
  <c r="G79" i="49"/>
  <c r="F79" i="49"/>
  <c r="X75" i="49"/>
  <c r="V75" i="49"/>
  <c r="U75" i="49"/>
  <c r="S75" i="49"/>
  <c r="R75" i="49"/>
  <c r="M75" i="49"/>
  <c r="L75" i="49"/>
  <c r="K75" i="49"/>
  <c r="J75" i="49"/>
  <c r="I75" i="49"/>
  <c r="H75" i="49"/>
  <c r="G75" i="49"/>
  <c r="F75" i="49"/>
  <c r="V74" i="49"/>
  <c r="U74" i="49"/>
  <c r="S74" i="49"/>
  <c r="R74" i="49"/>
  <c r="K74" i="49"/>
  <c r="J74" i="49"/>
  <c r="I74" i="49"/>
  <c r="H74" i="49"/>
  <c r="G74" i="49"/>
  <c r="F74" i="49"/>
  <c r="V73" i="49"/>
  <c r="U73" i="49"/>
  <c r="S73" i="49"/>
  <c r="R73" i="49"/>
  <c r="K73" i="49"/>
  <c r="J73" i="49"/>
  <c r="I73" i="49"/>
  <c r="H73" i="49"/>
  <c r="G73" i="49"/>
  <c r="F73" i="49"/>
  <c r="X263" i="48"/>
  <c r="V263" i="48"/>
  <c r="U263" i="48"/>
  <c r="S263" i="48"/>
  <c r="R263" i="48"/>
  <c r="L263" i="48"/>
  <c r="J263" i="48"/>
  <c r="I263" i="48"/>
  <c r="G263" i="48"/>
  <c r="F263" i="48"/>
  <c r="V262" i="48"/>
  <c r="U262" i="48"/>
  <c r="S262" i="48"/>
  <c r="R262" i="48"/>
  <c r="J262" i="48"/>
  <c r="I262" i="48"/>
  <c r="G262" i="48"/>
  <c r="F262" i="48"/>
  <c r="V261" i="48"/>
  <c r="U261" i="48"/>
  <c r="S261" i="48"/>
  <c r="R261" i="48"/>
  <c r="J261" i="48"/>
  <c r="I261" i="48"/>
  <c r="G261" i="48"/>
  <c r="F261" i="48"/>
  <c r="X257" i="48"/>
  <c r="V257" i="48"/>
  <c r="U257" i="48"/>
  <c r="S257" i="48"/>
  <c r="R257" i="48"/>
  <c r="M257" i="48"/>
  <c r="L257" i="48"/>
  <c r="K257" i="48"/>
  <c r="J257" i="48"/>
  <c r="I257" i="48"/>
  <c r="H257" i="48"/>
  <c r="G257" i="48"/>
  <c r="F257" i="48"/>
  <c r="V256" i="48"/>
  <c r="U256" i="48"/>
  <c r="S256" i="48"/>
  <c r="R256" i="48"/>
  <c r="K256" i="48"/>
  <c r="J256" i="48"/>
  <c r="I256" i="48"/>
  <c r="H256" i="48"/>
  <c r="G256" i="48"/>
  <c r="F256" i="48"/>
  <c r="V255" i="48"/>
  <c r="U255" i="48"/>
  <c r="S255" i="48"/>
  <c r="R255" i="48"/>
  <c r="K255" i="48"/>
  <c r="J255" i="48"/>
  <c r="I255" i="48"/>
  <c r="H255" i="48"/>
  <c r="G255" i="48"/>
  <c r="F255" i="48"/>
  <c r="X250" i="48"/>
  <c r="V250" i="48"/>
  <c r="U250" i="48"/>
  <c r="S250" i="48"/>
  <c r="R250" i="48"/>
  <c r="L250" i="48"/>
  <c r="J250" i="48"/>
  <c r="I250" i="48"/>
  <c r="G250" i="48"/>
  <c r="F250" i="48"/>
  <c r="V249" i="48"/>
  <c r="U249" i="48"/>
  <c r="S249" i="48"/>
  <c r="R249" i="48"/>
  <c r="J249" i="48"/>
  <c r="I249" i="48"/>
  <c r="G249" i="48"/>
  <c r="F249" i="48"/>
  <c r="V248" i="48"/>
  <c r="U248" i="48"/>
  <c r="S248" i="48"/>
  <c r="R248" i="48"/>
  <c r="J248" i="48"/>
  <c r="I248" i="48"/>
  <c r="G248" i="48"/>
  <c r="F248" i="48"/>
  <c r="X244" i="48"/>
  <c r="V244" i="48"/>
  <c r="U244" i="48"/>
  <c r="S244" i="48"/>
  <c r="R244" i="48"/>
  <c r="M244" i="48"/>
  <c r="L244" i="48"/>
  <c r="K244" i="48"/>
  <c r="J244" i="48"/>
  <c r="I244" i="48"/>
  <c r="H244" i="48"/>
  <c r="G244" i="48"/>
  <c r="F244" i="48"/>
  <c r="V243" i="48"/>
  <c r="U243" i="48"/>
  <c r="S243" i="48"/>
  <c r="R243" i="48"/>
  <c r="K243" i="48"/>
  <c r="J243" i="48"/>
  <c r="I243" i="48"/>
  <c r="H243" i="48"/>
  <c r="G243" i="48"/>
  <c r="F243" i="48"/>
  <c r="V242" i="48"/>
  <c r="U242" i="48"/>
  <c r="S242" i="48"/>
  <c r="R242" i="48"/>
  <c r="K242" i="48"/>
  <c r="J242" i="48"/>
  <c r="I242" i="48"/>
  <c r="H242" i="48"/>
  <c r="G242" i="48"/>
  <c r="F242" i="48"/>
  <c r="X237" i="48"/>
  <c r="V237" i="48"/>
  <c r="U237" i="48"/>
  <c r="S237" i="48"/>
  <c r="R237" i="48"/>
  <c r="L237" i="48"/>
  <c r="J237" i="48"/>
  <c r="I237" i="48"/>
  <c r="G237" i="48"/>
  <c r="F237" i="48"/>
  <c r="V236" i="48"/>
  <c r="U236" i="48"/>
  <c r="S236" i="48"/>
  <c r="R236" i="48"/>
  <c r="J236" i="48"/>
  <c r="I236" i="48"/>
  <c r="G236" i="48"/>
  <c r="F236" i="48"/>
  <c r="V235" i="48"/>
  <c r="U235" i="48"/>
  <c r="S235" i="48"/>
  <c r="R235" i="48"/>
  <c r="J235" i="48"/>
  <c r="I235" i="48"/>
  <c r="G235" i="48"/>
  <c r="F235" i="48"/>
  <c r="X231" i="48"/>
  <c r="V231" i="48"/>
  <c r="U231" i="48"/>
  <c r="S231" i="48"/>
  <c r="R231" i="48"/>
  <c r="M231" i="48"/>
  <c r="L231" i="48"/>
  <c r="K231" i="48"/>
  <c r="J231" i="48"/>
  <c r="I231" i="48"/>
  <c r="H231" i="48"/>
  <c r="G231" i="48"/>
  <c r="F231" i="48"/>
  <c r="V230" i="48"/>
  <c r="U230" i="48"/>
  <c r="S230" i="48"/>
  <c r="R230" i="48"/>
  <c r="K230" i="48"/>
  <c r="J230" i="48"/>
  <c r="I230" i="48"/>
  <c r="H230" i="48"/>
  <c r="G230" i="48"/>
  <c r="F230" i="48"/>
  <c r="V229" i="48"/>
  <c r="U229" i="48"/>
  <c r="S229" i="48"/>
  <c r="R229" i="48"/>
  <c r="K229" i="48"/>
  <c r="J229" i="48"/>
  <c r="I229" i="48"/>
  <c r="H229" i="48"/>
  <c r="G229" i="48"/>
  <c r="F229" i="48"/>
  <c r="X224" i="48"/>
  <c r="V224" i="48"/>
  <c r="U224" i="48"/>
  <c r="S224" i="48"/>
  <c r="R224" i="48"/>
  <c r="L224" i="48"/>
  <c r="J224" i="48"/>
  <c r="I224" i="48"/>
  <c r="G224" i="48"/>
  <c r="F224" i="48"/>
  <c r="V223" i="48"/>
  <c r="U223" i="48"/>
  <c r="S223" i="48"/>
  <c r="R223" i="48"/>
  <c r="J223" i="48"/>
  <c r="I223" i="48"/>
  <c r="G223" i="48"/>
  <c r="F223" i="48"/>
  <c r="V222" i="48"/>
  <c r="U222" i="48"/>
  <c r="S222" i="48"/>
  <c r="R222" i="48"/>
  <c r="J222" i="48"/>
  <c r="I222" i="48"/>
  <c r="G222" i="48"/>
  <c r="F222" i="48"/>
  <c r="X218" i="48"/>
  <c r="V218" i="48"/>
  <c r="U218" i="48"/>
  <c r="S218" i="48"/>
  <c r="R218" i="48"/>
  <c r="M218" i="48"/>
  <c r="L218" i="48"/>
  <c r="K218" i="48"/>
  <c r="J218" i="48"/>
  <c r="I218" i="48"/>
  <c r="H218" i="48"/>
  <c r="G218" i="48"/>
  <c r="F218" i="48"/>
  <c r="V217" i="48"/>
  <c r="U217" i="48"/>
  <c r="S217" i="48"/>
  <c r="R217" i="48"/>
  <c r="K217" i="48"/>
  <c r="J217" i="48"/>
  <c r="I217" i="48"/>
  <c r="H217" i="48"/>
  <c r="G217" i="48"/>
  <c r="F217" i="48"/>
  <c r="V216" i="48"/>
  <c r="U216" i="48"/>
  <c r="S216" i="48"/>
  <c r="R216" i="48"/>
  <c r="K216" i="48"/>
  <c r="J216" i="48"/>
  <c r="I216" i="48"/>
  <c r="H216" i="48"/>
  <c r="G216" i="48"/>
  <c r="F216" i="48"/>
  <c r="X211" i="48"/>
  <c r="V211" i="48"/>
  <c r="U211" i="48"/>
  <c r="S211" i="48"/>
  <c r="R211" i="48"/>
  <c r="L211" i="48"/>
  <c r="J211" i="48"/>
  <c r="I211" i="48"/>
  <c r="G211" i="48"/>
  <c r="F211" i="48"/>
  <c r="V210" i="48"/>
  <c r="U210" i="48"/>
  <c r="S210" i="48"/>
  <c r="R210" i="48"/>
  <c r="J210" i="48"/>
  <c r="I210" i="48"/>
  <c r="G210" i="48"/>
  <c r="F210" i="48"/>
  <c r="V209" i="48"/>
  <c r="U209" i="48"/>
  <c r="S209" i="48"/>
  <c r="R209" i="48"/>
  <c r="J209" i="48"/>
  <c r="I209" i="48"/>
  <c r="G209" i="48"/>
  <c r="F209" i="48"/>
  <c r="X205" i="48"/>
  <c r="V205" i="48"/>
  <c r="U205" i="48"/>
  <c r="S205" i="48"/>
  <c r="R205" i="48"/>
  <c r="M205" i="48"/>
  <c r="L205" i="48"/>
  <c r="K205" i="48"/>
  <c r="J205" i="48"/>
  <c r="I205" i="48"/>
  <c r="H205" i="48"/>
  <c r="G205" i="48"/>
  <c r="F205" i="48"/>
  <c r="V204" i="48"/>
  <c r="U204" i="48"/>
  <c r="S204" i="48"/>
  <c r="R204" i="48"/>
  <c r="K204" i="48"/>
  <c r="J204" i="48"/>
  <c r="I204" i="48"/>
  <c r="H204" i="48"/>
  <c r="G204" i="48"/>
  <c r="F204" i="48"/>
  <c r="V203" i="48"/>
  <c r="U203" i="48"/>
  <c r="S203" i="48"/>
  <c r="R203" i="48"/>
  <c r="K203" i="48"/>
  <c r="J203" i="48"/>
  <c r="I203" i="48"/>
  <c r="H203" i="48"/>
  <c r="G203" i="48"/>
  <c r="F203" i="48"/>
  <c r="X198" i="48"/>
  <c r="V198" i="48"/>
  <c r="U198" i="48"/>
  <c r="S198" i="48"/>
  <c r="R198" i="48"/>
  <c r="L198" i="48"/>
  <c r="J198" i="48"/>
  <c r="I198" i="48"/>
  <c r="G198" i="48"/>
  <c r="F198" i="48"/>
  <c r="V197" i="48"/>
  <c r="U197" i="48"/>
  <c r="S197" i="48"/>
  <c r="R197" i="48"/>
  <c r="J197" i="48"/>
  <c r="I197" i="48"/>
  <c r="G197" i="48"/>
  <c r="F197" i="48"/>
  <c r="V196" i="48"/>
  <c r="U196" i="48"/>
  <c r="S196" i="48"/>
  <c r="R196" i="48"/>
  <c r="J196" i="48"/>
  <c r="I196" i="48"/>
  <c r="G196" i="48"/>
  <c r="F196" i="48"/>
  <c r="X192" i="48"/>
  <c r="V192" i="48"/>
  <c r="U192" i="48"/>
  <c r="S192" i="48"/>
  <c r="R192" i="48"/>
  <c r="M192" i="48"/>
  <c r="L192" i="48"/>
  <c r="K192" i="48"/>
  <c r="J192" i="48"/>
  <c r="I192" i="48"/>
  <c r="H192" i="48"/>
  <c r="G192" i="48"/>
  <c r="F192" i="48"/>
  <c r="V191" i="48"/>
  <c r="U191" i="48"/>
  <c r="S191" i="48"/>
  <c r="R191" i="48"/>
  <c r="K191" i="48"/>
  <c r="J191" i="48"/>
  <c r="I191" i="48"/>
  <c r="H191" i="48"/>
  <c r="G191" i="48"/>
  <c r="F191" i="48"/>
  <c r="V190" i="48"/>
  <c r="U190" i="48"/>
  <c r="S190" i="48"/>
  <c r="R190" i="48"/>
  <c r="K190" i="48"/>
  <c r="J190" i="48"/>
  <c r="I190" i="48"/>
  <c r="H190" i="48"/>
  <c r="G190" i="48"/>
  <c r="F190" i="48"/>
  <c r="X185" i="48"/>
  <c r="V185" i="48"/>
  <c r="U185" i="48"/>
  <c r="S185" i="48"/>
  <c r="R185" i="48"/>
  <c r="L185" i="48"/>
  <c r="J185" i="48"/>
  <c r="I185" i="48"/>
  <c r="G185" i="48"/>
  <c r="F185" i="48"/>
  <c r="V184" i="48"/>
  <c r="U184" i="48"/>
  <c r="S184" i="48"/>
  <c r="R184" i="48"/>
  <c r="J184" i="48"/>
  <c r="I184" i="48"/>
  <c r="G184" i="48"/>
  <c r="F184" i="48"/>
  <c r="V183" i="48"/>
  <c r="U183" i="48"/>
  <c r="S183" i="48"/>
  <c r="R183" i="48"/>
  <c r="J183" i="48"/>
  <c r="I183" i="48"/>
  <c r="G183" i="48"/>
  <c r="F183" i="48"/>
  <c r="X179" i="48"/>
  <c r="V179" i="48"/>
  <c r="U179" i="48"/>
  <c r="S179" i="48"/>
  <c r="R179" i="48"/>
  <c r="M179" i="48"/>
  <c r="L179" i="48"/>
  <c r="K179" i="48"/>
  <c r="J179" i="48"/>
  <c r="I179" i="48"/>
  <c r="H179" i="48"/>
  <c r="G179" i="48"/>
  <c r="F179" i="48"/>
  <c r="V178" i="48"/>
  <c r="U178" i="48"/>
  <c r="S178" i="48"/>
  <c r="R178" i="48"/>
  <c r="K178" i="48"/>
  <c r="J178" i="48"/>
  <c r="I178" i="48"/>
  <c r="H178" i="48"/>
  <c r="G178" i="48"/>
  <c r="F178" i="48"/>
  <c r="V177" i="48"/>
  <c r="U177" i="48"/>
  <c r="S177" i="48"/>
  <c r="R177" i="48"/>
  <c r="K177" i="48"/>
  <c r="J177" i="48"/>
  <c r="I177" i="48"/>
  <c r="H177" i="48"/>
  <c r="G177" i="48"/>
  <c r="F177" i="48"/>
  <c r="X172" i="48"/>
  <c r="V172" i="48"/>
  <c r="U172" i="48"/>
  <c r="S172" i="48"/>
  <c r="R172" i="48"/>
  <c r="L172" i="48"/>
  <c r="J172" i="48"/>
  <c r="I172" i="48"/>
  <c r="G172" i="48"/>
  <c r="F172" i="48"/>
  <c r="V171" i="48"/>
  <c r="U171" i="48"/>
  <c r="S171" i="48"/>
  <c r="R171" i="48"/>
  <c r="J171" i="48"/>
  <c r="I171" i="48"/>
  <c r="G171" i="48"/>
  <c r="F171" i="48"/>
  <c r="V170" i="48"/>
  <c r="U170" i="48"/>
  <c r="S170" i="48"/>
  <c r="R170" i="48"/>
  <c r="J170" i="48"/>
  <c r="I170" i="48"/>
  <c r="G170" i="48"/>
  <c r="F170" i="48"/>
  <c r="X166" i="48"/>
  <c r="V166" i="48"/>
  <c r="U166" i="48"/>
  <c r="S166" i="48"/>
  <c r="R166" i="48"/>
  <c r="M166" i="48"/>
  <c r="L166" i="48"/>
  <c r="K166" i="48"/>
  <c r="J166" i="48"/>
  <c r="I166" i="48"/>
  <c r="H166" i="48"/>
  <c r="G166" i="48"/>
  <c r="F166" i="48"/>
  <c r="V165" i="48"/>
  <c r="U165" i="48"/>
  <c r="S165" i="48"/>
  <c r="R165" i="48"/>
  <c r="K165" i="48"/>
  <c r="J165" i="48"/>
  <c r="I165" i="48"/>
  <c r="H165" i="48"/>
  <c r="G165" i="48"/>
  <c r="F165" i="48"/>
  <c r="V164" i="48"/>
  <c r="U164" i="48"/>
  <c r="S164" i="48"/>
  <c r="R164" i="48"/>
  <c r="K164" i="48"/>
  <c r="J164" i="48"/>
  <c r="I164" i="48"/>
  <c r="H164" i="48"/>
  <c r="G164" i="48"/>
  <c r="F164" i="48"/>
  <c r="X159" i="48"/>
  <c r="V159" i="48"/>
  <c r="U159" i="48"/>
  <c r="S159" i="48"/>
  <c r="R159" i="48"/>
  <c r="L159" i="48"/>
  <c r="J159" i="48"/>
  <c r="I159" i="48"/>
  <c r="G159" i="48"/>
  <c r="F159" i="48"/>
  <c r="V158" i="48"/>
  <c r="U158" i="48"/>
  <c r="S158" i="48"/>
  <c r="R158" i="48"/>
  <c r="J158" i="48"/>
  <c r="I158" i="48"/>
  <c r="G158" i="48"/>
  <c r="F158" i="48"/>
  <c r="V157" i="48"/>
  <c r="U157" i="48"/>
  <c r="S157" i="48"/>
  <c r="R157" i="48"/>
  <c r="J157" i="48"/>
  <c r="I157" i="48"/>
  <c r="G157" i="48"/>
  <c r="F157" i="48"/>
  <c r="X153" i="48"/>
  <c r="V153" i="48"/>
  <c r="U153" i="48"/>
  <c r="S153" i="48"/>
  <c r="R153" i="48"/>
  <c r="M153" i="48"/>
  <c r="L153" i="48"/>
  <c r="K153" i="48"/>
  <c r="J153" i="48"/>
  <c r="I153" i="48"/>
  <c r="H153" i="48"/>
  <c r="G153" i="48"/>
  <c r="F153" i="48"/>
  <c r="V152" i="48"/>
  <c r="U152" i="48"/>
  <c r="S152" i="48"/>
  <c r="R152" i="48"/>
  <c r="K152" i="48"/>
  <c r="J152" i="48"/>
  <c r="I152" i="48"/>
  <c r="H152" i="48"/>
  <c r="G152" i="48"/>
  <c r="F152" i="48"/>
  <c r="V151" i="48"/>
  <c r="U151" i="48"/>
  <c r="S151" i="48"/>
  <c r="R151" i="48"/>
  <c r="K151" i="48"/>
  <c r="J151" i="48"/>
  <c r="I151" i="48"/>
  <c r="H151" i="48"/>
  <c r="G151" i="48"/>
  <c r="F151" i="48"/>
  <c r="X146" i="48"/>
  <c r="V146" i="48"/>
  <c r="U146" i="48"/>
  <c r="S146" i="48"/>
  <c r="R146" i="48"/>
  <c r="L146" i="48"/>
  <c r="J146" i="48"/>
  <c r="I146" i="48"/>
  <c r="G146" i="48"/>
  <c r="F146" i="48"/>
  <c r="V145" i="48"/>
  <c r="U145" i="48"/>
  <c r="S145" i="48"/>
  <c r="R145" i="48"/>
  <c r="J145" i="48"/>
  <c r="I145" i="48"/>
  <c r="G145" i="48"/>
  <c r="F145" i="48"/>
  <c r="V144" i="48"/>
  <c r="U144" i="48"/>
  <c r="S144" i="48"/>
  <c r="R144" i="48"/>
  <c r="J144" i="48"/>
  <c r="I144" i="48"/>
  <c r="G144" i="48"/>
  <c r="F144" i="48"/>
  <c r="X140" i="48"/>
  <c r="V140" i="48"/>
  <c r="U140" i="48"/>
  <c r="S140" i="48"/>
  <c r="R140" i="48"/>
  <c r="M140" i="48"/>
  <c r="L140" i="48"/>
  <c r="K140" i="48"/>
  <c r="J140" i="48"/>
  <c r="I140" i="48"/>
  <c r="H140" i="48"/>
  <c r="G140" i="48"/>
  <c r="F140" i="48"/>
  <c r="V139" i="48"/>
  <c r="U139" i="48"/>
  <c r="S139" i="48"/>
  <c r="R139" i="48"/>
  <c r="K139" i="48"/>
  <c r="J139" i="48"/>
  <c r="I139" i="48"/>
  <c r="H139" i="48"/>
  <c r="G139" i="48"/>
  <c r="F139" i="48"/>
  <c r="V138" i="48"/>
  <c r="U138" i="48"/>
  <c r="S138" i="48"/>
  <c r="R138" i="48"/>
  <c r="K138" i="48"/>
  <c r="J138" i="48"/>
  <c r="I138" i="48"/>
  <c r="H138" i="48"/>
  <c r="G138" i="48"/>
  <c r="F138" i="48"/>
  <c r="X133" i="48"/>
  <c r="V133" i="48"/>
  <c r="U133" i="48"/>
  <c r="S133" i="48"/>
  <c r="R133" i="48"/>
  <c r="L133" i="48"/>
  <c r="J133" i="48"/>
  <c r="I133" i="48"/>
  <c r="G133" i="48"/>
  <c r="F133" i="48"/>
  <c r="V132" i="48"/>
  <c r="U132" i="48"/>
  <c r="S132" i="48"/>
  <c r="R132" i="48"/>
  <c r="J132" i="48"/>
  <c r="I132" i="48"/>
  <c r="G132" i="48"/>
  <c r="F132" i="48"/>
  <c r="V131" i="48"/>
  <c r="U131" i="48"/>
  <c r="S131" i="48"/>
  <c r="R131" i="48"/>
  <c r="J131" i="48"/>
  <c r="I131" i="48"/>
  <c r="G131" i="48"/>
  <c r="F131" i="48"/>
  <c r="X127" i="48"/>
  <c r="V127" i="48"/>
  <c r="U127" i="48"/>
  <c r="S127" i="48"/>
  <c r="R127" i="48"/>
  <c r="M127" i="48"/>
  <c r="L127" i="48"/>
  <c r="K127" i="48"/>
  <c r="J127" i="48"/>
  <c r="I127" i="48"/>
  <c r="H127" i="48"/>
  <c r="G127" i="48"/>
  <c r="F127" i="48"/>
  <c r="V126" i="48"/>
  <c r="U126" i="48"/>
  <c r="S126" i="48"/>
  <c r="R126" i="48"/>
  <c r="K126" i="48"/>
  <c r="J126" i="48"/>
  <c r="I126" i="48"/>
  <c r="H126" i="48"/>
  <c r="G126" i="48"/>
  <c r="F126" i="48"/>
  <c r="V125" i="48"/>
  <c r="U125" i="48"/>
  <c r="S125" i="48"/>
  <c r="R125" i="48"/>
  <c r="K125" i="48"/>
  <c r="J125" i="48"/>
  <c r="I125" i="48"/>
  <c r="H125" i="48"/>
  <c r="G125" i="48"/>
  <c r="F125" i="48"/>
  <c r="X120" i="48"/>
  <c r="V120" i="48"/>
  <c r="U120" i="48"/>
  <c r="S120" i="48"/>
  <c r="R120" i="48"/>
  <c r="L120" i="48"/>
  <c r="J120" i="48"/>
  <c r="I120" i="48"/>
  <c r="G120" i="48"/>
  <c r="F120" i="48"/>
  <c r="V119" i="48"/>
  <c r="U119" i="48"/>
  <c r="S119" i="48"/>
  <c r="R119" i="48"/>
  <c r="J119" i="48"/>
  <c r="I119" i="48"/>
  <c r="G119" i="48"/>
  <c r="F119" i="48"/>
  <c r="V118" i="48"/>
  <c r="U118" i="48"/>
  <c r="S118" i="48"/>
  <c r="R118" i="48"/>
  <c r="J118" i="48"/>
  <c r="I118" i="48"/>
  <c r="G118" i="48"/>
  <c r="F118" i="48"/>
  <c r="X114" i="48"/>
  <c r="V114" i="48"/>
  <c r="U114" i="48"/>
  <c r="S114" i="48"/>
  <c r="R114" i="48"/>
  <c r="M114" i="48"/>
  <c r="L114" i="48"/>
  <c r="K114" i="48"/>
  <c r="J114" i="48"/>
  <c r="I114" i="48"/>
  <c r="H114" i="48"/>
  <c r="G114" i="48"/>
  <c r="F114" i="48"/>
  <c r="V113" i="48"/>
  <c r="U113" i="48"/>
  <c r="S113" i="48"/>
  <c r="R113" i="48"/>
  <c r="K113" i="48"/>
  <c r="J113" i="48"/>
  <c r="I113" i="48"/>
  <c r="H113" i="48"/>
  <c r="G113" i="48"/>
  <c r="F113" i="48"/>
  <c r="V112" i="48"/>
  <c r="U112" i="48"/>
  <c r="S112" i="48"/>
  <c r="R112" i="48"/>
  <c r="K112" i="48"/>
  <c r="J112" i="48"/>
  <c r="I112" i="48"/>
  <c r="H112" i="48"/>
  <c r="G112" i="48"/>
  <c r="F112" i="48"/>
  <c r="X107" i="48"/>
  <c r="V107" i="48"/>
  <c r="U107" i="48"/>
  <c r="S107" i="48"/>
  <c r="R107" i="48"/>
  <c r="L107" i="48"/>
  <c r="J107" i="48"/>
  <c r="I107" i="48"/>
  <c r="G107" i="48"/>
  <c r="F107" i="48"/>
  <c r="V106" i="48"/>
  <c r="U106" i="48"/>
  <c r="S106" i="48"/>
  <c r="R106" i="48"/>
  <c r="J106" i="48"/>
  <c r="I106" i="48"/>
  <c r="G106" i="48"/>
  <c r="F106" i="48"/>
  <c r="V105" i="48"/>
  <c r="U105" i="48"/>
  <c r="S105" i="48"/>
  <c r="R105" i="48"/>
  <c r="J105" i="48"/>
  <c r="I105" i="48"/>
  <c r="G105" i="48"/>
  <c r="F105" i="48"/>
  <c r="X101" i="48"/>
  <c r="V101" i="48"/>
  <c r="U101" i="48"/>
  <c r="S101" i="48"/>
  <c r="R101" i="48"/>
  <c r="M101" i="48"/>
  <c r="L101" i="48"/>
  <c r="K101" i="48"/>
  <c r="J101" i="48"/>
  <c r="I101" i="48"/>
  <c r="H101" i="48"/>
  <c r="G101" i="48"/>
  <c r="F101" i="48"/>
  <c r="V100" i="48"/>
  <c r="U100" i="48"/>
  <c r="S100" i="48"/>
  <c r="R100" i="48"/>
  <c r="K100" i="48"/>
  <c r="J100" i="48"/>
  <c r="I100" i="48"/>
  <c r="H100" i="48"/>
  <c r="G100" i="48"/>
  <c r="F100" i="48"/>
  <c r="V99" i="48"/>
  <c r="U99" i="48"/>
  <c r="S99" i="48"/>
  <c r="R99" i="48"/>
  <c r="K99" i="48"/>
  <c r="J99" i="48"/>
  <c r="I99" i="48"/>
  <c r="H99" i="48"/>
  <c r="G99" i="48"/>
  <c r="F99" i="48"/>
  <c r="X94" i="48"/>
  <c r="V94" i="48"/>
  <c r="U94" i="48"/>
  <c r="S94" i="48"/>
  <c r="R94" i="48"/>
  <c r="L94" i="48"/>
  <c r="J94" i="48"/>
  <c r="I94" i="48"/>
  <c r="G94" i="48"/>
  <c r="F94" i="48"/>
  <c r="V93" i="48"/>
  <c r="U93" i="48"/>
  <c r="S93" i="48"/>
  <c r="R93" i="48"/>
  <c r="J93" i="48"/>
  <c r="I93" i="48"/>
  <c r="G93" i="48"/>
  <c r="F93" i="48"/>
  <c r="V92" i="48"/>
  <c r="U92" i="48"/>
  <c r="S92" i="48"/>
  <c r="R92" i="48"/>
  <c r="J92" i="48"/>
  <c r="I92" i="48"/>
  <c r="G92" i="48"/>
  <c r="F92" i="48"/>
  <c r="X88" i="48"/>
  <c r="V88" i="48"/>
  <c r="U88" i="48"/>
  <c r="S88" i="48"/>
  <c r="R88" i="48"/>
  <c r="M88" i="48"/>
  <c r="L88" i="48"/>
  <c r="K88" i="48"/>
  <c r="J88" i="48"/>
  <c r="I88" i="48"/>
  <c r="H88" i="48"/>
  <c r="G88" i="48"/>
  <c r="F88" i="48"/>
  <c r="V87" i="48"/>
  <c r="U87" i="48"/>
  <c r="S87" i="48"/>
  <c r="R87" i="48"/>
  <c r="K87" i="48"/>
  <c r="J87" i="48"/>
  <c r="I87" i="48"/>
  <c r="H87" i="48"/>
  <c r="G87" i="48"/>
  <c r="F87" i="48"/>
  <c r="V86" i="48"/>
  <c r="U86" i="48"/>
  <c r="S86" i="48"/>
  <c r="R86" i="48"/>
  <c r="K86" i="48"/>
  <c r="J86" i="48"/>
  <c r="I86" i="48"/>
  <c r="H86" i="48"/>
  <c r="G86" i="48"/>
  <c r="F86" i="48"/>
  <c r="X81" i="48"/>
  <c r="V81" i="48"/>
  <c r="U81" i="48"/>
  <c r="S81" i="48"/>
  <c r="R81" i="48"/>
  <c r="L81" i="48"/>
  <c r="J81" i="48"/>
  <c r="I81" i="48"/>
  <c r="G81" i="48"/>
  <c r="F81" i="48"/>
  <c r="V80" i="48"/>
  <c r="U80" i="48"/>
  <c r="S80" i="48"/>
  <c r="R80" i="48"/>
  <c r="J80" i="48"/>
  <c r="I80" i="48"/>
  <c r="G80" i="48"/>
  <c r="F80" i="48"/>
  <c r="V79" i="48"/>
  <c r="U79" i="48"/>
  <c r="S79" i="48"/>
  <c r="R79" i="48"/>
  <c r="J79" i="48"/>
  <c r="I79" i="48"/>
  <c r="G79" i="48"/>
  <c r="F79" i="48"/>
  <c r="X75" i="48"/>
  <c r="V75" i="48"/>
  <c r="U75" i="48"/>
  <c r="S75" i="48"/>
  <c r="R75" i="48"/>
  <c r="M75" i="48"/>
  <c r="L75" i="48"/>
  <c r="K75" i="48"/>
  <c r="J75" i="48"/>
  <c r="I75" i="48"/>
  <c r="H75" i="48"/>
  <c r="G75" i="48"/>
  <c r="F75" i="48"/>
  <c r="V74" i="48"/>
  <c r="U74" i="48"/>
  <c r="S74" i="48"/>
  <c r="R74" i="48"/>
  <c r="K74" i="48"/>
  <c r="J74" i="48"/>
  <c r="I74" i="48"/>
  <c r="H74" i="48"/>
  <c r="G74" i="48"/>
  <c r="F74" i="48"/>
  <c r="V73" i="48"/>
  <c r="U73" i="48"/>
  <c r="S73" i="48"/>
  <c r="R73" i="48"/>
  <c r="K73" i="48"/>
  <c r="J73" i="48"/>
  <c r="I73" i="48"/>
  <c r="H73" i="48"/>
  <c r="G73" i="48"/>
  <c r="F73" i="48"/>
</calcChain>
</file>

<file path=xl/sharedStrings.xml><?xml version="1.0" encoding="utf-8"?>
<sst xmlns="http://schemas.openxmlformats.org/spreadsheetml/2006/main" count="12591" uniqueCount="65">
  <si>
    <t>pbi</t>
  </si>
  <si>
    <t>1-pbi</t>
  </si>
  <si>
    <t>pbj</t>
  </si>
  <si>
    <t>1-pbj</t>
  </si>
  <si>
    <t>pbk</t>
  </si>
  <si>
    <t>1-pbk</t>
  </si>
  <si>
    <t>R0=0.1</t>
  </si>
  <si>
    <t>R0=0.3</t>
  </si>
  <si>
    <t>n1=0</t>
  </si>
  <si>
    <t>n1=1</t>
  </si>
  <si>
    <t>n1=2</t>
  </si>
  <si>
    <t>n1=3</t>
  </si>
  <si>
    <t>RLP</t>
  </si>
  <si>
    <t>8个全塑性</t>
  </si>
  <si>
    <t>7个塑，1个脆</t>
  </si>
  <si>
    <t>6个塑，2个脆</t>
  </si>
  <si>
    <t>5个塑，3个脆</t>
  </si>
  <si>
    <t>下界</t>
  </si>
  <si>
    <t>上界</t>
  </si>
  <si>
    <t>CPU计算时间</t>
  </si>
  <si>
    <t>K=1</t>
  </si>
  <si>
    <t>K=2</t>
  </si>
  <si>
    <t>K=3</t>
  </si>
  <si>
    <t>LP</t>
  </si>
  <si>
    <t>MC</t>
  </si>
  <si>
    <t>计算结果</t>
  </si>
  <si>
    <t>R0=0.5</t>
  </si>
  <si>
    <t>R0=0.7</t>
  </si>
  <si>
    <t>R0=0.9</t>
  </si>
  <si>
    <t>计算最终结果</t>
  </si>
  <si>
    <t xml:space="preserve">cpu计算时间 </t>
  </si>
  <si>
    <t>cpu计算时间</t>
  </si>
  <si>
    <t>Pbi=0.05</t>
  </si>
  <si>
    <t>k=1</t>
  </si>
  <si>
    <t>Pbi=0.1</t>
  </si>
  <si>
    <t>k=2</t>
  </si>
  <si>
    <t>k=3</t>
  </si>
  <si>
    <t>Pbi=0.2</t>
  </si>
  <si>
    <t>Pbi=0.3</t>
  </si>
  <si>
    <t>Pbj=0.05</t>
  </si>
  <si>
    <t>Pbj=0.1</t>
  </si>
  <si>
    <t>Pbj=0.2</t>
  </si>
  <si>
    <t>Pbj=0.3</t>
  </si>
  <si>
    <t>Pbk=0.05</t>
  </si>
  <si>
    <t>Pbk=0.1</t>
  </si>
  <si>
    <t>Pbk=0.2</t>
  </si>
  <si>
    <t>Pbk=0.3</t>
  </si>
  <si>
    <t>边界错误算不出</t>
  </si>
  <si>
    <t>单位</t>
  </si>
  <si>
    <t>10^-3</t>
  </si>
  <si>
    <t>7个全塑性</t>
  </si>
  <si>
    <t>6个塑，1个脆</t>
  </si>
  <si>
    <t>5个塑，2个脆</t>
  </si>
  <si>
    <t>4个塑，3个脆</t>
  </si>
  <si>
    <t>R0：构件间的相关系数</t>
    <phoneticPr fontId="3" type="noConversion"/>
  </si>
  <si>
    <t>Pbk:潜在脆性破坏构件k呈现脆性性能的发生概率</t>
    <phoneticPr fontId="3" type="noConversion"/>
  </si>
  <si>
    <t>Pbi:潜在脆性破坏构件i呈现脆性性能的发生概率</t>
    <phoneticPr fontId="3" type="noConversion"/>
  </si>
  <si>
    <t>1-Pbk:潜在脆性破坏构件k呈现塑性性能的发生概率</t>
    <phoneticPr fontId="3" type="noConversion"/>
  </si>
  <si>
    <t>1-Pbi:潜在脆性破坏构件i呈现塑性性能的发生概率</t>
    <phoneticPr fontId="3" type="noConversion"/>
  </si>
  <si>
    <t>n1：潜在脆性破坏构件个数</t>
    <phoneticPr fontId="3" type="noConversion"/>
  </si>
  <si>
    <t>Pbj:潜在脆性破坏构件j呈现脆性性能的发生概率</t>
    <phoneticPr fontId="3" type="noConversion"/>
  </si>
  <si>
    <t>RLP:松弛线性规划法</t>
    <phoneticPr fontId="3" type="noConversion"/>
  </si>
  <si>
    <t>1-Pbj:潜在脆性破坏构件j呈现塑性性能的发生概率</t>
    <phoneticPr fontId="3" type="noConversion"/>
  </si>
  <si>
    <t>LP:线性规划法</t>
    <phoneticPr fontId="3" type="noConversion"/>
  </si>
  <si>
    <t>MC：蒙特卡洛法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</si>
</sst>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1" fontId="0" fillId="0" borderId="0" xfId="0" applyNumberFormat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>
      <alignment vertical="center"/>
    </xf>
    <xf numFmtId="11" fontId="0" fillId="0" borderId="0" xfId="0" applyNumberFormat="1" applyFont="1">
      <alignment vertical="center"/>
    </xf>
    <xf numFmtId="0" fontId="1" fillId="0" borderId="0" xfId="0" applyFont="1">
      <alignment vertical="center"/>
    </xf>
    <xf numFmtId="11" fontId="2" fillId="0" borderId="0" xfId="0" applyNumberFormat="1" applyFont="1">
      <alignment vertical="center"/>
    </xf>
    <xf numFmtId="0" fontId="2" fillId="0" borderId="0" xfId="0" applyFont="1">
      <alignment vertical="center"/>
    </xf>
    <xf numFmtId="11" fontId="0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1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3"/>
  <sheetViews>
    <sheetView tabSelected="1"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15">
        <v>0.14000000000000001</v>
      </c>
      <c r="D13" s="15">
        <v>0.1477</v>
      </c>
      <c r="E13" s="16">
        <v>555.75169500000004</v>
      </c>
      <c r="F13" t="s">
        <v>22</v>
      </c>
      <c r="G13" s="15">
        <v>0.14180000000000001</v>
      </c>
      <c r="H13" s="15">
        <v>0.14979999999999999</v>
      </c>
      <c r="I13" s="16">
        <v>584.59574999999995</v>
      </c>
      <c r="J13" t="s">
        <v>22</v>
      </c>
      <c r="K13" s="16">
        <v>0.14360000000000001</v>
      </c>
      <c r="L13" s="16">
        <v>0.15190000000000001</v>
      </c>
      <c r="M13" s="16">
        <v>568.64067699999998</v>
      </c>
      <c r="N13" t="s">
        <v>22</v>
      </c>
      <c r="O13" s="16">
        <v>0.1454</v>
      </c>
      <c r="P13" s="16">
        <v>0.154</v>
      </c>
      <c r="Q13" s="16">
        <v>560.42192999999997</v>
      </c>
      <c r="S13" s="24"/>
      <c r="T13" t="s">
        <v>22</v>
      </c>
      <c r="U13" s="3">
        <v>7.5700000000000003E-2</v>
      </c>
      <c r="V13" s="3">
        <v>0.13089999999999999</v>
      </c>
      <c r="W13">
        <v>523.04551000000004</v>
      </c>
      <c r="X13" t="s">
        <v>22</v>
      </c>
      <c r="Y13" s="3">
        <v>7.6600000000000001E-2</v>
      </c>
      <c r="Z13" s="3">
        <v>0.1328</v>
      </c>
      <c r="AA13">
        <v>511.86675700000001</v>
      </c>
      <c r="AB13" t="s">
        <v>22</v>
      </c>
      <c r="AC13">
        <v>7.7499999999999999E-2</v>
      </c>
      <c r="AD13">
        <v>0.1346</v>
      </c>
      <c r="AE13">
        <v>513.52672099999995</v>
      </c>
      <c r="AF13" t="s">
        <v>22</v>
      </c>
      <c r="AG13">
        <v>7.8399999999999997E-2</v>
      </c>
      <c r="AH13">
        <v>0.13650000000000001</v>
      </c>
      <c r="AI13">
        <v>511.95315699999998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0.14810000000000001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20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0.14610000000000001</v>
      </c>
      <c r="C25" s="4"/>
      <c r="D25" s="4"/>
      <c r="E25">
        <v>45.503888000000003</v>
      </c>
      <c r="F25" s="3">
        <v>0.14810000000000001</v>
      </c>
      <c r="G25" s="4"/>
      <c r="H25" s="4"/>
      <c r="I25">
        <v>41.827235999999999</v>
      </c>
      <c r="J25" s="9">
        <v>0.14979999999999999</v>
      </c>
      <c r="K25" s="9"/>
      <c r="L25" s="9"/>
      <c r="M25">
        <v>39.123086999999998</v>
      </c>
      <c r="N25" s="9">
        <v>0.15210000000000001</v>
      </c>
      <c r="O25" s="9"/>
      <c r="P25" s="9"/>
      <c r="Q25">
        <v>39.614182</v>
      </c>
      <c r="S25" s="25"/>
      <c r="T25" s="4">
        <v>0.1123</v>
      </c>
      <c r="U25" s="4"/>
      <c r="V25" s="4"/>
      <c r="W25">
        <v>43.023896000000001</v>
      </c>
      <c r="X25" s="4">
        <v>0.11360000000000001</v>
      </c>
      <c r="Y25" s="4"/>
      <c r="Z25" s="4"/>
      <c r="AA25">
        <v>36.014589000000001</v>
      </c>
      <c r="AB25" s="9">
        <v>0.1152</v>
      </c>
      <c r="AC25" s="9"/>
      <c r="AD25" s="9"/>
      <c r="AE25">
        <v>36.152445999999998</v>
      </c>
      <c r="AF25" s="9">
        <v>0.1169</v>
      </c>
      <c r="AG25" s="9"/>
      <c r="AH25" s="9"/>
      <c r="AI25">
        <v>50.318823000000002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3.8199999999999998E-2</v>
      </c>
      <c r="D34" s="3">
        <v>0.1154</v>
      </c>
      <c r="E34">
        <v>449.87422099999998</v>
      </c>
      <c r="F34" t="s">
        <v>22</v>
      </c>
      <c r="G34" s="3">
        <v>3.8699999999999998E-2</v>
      </c>
      <c r="H34" s="3">
        <v>0.1171</v>
      </c>
      <c r="I34">
        <v>452.98038000000003</v>
      </c>
      <c r="J34" t="s">
        <v>22</v>
      </c>
      <c r="K34">
        <v>3.9199999999999999E-2</v>
      </c>
      <c r="L34">
        <v>0.1188</v>
      </c>
      <c r="M34">
        <v>445.29560900000001</v>
      </c>
      <c r="N34" t="s">
        <v>22</v>
      </c>
      <c r="O34">
        <v>3.9699999999999999E-2</v>
      </c>
      <c r="P34">
        <v>0.12039999999999999</v>
      </c>
      <c r="Q34">
        <v>443.94231500000001</v>
      </c>
      <c r="S34" s="24"/>
      <c r="T34" t="s">
        <v>22</v>
      </c>
      <c r="U34" s="3">
        <v>1.95E-2</v>
      </c>
      <c r="V34" s="3">
        <v>9.2799999999999994E-2</v>
      </c>
      <c r="W34">
        <v>355.05440599999997</v>
      </c>
      <c r="X34" t="s">
        <v>22</v>
      </c>
      <c r="Y34" s="3">
        <v>1.9699999999999999E-2</v>
      </c>
      <c r="Z34" s="3">
        <v>9.4200000000000006E-2</v>
      </c>
      <c r="AA34">
        <v>356.50967700000001</v>
      </c>
      <c r="AB34" t="s">
        <v>22</v>
      </c>
      <c r="AC34" s="3">
        <v>0.02</v>
      </c>
      <c r="AD34" s="3">
        <v>9.5600000000000004E-2</v>
      </c>
      <c r="AE34">
        <v>352.49278500000003</v>
      </c>
      <c r="AF34" t="s">
        <v>22</v>
      </c>
      <c r="AG34" s="3">
        <v>2.0299999999999999E-2</v>
      </c>
      <c r="AH34" s="3">
        <v>9.7000000000000003E-2</v>
      </c>
      <c r="AI34">
        <v>356.40983899999998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20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7.8299999999999995E-2</v>
      </c>
      <c r="C46" s="4"/>
      <c r="D46" s="4"/>
      <c r="E46">
        <v>36.229647999999997</v>
      </c>
      <c r="F46" s="4">
        <v>7.9399999999999998E-2</v>
      </c>
      <c r="G46" s="4"/>
      <c r="H46" s="4"/>
      <c r="I46">
        <v>35.382738000000003</v>
      </c>
      <c r="J46" s="9">
        <v>8.0299999999999996E-2</v>
      </c>
      <c r="K46" s="9"/>
      <c r="L46" s="9"/>
      <c r="M46">
        <v>35.968102999999999</v>
      </c>
      <c r="N46" s="9">
        <v>8.1199999999999994E-2</v>
      </c>
      <c r="O46" s="9"/>
      <c r="P46" s="9"/>
      <c r="Q46">
        <v>40.161268</v>
      </c>
      <c r="S46" s="25"/>
      <c r="T46" s="4">
        <v>4.6899999999999997E-2</v>
      </c>
      <c r="U46" s="4"/>
      <c r="V46" s="4"/>
      <c r="W46">
        <v>40.154536999999998</v>
      </c>
      <c r="X46" s="4">
        <v>4.7699999999999999E-2</v>
      </c>
      <c r="Y46" s="4"/>
      <c r="Z46" s="4"/>
      <c r="AA46">
        <v>39.108879000000002</v>
      </c>
      <c r="AB46" s="4">
        <v>4.8500000000000001E-2</v>
      </c>
      <c r="AC46" s="4"/>
      <c r="AD46" s="4"/>
      <c r="AE46">
        <v>43.573931999999999</v>
      </c>
      <c r="AF46" s="4">
        <v>4.9099999999999998E-2</v>
      </c>
      <c r="AG46" s="4"/>
      <c r="AH46" s="4"/>
      <c r="AI46">
        <v>43.114738000000003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9.1000000000000004E-3</v>
      </c>
      <c r="D54" s="3">
        <v>5.5100000000000003E-2</v>
      </c>
      <c r="E54">
        <v>239.096688</v>
      </c>
      <c r="F54" t="s">
        <v>22</v>
      </c>
      <c r="G54" s="3">
        <v>9.1999999999999998E-3</v>
      </c>
      <c r="H54" s="3">
        <v>5.6099999999999997E-2</v>
      </c>
      <c r="I54">
        <v>237.993078</v>
      </c>
      <c r="J54" t="s">
        <v>22</v>
      </c>
      <c r="K54" s="3">
        <v>9.4000000000000004E-3</v>
      </c>
      <c r="L54" s="3">
        <v>5.7099999999999998E-2</v>
      </c>
      <c r="M54">
        <v>253.640567</v>
      </c>
      <c r="N54" t="s">
        <v>22</v>
      </c>
      <c r="O54" s="3">
        <v>9.5999999999999992E-3</v>
      </c>
      <c r="P54" s="3">
        <v>5.8099999999999999E-2</v>
      </c>
      <c r="Q54">
        <v>240.04341600000001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1.9199999999999998E-2</v>
      </c>
      <c r="C66" s="4"/>
      <c r="D66" s="4"/>
      <c r="E66">
        <v>42.249198</v>
      </c>
      <c r="F66" s="4">
        <v>1.9599999999999999E-2</v>
      </c>
      <c r="G66" s="4"/>
      <c r="H66" s="4"/>
      <c r="I66">
        <v>38.856546000000002</v>
      </c>
      <c r="J66" s="4">
        <v>2.01E-2</v>
      </c>
      <c r="K66" s="4"/>
      <c r="L66" s="4"/>
      <c r="M66">
        <v>45.440244</v>
      </c>
      <c r="N66" s="4">
        <v>5.1999999999999998E-3</v>
      </c>
      <c r="O66" s="4"/>
      <c r="P66" s="4"/>
      <c r="Q66">
        <v>42.281579000000001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0.14009000000000002</v>
      </c>
      <c r="G75">
        <f t="shared" si="1"/>
        <v>0.14780499999999999</v>
      </c>
      <c r="H75">
        <f t="shared" si="2"/>
        <v>1140.3474449999999</v>
      </c>
      <c r="I75">
        <f t="shared" si="3"/>
        <v>1.2630000000000001E-2</v>
      </c>
      <c r="J75">
        <f t="shared" si="4"/>
        <v>5.5299999999999993E-3</v>
      </c>
      <c r="K75">
        <f t="shared" si="5"/>
        <v>2.2851509999999999</v>
      </c>
      <c r="L75">
        <f>0.05*F25+(1-0.05)*B25</f>
        <v>0.1462</v>
      </c>
      <c r="M75">
        <f>I25+E25</f>
        <v>87.331124000000003</v>
      </c>
      <c r="P75" s="23"/>
      <c r="Q75" t="s">
        <v>36</v>
      </c>
      <c r="R75">
        <f t="shared" si="6"/>
        <v>0.14018000000000003</v>
      </c>
      <c r="S75">
        <f t="shared" si="7"/>
        <v>0.14790999999999999</v>
      </c>
      <c r="U75">
        <f t="shared" si="8"/>
        <v>1.976E-2</v>
      </c>
      <c r="V75">
        <f t="shared" si="9"/>
        <v>5.5599999999999998E-3</v>
      </c>
      <c r="X75">
        <f>0.1*F25+(1-0.1)*B25</f>
        <v>0.14630000000000001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23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23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24"/>
      <c r="D81" s="23"/>
      <c r="E81" t="s">
        <v>36</v>
      </c>
      <c r="F81">
        <f t="shared" si="10"/>
        <v>0.14036000000000001</v>
      </c>
      <c r="G81">
        <f>0.2*H13+(1-0.2)*D13</f>
        <v>0.14812</v>
      </c>
      <c r="I81">
        <f t="shared" si="11"/>
        <v>3.4020000000000002E-2</v>
      </c>
      <c r="J81">
        <f t="shared" si="12"/>
        <v>5.62E-3</v>
      </c>
      <c r="L81">
        <f>0.2*F25+(1-0.2)*B25</f>
        <v>0.14650000000000002</v>
      </c>
      <c r="P81" s="23"/>
      <c r="Q81" t="s">
        <v>36</v>
      </c>
      <c r="R81">
        <f t="shared" si="13"/>
        <v>0.14054</v>
      </c>
      <c r="S81">
        <f t="shared" si="14"/>
        <v>0.14832999999999999</v>
      </c>
      <c r="U81">
        <f t="shared" si="15"/>
        <v>4.8280000000000003E-2</v>
      </c>
      <c r="V81">
        <f t="shared" si="16"/>
        <v>5.6799999999999993E-3</v>
      </c>
      <c r="X81">
        <f>0.3*F25+(1-0.3)*B25</f>
        <v>0.1467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2" t="s">
        <v>40</v>
      </c>
      <c r="P86" s="23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2"/>
      <c r="P87" s="23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24"/>
      <c r="C88" s="22"/>
      <c r="D88" s="23"/>
      <c r="E88" t="s">
        <v>36</v>
      </c>
      <c r="F88">
        <f t="shared" si="17"/>
        <v>0.14018000000000003</v>
      </c>
      <c r="G88">
        <f t="shared" si="18"/>
        <v>0.14791000000000001</v>
      </c>
      <c r="H88">
        <f t="shared" si="19"/>
        <v>1708.9881219999997</v>
      </c>
      <c r="I88">
        <f t="shared" si="20"/>
        <v>1.9050250000000001E-2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0.14629925000000002</v>
      </c>
      <c r="M88">
        <f>M25+I25+E25</f>
        <v>126.454211</v>
      </c>
      <c r="O88" s="22"/>
      <c r="P88" s="23"/>
      <c r="Q88" t="s">
        <v>36</v>
      </c>
      <c r="R88">
        <f t="shared" si="23"/>
        <v>0.14036000000000001</v>
      </c>
      <c r="S88">
        <f t="shared" si="24"/>
        <v>0.14812</v>
      </c>
      <c r="U88">
        <f t="shared" si="25"/>
        <v>3.1181000000000004E-2</v>
      </c>
      <c r="V88">
        <f t="shared" si="26"/>
        <v>5.6210000000000001E-3</v>
      </c>
      <c r="X88">
        <f>(0.1*0.9+0.1*0.9)*F25+0.1*0.1*J25+(1-0.1*0.9-0.1*0.9-0.1*0.1)*B25</f>
        <v>0.14649700000000002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2"/>
      <c r="P93" s="23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24"/>
      <c r="C94" s="22"/>
      <c r="D94" s="23"/>
      <c r="E94" t="s">
        <v>36</v>
      </c>
      <c r="F94">
        <f t="shared" si="27"/>
        <v>0.14072000000000001</v>
      </c>
      <c r="G94">
        <f t="shared" si="28"/>
        <v>0.14854000000000001</v>
      </c>
      <c r="I94">
        <f t="shared" si="29"/>
        <v>5.1184000000000014E-2</v>
      </c>
      <c r="J94">
        <f t="shared" si="30"/>
        <v>5.744E-3</v>
      </c>
      <c r="L94">
        <f>(0.2*0.8+0.2*0.8)*F25+0.2*0.2*J25+(1-0.2*0.8-0.2*0.8-0.2*0.2)*B25</f>
        <v>0.14688800000000002</v>
      </c>
      <c r="O94" s="22"/>
      <c r="P94" s="23"/>
      <c r="Q94" t="s">
        <v>36</v>
      </c>
      <c r="R94">
        <f t="shared" si="31"/>
        <v>0.14108000000000004</v>
      </c>
      <c r="S94">
        <f t="shared" si="32"/>
        <v>0.14896000000000004</v>
      </c>
      <c r="U94">
        <f t="shared" si="33"/>
        <v>6.5508999999999998E-2</v>
      </c>
      <c r="V94">
        <f t="shared" si="34"/>
        <v>5.8690000000000001E-3</v>
      </c>
      <c r="X94">
        <f>(0.3*0.7+0.3*0.7)*F25+0.3*0.3*J25+(1-0.3*0.7-0.3*0.7-0.3*0.3)*B25</f>
        <v>0.14727300000000002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6"/>
      <c r="O100" s="22"/>
      <c r="P100" s="23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5"/>
        <v>0.14027000000000001</v>
      </c>
      <c r="G101">
        <f t="shared" si="36"/>
        <v>0.14801499999999995</v>
      </c>
      <c r="H101">
        <f>Q13+M13+I11+E13</f>
        <v>1684.8143019999998</v>
      </c>
      <c r="I101">
        <f t="shared" si="37"/>
        <v>2.4813974999999999E-2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0.1463978625</v>
      </c>
      <c r="M101">
        <f>Q25+M25+I25+E25</f>
        <v>166.06839300000001</v>
      </c>
      <c r="N101" s="26"/>
      <c r="O101" s="22"/>
      <c r="P101" s="23"/>
      <c r="Q101" t="s">
        <v>36</v>
      </c>
      <c r="R101">
        <f t="shared" si="40"/>
        <v>0.14054</v>
      </c>
      <c r="S101">
        <f t="shared" si="41"/>
        <v>0.14832999999999999</v>
      </c>
      <c r="U101">
        <f t="shared" si="42"/>
        <v>4.0188800000000011E-2</v>
      </c>
      <c r="V101">
        <f t="shared" si="43"/>
        <v>5.6828E-3</v>
      </c>
      <c r="X101">
        <f>3*0.1*(1-0.1)*(1-0.1)*F25+3*0.1*0.1*(1-0.1)*J25+0.1*0.1*0.1*N25+(1-3*0.1*(1-0.1)*(1-0.1)-3*0.1*0.1*(1-0.1)-0.1*0.1*0.1)*B25</f>
        <v>0.14669190000000001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6"/>
      <c r="O106" s="22"/>
      <c r="P106" s="23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4"/>
        <v>0.14108000000000001</v>
      </c>
      <c r="G107">
        <f t="shared" si="45"/>
        <v>0.14895999999999998</v>
      </c>
      <c r="I107">
        <f t="shared" si="46"/>
        <v>6.0398400000000026E-2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0.14727119999999999</v>
      </c>
      <c r="N107" s="26"/>
      <c r="O107" s="22"/>
      <c r="P107" s="23"/>
      <c r="Q107" t="s">
        <v>36</v>
      </c>
      <c r="R107">
        <f t="shared" si="48"/>
        <v>0.14162000000000002</v>
      </c>
      <c r="S107">
        <f t="shared" si="49"/>
        <v>0.14959</v>
      </c>
      <c r="U107">
        <f t="shared" si="50"/>
        <v>6.8683599999999984E-2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0.14784330000000001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23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24"/>
      <c r="D113" s="23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23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24"/>
      <c r="D114" s="23"/>
      <c r="E114" t="s">
        <v>36</v>
      </c>
      <c r="F114">
        <f t="shared" si="52"/>
        <v>7.5745000000000007E-2</v>
      </c>
      <c r="G114">
        <f t="shared" si="53"/>
        <v>0.13099499999999997</v>
      </c>
      <c r="H114">
        <f t="shared" si="54"/>
        <v>1034.9122670000002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0.11236499999999999</v>
      </c>
      <c r="M114">
        <f>AA25+W25</f>
        <v>79.038485000000009</v>
      </c>
      <c r="P114" s="23"/>
      <c r="Q114" t="s">
        <v>36</v>
      </c>
      <c r="R114">
        <f t="shared" si="58"/>
        <v>7.579000000000001E-2</v>
      </c>
      <c r="S114">
        <f t="shared" si="58"/>
        <v>0.13108999999999998</v>
      </c>
      <c r="U114">
        <f t="shared" si="59"/>
        <v>5.3600000000000002E-3</v>
      </c>
      <c r="V114">
        <f t="shared" si="60"/>
        <v>5.3600000000000002E-3</v>
      </c>
      <c r="X114">
        <f>0.1*X25+(1-0.1)*T25</f>
        <v>0.11243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23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24"/>
      <c r="D119" s="23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23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24"/>
      <c r="D120" s="23"/>
      <c r="E120" t="s">
        <v>36</v>
      </c>
      <c r="F120">
        <f t="shared" si="61"/>
        <v>7.5880000000000003E-2</v>
      </c>
      <c r="G120">
        <f t="shared" si="62"/>
        <v>0.13128000000000001</v>
      </c>
      <c r="I120">
        <f t="shared" si="63"/>
        <v>5.4199999999999995E-3</v>
      </c>
      <c r="J120">
        <f t="shared" si="64"/>
        <v>5.4199999999999995E-3</v>
      </c>
      <c r="L120">
        <f>0.2*X25+(1-0.2)*T25</f>
        <v>0.11256000000000001</v>
      </c>
      <c r="P120" s="23"/>
      <c r="Q120" t="s">
        <v>36</v>
      </c>
      <c r="R120">
        <f t="shared" si="65"/>
        <v>7.597000000000001E-2</v>
      </c>
      <c r="S120">
        <f t="shared" si="65"/>
        <v>0.13146999999999998</v>
      </c>
      <c r="U120">
        <f t="shared" si="66"/>
        <v>5.4799999999999996E-3</v>
      </c>
      <c r="V120">
        <f t="shared" si="67"/>
        <v>5.4799999999999996E-3</v>
      </c>
      <c r="X120">
        <f>0.3*X25+(1-0.3)*T25</f>
        <v>0.11269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2"/>
      <c r="P126" s="23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24"/>
      <c r="C127" s="22"/>
      <c r="D127" s="23"/>
      <c r="E127" t="s">
        <v>36</v>
      </c>
      <c r="F127">
        <f t="shared" si="68"/>
        <v>7.579000000000001E-2</v>
      </c>
      <c r="G127">
        <f t="shared" si="69"/>
        <v>0.13108975</v>
      </c>
      <c r="H127">
        <f t="shared" si="70"/>
        <v>1548.4389879999999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0.11243075000000001</v>
      </c>
      <c r="M127">
        <f>AE25+AA25+W25</f>
        <v>115.19093100000001</v>
      </c>
      <c r="O127" s="22"/>
      <c r="P127" s="23"/>
      <c r="Q127" t="s">
        <v>36</v>
      </c>
      <c r="R127">
        <f t="shared" si="74"/>
        <v>7.5880000000000003E-2</v>
      </c>
      <c r="S127">
        <f t="shared" si="75"/>
        <v>0.13127900000000001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0.11256300000000001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2"/>
      <c r="P132" s="23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24"/>
      <c r="C133" s="22"/>
      <c r="D133" s="23"/>
      <c r="E133" t="s">
        <v>36</v>
      </c>
      <c r="F133">
        <f t="shared" si="78"/>
        <v>7.6060000000000003E-2</v>
      </c>
      <c r="G133">
        <f t="shared" si="79"/>
        <v>0.131656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0.112832</v>
      </c>
      <c r="O133" s="22"/>
      <c r="P133" s="23"/>
      <c r="Q133" t="s">
        <v>36</v>
      </c>
      <c r="R133">
        <f t="shared" si="82"/>
        <v>7.6240000000000002E-2</v>
      </c>
      <c r="S133">
        <f t="shared" si="83"/>
        <v>0.13203100000000001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0.11310700000000001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6"/>
      <c r="O139" s="22"/>
      <c r="P139" s="23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6.6263987499999996E-2</v>
      </c>
      <c r="G140">
        <f>3*0.05*(1-0.05)*(1-0.05)*Z20+3*0.05*0.05*(1-0.05)*AD13+0.05*0.05*0.05*AH13+(1-3*0.05*(1-0.05)*(1-0.05)-3*0.05*0.05*(1-0.05)-0.05*0.05*0.05)*V13</f>
        <v>0.11400518749999998</v>
      </c>
      <c r="H140">
        <f>AI13+AE13+AA20+W13</f>
        <v>1549.6484569999998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0.11249722499999998</v>
      </c>
      <c r="M140">
        <f>AI25+AE25+AA25+W25</f>
        <v>165.50975400000002</v>
      </c>
      <c r="N140" s="26"/>
      <c r="O140" s="22"/>
      <c r="P140" s="23"/>
      <c r="Q140" t="s">
        <v>36</v>
      </c>
      <c r="R140">
        <f t="shared" si="89"/>
        <v>7.5969999999999996E-2</v>
      </c>
      <c r="S140">
        <f t="shared" si="90"/>
        <v>0.13146719999999998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0.11269879999999999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6"/>
      <c r="O145" s="22"/>
      <c r="P145" s="23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4.9091199999999988E-2</v>
      </c>
      <c r="G146">
        <f>3*0.2*(1-0.2)*(1-0.2)*Z20+3*0.2*0.2*(1-0.2)*AD13+0.2*0.2*0.2*AH13+(1-3*0.2*(1-0.2)*(1-0.2)-3*0.2*0.2*(1-0.2)-0.2*0.2*0.2)*V13</f>
        <v>8.3299999999999971E-2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0.1131144</v>
      </c>
      <c r="N146" s="26"/>
      <c r="O146" s="22"/>
      <c r="P146" s="23"/>
      <c r="Q146" t="s">
        <v>36</v>
      </c>
      <c r="R146">
        <f t="shared" si="95"/>
        <v>7.6510000000000009E-2</v>
      </c>
      <c r="S146">
        <f t="shared" si="96"/>
        <v>0.1325884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0.11354560000000001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23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24"/>
      <c r="D152" s="23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23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24"/>
      <c r="D153" s="23"/>
      <c r="E153" t="s">
        <v>36</v>
      </c>
      <c r="F153">
        <f t="shared" si="99"/>
        <v>3.8224999999999995E-2</v>
      </c>
      <c r="G153">
        <f t="shared" si="100"/>
        <v>0.11548499999999999</v>
      </c>
      <c r="H153">
        <f t="shared" si="101"/>
        <v>902.854601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7.8354999999999994E-2</v>
      </c>
      <c r="M153">
        <f>I46+E46</f>
        <v>71.612386000000001</v>
      </c>
      <c r="P153" s="23"/>
      <c r="Q153" t="s">
        <v>36</v>
      </c>
      <c r="R153">
        <f t="shared" si="105"/>
        <v>3.8249999999999999E-2</v>
      </c>
      <c r="S153">
        <f t="shared" si="106"/>
        <v>0.11557000000000001</v>
      </c>
      <c r="U153">
        <f t="shared" si="107"/>
        <v>4.7600000000000003E-3</v>
      </c>
      <c r="V153">
        <f t="shared" si="108"/>
        <v>4.96E-3</v>
      </c>
      <c r="X153">
        <f>0.1*F46+(1-0.1)*B46</f>
        <v>7.8409999999999994E-2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23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24"/>
      <c r="D158" s="23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23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24"/>
      <c r="D159" s="23"/>
      <c r="E159" t="s">
        <v>36</v>
      </c>
      <c r="F159">
        <f t="shared" si="109"/>
        <v>3.8300000000000001E-2</v>
      </c>
      <c r="G159">
        <f t="shared" si="110"/>
        <v>0.11574000000000001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7.8520000000000006E-2</v>
      </c>
      <c r="P159" s="23"/>
      <c r="Q159" t="s">
        <v>36</v>
      </c>
      <c r="R159">
        <f t="shared" si="113"/>
        <v>3.8349999999999995E-2</v>
      </c>
      <c r="S159">
        <f t="shared" si="114"/>
        <v>0.11590999999999999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7.8629999999999992E-2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2"/>
      <c r="P165" s="23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24"/>
      <c r="C166" s="22"/>
      <c r="D166" s="23"/>
      <c r="E166" t="s">
        <v>36</v>
      </c>
      <c r="F166">
        <f t="shared" si="117"/>
        <v>3.8249999999999999E-2</v>
      </c>
      <c r="G166">
        <f t="shared" si="118"/>
        <v>0.11557000000000001</v>
      </c>
      <c r="H166">
        <f t="shared" si="119"/>
        <v>1348.15021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7.8409499999999993E-2</v>
      </c>
      <c r="M166">
        <f>M46+I46+E46</f>
        <v>107.580489</v>
      </c>
      <c r="O166" s="22"/>
      <c r="P166" s="23"/>
      <c r="Q166" t="s">
        <v>36</v>
      </c>
      <c r="R166">
        <f t="shared" si="123"/>
        <v>3.8300000000000001E-2</v>
      </c>
      <c r="S166">
        <f t="shared" si="124"/>
        <v>0.11574000000000001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7.8517999999999991E-2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2"/>
      <c r="P171" s="23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24"/>
      <c r="C172" s="22"/>
      <c r="D172" s="23"/>
      <c r="E172" t="s">
        <v>36</v>
      </c>
      <c r="F172">
        <f t="shared" si="127"/>
        <v>3.8399999999999997E-2</v>
      </c>
      <c r="G172">
        <f t="shared" si="128"/>
        <v>0.11607999999999999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7.8731999999999996E-2</v>
      </c>
      <c r="O172" s="22"/>
      <c r="P172" s="23"/>
      <c r="Q172" t="s">
        <v>36</v>
      </c>
      <c r="R172">
        <f t="shared" si="131"/>
        <v>3.85E-2</v>
      </c>
      <c r="S172">
        <f t="shared" si="132"/>
        <v>0.11642000000000001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7.8941999999999998E-2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6"/>
      <c r="O178" s="22"/>
      <c r="P178" s="23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5"/>
        <v>3.8274999999999997E-2</v>
      </c>
      <c r="G179">
        <f t="shared" si="136"/>
        <v>0.11565498749999999</v>
      </c>
      <c r="H179">
        <f t="shared" si="137"/>
        <v>1792.092525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7.8463524999999992E-2</v>
      </c>
      <c r="M179">
        <f>Q46+M46+I46+E46</f>
        <v>147.74175700000001</v>
      </c>
      <c r="N179" s="26"/>
      <c r="O179" s="22"/>
      <c r="P179" s="23"/>
      <c r="Q179" t="s">
        <v>36</v>
      </c>
      <c r="R179">
        <f t="shared" si="141"/>
        <v>3.8349999999999995E-2</v>
      </c>
      <c r="S179">
        <f t="shared" si="142"/>
        <v>0.11590989999999998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7.8624199999999991E-2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6"/>
      <c r="O184" s="22"/>
      <c r="P184" s="23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5"/>
        <v>3.8499999999999993E-2</v>
      </c>
      <c r="G185">
        <f t="shared" si="146"/>
        <v>0.11641919999999999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7.8937599999999997E-2</v>
      </c>
      <c r="N185" s="26"/>
      <c r="O185" s="22"/>
      <c r="P185" s="23"/>
      <c r="Q185" t="s">
        <v>36</v>
      </c>
      <c r="R185">
        <f t="shared" si="149"/>
        <v>3.8649999999999997E-2</v>
      </c>
      <c r="S185">
        <f t="shared" si="150"/>
        <v>0.11692730000000001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7.9241400000000004E-2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23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24"/>
      <c r="D191" s="23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23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24"/>
      <c r="D192" s="23"/>
      <c r="E192" t="s">
        <v>36</v>
      </c>
      <c r="F192">
        <f t="shared" si="153"/>
        <v>1.951E-2</v>
      </c>
      <c r="G192">
        <f t="shared" si="154"/>
        <v>9.2869999999999994E-2</v>
      </c>
      <c r="H192">
        <f t="shared" si="155"/>
        <v>711.56408299999998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4.6939999999999996E-2</v>
      </c>
      <c r="M192">
        <f>AA46+W46</f>
        <v>79.263416000000007</v>
      </c>
      <c r="P192" s="23"/>
      <c r="Q192" t="s">
        <v>36</v>
      </c>
      <c r="R192">
        <f t="shared" si="159"/>
        <v>1.9519999999999999E-2</v>
      </c>
      <c r="S192">
        <f t="shared" si="160"/>
        <v>9.2939999999999995E-2</v>
      </c>
      <c r="U192">
        <f t="shared" si="161"/>
        <v>3.46E-3</v>
      </c>
      <c r="V192">
        <f t="shared" si="162"/>
        <v>4.1500000000000009E-3</v>
      </c>
      <c r="X192">
        <f>0.1*X46+(1-0.1)*T46</f>
        <v>4.6979999999999994E-2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23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24"/>
      <c r="D197" s="23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23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24"/>
      <c r="D198" s="23"/>
      <c r="E198" t="s">
        <v>36</v>
      </c>
      <c r="F198">
        <f t="shared" si="163"/>
        <v>1.9540000000000002E-2</v>
      </c>
      <c r="G198">
        <f t="shared" si="164"/>
        <v>9.3079999999999996E-2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4.7059999999999998E-2</v>
      </c>
      <c r="P198" s="23"/>
      <c r="Q198" t="s">
        <v>36</v>
      </c>
      <c r="R198">
        <f t="shared" si="167"/>
        <v>1.9559999999999998E-2</v>
      </c>
      <c r="S198">
        <f t="shared" si="168"/>
        <v>9.3219999999999997E-2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4.7140000000000001E-2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2"/>
      <c r="P204" s="23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24"/>
      <c r="C205" s="22"/>
      <c r="D205" s="23"/>
      <c r="E205" t="s">
        <v>36</v>
      </c>
      <c r="F205">
        <f t="shared" si="171"/>
        <v>1.9520249999999999E-2</v>
      </c>
      <c r="G205">
        <f t="shared" si="172"/>
        <v>9.2940000000000009E-2</v>
      </c>
      <c r="H205">
        <f t="shared" si="173"/>
        <v>1064.0568680000001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4.6980000000000001E-2</v>
      </c>
      <c r="M205">
        <f>AE46+AA46+W46</f>
        <v>122.83734799999999</v>
      </c>
      <c r="O205" s="22"/>
      <c r="P205" s="23"/>
      <c r="Q205" t="s">
        <v>36</v>
      </c>
      <c r="R205">
        <f t="shared" si="177"/>
        <v>1.9540999999999999E-2</v>
      </c>
      <c r="S205">
        <f t="shared" si="178"/>
        <v>9.3079999999999996E-2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4.7060000000000005E-2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2"/>
      <c r="P210" s="23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24"/>
      <c r="C211" s="22"/>
      <c r="D211" s="23"/>
      <c r="E211" t="s">
        <v>36</v>
      </c>
      <c r="F211">
        <f t="shared" si="181"/>
        <v>1.9583999999999997E-2</v>
      </c>
      <c r="G211">
        <f t="shared" si="182"/>
        <v>9.3359999999999999E-2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4.7219999999999998E-2</v>
      </c>
      <c r="O211" s="22"/>
      <c r="P211" s="23"/>
      <c r="Q211" t="s">
        <v>36</v>
      </c>
      <c r="R211">
        <f t="shared" si="185"/>
        <v>1.9629000000000001E-2</v>
      </c>
      <c r="S211">
        <f t="shared" si="186"/>
        <v>9.3640000000000001E-2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4.7380000000000005E-2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6"/>
      <c r="O217" s="22"/>
      <c r="P217" s="23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89"/>
        <v>1.9530737499999999E-2</v>
      </c>
      <c r="G218">
        <f t="shared" si="190"/>
        <v>9.3009999999999982E-2</v>
      </c>
      <c r="H218">
        <f t="shared" si="191"/>
        <v>1420.466707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4.7019974999999992E-2</v>
      </c>
      <c r="M218">
        <f>AI46+AE46+AA46+W46</f>
        <v>165.95208600000001</v>
      </c>
      <c r="N218" s="26"/>
      <c r="O218" s="22"/>
      <c r="P218" s="23"/>
      <c r="Q218" t="s">
        <v>36</v>
      </c>
      <c r="R218">
        <f t="shared" si="195"/>
        <v>1.9562899999999998E-2</v>
      </c>
      <c r="S218">
        <f t="shared" si="196"/>
        <v>9.3219999999999997E-2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4.7139799999999996E-2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6"/>
      <c r="O223" s="22"/>
      <c r="P223" s="23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199"/>
        <v>1.9631199999999998E-2</v>
      </c>
      <c r="G224">
        <f t="shared" si="200"/>
        <v>9.3639999999999987E-2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4.7378399999999994E-2</v>
      </c>
      <c r="N224" s="26"/>
      <c r="O224" s="22"/>
      <c r="P224" s="23"/>
      <c r="Q224" t="s">
        <v>36</v>
      </c>
      <c r="R224">
        <f t="shared" si="203"/>
        <v>1.9704300000000001E-2</v>
      </c>
      <c r="S224">
        <f t="shared" si="204"/>
        <v>9.4060000000000005E-2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4.76146E-2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23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24"/>
      <c r="D230" s="23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23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24"/>
      <c r="D231" s="23"/>
      <c r="E231" t="s">
        <v>36</v>
      </c>
      <c r="F231">
        <f t="shared" si="207"/>
        <v>9.1050000000000002E-3</v>
      </c>
      <c r="G231">
        <f t="shared" si="208"/>
        <v>5.5150000000000005E-2</v>
      </c>
      <c r="H231">
        <f t="shared" si="209"/>
        <v>477.089766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1.9220000000000001E-2</v>
      </c>
      <c r="M231">
        <f>I66+E66</f>
        <v>81.105744000000001</v>
      </c>
      <c r="P231" s="23"/>
      <c r="Q231" t="s">
        <v>36</v>
      </c>
      <c r="R231">
        <f>0.1*G54+(1-0.1)*C54</f>
        <v>9.1100000000000018E-3</v>
      </c>
      <c r="S231">
        <f t="shared" si="213"/>
        <v>5.5199999999999999E-2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1.924E-2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23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24"/>
      <c r="D236" s="23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23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24"/>
      <c r="D237" s="23"/>
      <c r="E237" t="s">
        <v>36</v>
      </c>
      <c r="F237">
        <f t="shared" si="216"/>
        <v>9.1200000000000014E-3</v>
      </c>
      <c r="G237">
        <f t="shared" si="217"/>
        <v>5.5300000000000009E-2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1.9279999999999999E-2</v>
      </c>
      <c r="P237" s="23"/>
      <c r="Q237" t="s">
        <v>36</v>
      </c>
      <c r="R237">
        <f>0.3*G54+(1-0.3)*C54</f>
        <v>9.1299999999999992E-3</v>
      </c>
      <c r="S237">
        <f t="shared" si="220"/>
        <v>5.5399999999999998E-2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1.9319999999999997E-2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2"/>
      <c r="P243" s="23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24"/>
      <c r="C244" s="22"/>
      <c r="D244" s="23"/>
      <c r="E244" t="s">
        <v>36</v>
      </c>
      <c r="F244">
        <f t="shared" si="223"/>
        <v>9.110250000000002E-3</v>
      </c>
      <c r="G244">
        <f t="shared" si="224"/>
        <v>5.5200000000000006E-2</v>
      </c>
      <c r="H244">
        <f t="shared" si="225"/>
        <v>730.73033299999997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1.924025E-2</v>
      </c>
      <c r="M244">
        <f>M66+I66+E66</f>
        <v>126.54598799999999</v>
      </c>
      <c r="O244" s="22"/>
      <c r="P244" s="23"/>
      <c r="Q244" t="s">
        <v>36</v>
      </c>
      <c r="R244">
        <f t="shared" si="229"/>
        <v>9.1210000000000006E-3</v>
      </c>
      <c r="S244">
        <f t="shared" si="230"/>
        <v>5.5300000000000002E-2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1.9281E-2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2"/>
      <c r="P249" s="23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24"/>
      <c r="C250" s="22"/>
      <c r="D250" s="23"/>
      <c r="E250" t="s">
        <v>36</v>
      </c>
      <c r="F250">
        <f>(0.2*0.8+0.2*0.8)*G54+0.2*0.2*K54+(1-0.2*0.8-0.2*0.8-0.2*0.2)*C54</f>
        <v>9.1439999999999994E-3</v>
      </c>
      <c r="G250">
        <f t="shared" si="233"/>
        <v>5.5500000000000001E-2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1.9363999999999999E-2</v>
      </c>
      <c r="O250" s="22"/>
      <c r="P250" s="23"/>
      <c r="Q250" t="s">
        <v>36</v>
      </c>
      <c r="R250">
        <f t="shared" si="236"/>
        <v>9.1690000000000001E-3</v>
      </c>
      <c r="S250">
        <f t="shared" si="237"/>
        <v>5.57E-2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1.9449000000000001E-2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6"/>
      <c r="O256" s="22"/>
      <c r="P256" s="23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0"/>
        <v>9.1157375000000002E-3</v>
      </c>
      <c r="G257">
        <f t="shared" si="241"/>
        <v>5.5249999999999994E-2</v>
      </c>
      <c r="H257">
        <f t="shared" si="242"/>
        <v>970.77374899999995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1.9258812499999996E-2</v>
      </c>
      <c r="M257">
        <f>Q66+M66+I66+E66</f>
        <v>168.82756700000002</v>
      </c>
      <c r="N257" s="26"/>
      <c r="O257" s="22"/>
      <c r="P257" s="23"/>
      <c r="Q257" t="s">
        <v>36</v>
      </c>
      <c r="R257">
        <f t="shared" si="246"/>
        <v>9.1328999999999994E-3</v>
      </c>
      <c r="S257">
        <f t="shared" si="247"/>
        <v>5.5399999999999998E-2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1.9307499999999998E-2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6"/>
      <c r="O262" s="22"/>
      <c r="P262" s="23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0"/>
        <v>9.1711999999999991E-3</v>
      </c>
      <c r="G263">
        <f t="shared" si="251"/>
        <v>5.57E-2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1.9327999999999998E-2</v>
      </c>
      <c r="N263" s="26"/>
      <c r="O263" s="22"/>
      <c r="P263" s="23"/>
      <c r="Q263" t="s">
        <v>36</v>
      </c>
      <c r="R263">
        <f t="shared" si="254"/>
        <v>9.2142999999999999E-3</v>
      </c>
      <c r="S263">
        <f t="shared" si="255"/>
        <v>5.6000000000000008E-2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1.9168500000000002E-2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15">
        <v>0.13350000000000001</v>
      </c>
      <c r="D13" s="15">
        <v>0.1399</v>
      </c>
      <c r="E13" s="16">
        <v>363.918049</v>
      </c>
      <c r="F13" t="s">
        <v>22</v>
      </c>
      <c r="G13" s="15">
        <v>0.13539999999999999</v>
      </c>
      <c r="H13" s="15">
        <v>0.14199999999999999</v>
      </c>
      <c r="I13" s="16">
        <v>396.41035699999998</v>
      </c>
      <c r="J13" t="s">
        <v>22</v>
      </c>
      <c r="K13" s="16">
        <v>0.13719999999999999</v>
      </c>
      <c r="L13" s="16">
        <v>0.14410000000000001</v>
      </c>
      <c r="M13" s="16">
        <v>395.39268399999997</v>
      </c>
      <c r="N13" t="s">
        <v>22</v>
      </c>
      <c r="O13" s="16">
        <v>0.1391</v>
      </c>
      <c r="P13" s="16">
        <v>0.1462</v>
      </c>
      <c r="Q13" s="16">
        <v>395.31359700000002</v>
      </c>
      <c r="S13" s="24"/>
      <c r="T13" t="s">
        <v>22</v>
      </c>
      <c r="U13" s="3">
        <v>7.3499999999999996E-2</v>
      </c>
      <c r="V13" s="3">
        <v>0.1237</v>
      </c>
      <c r="W13">
        <v>331.715281</v>
      </c>
      <c r="X13" t="s">
        <v>22</v>
      </c>
      <c r="Y13" s="3">
        <v>7.4499999999999997E-2</v>
      </c>
      <c r="Z13" s="3">
        <v>0.12559999999999999</v>
      </c>
      <c r="AA13">
        <v>328.77419700000002</v>
      </c>
      <c r="AB13" t="s">
        <v>22</v>
      </c>
      <c r="AC13">
        <v>7.5399999999999995E-2</v>
      </c>
      <c r="AD13">
        <v>0.1275</v>
      </c>
      <c r="AE13">
        <v>325.61027899999999</v>
      </c>
      <c r="AF13" t="s">
        <v>22</v>
      </c>
      <c r="AG13">
        <v>7.6399999999999996E-2</v>
      </c>
      <c r="AH13">
        <v>0.12939999999999999</v>
      </c>
      <c r="AI13">
        <v>328.43281200000001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0.14810000000000001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20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0.1384</v>
      </c>
      <c r="C25" s="4"/>
      <c r="D25" s="4"/>
      <c r="E25">
        <v>37.321207000000001</v>
      </c>
      <c r="F25" s="3">
        <v>0.1404</v>
      </c>
      <c r="G25" s="4"/>
      <c r="H25" s="4"/>
      <c r="I25">
        <v>32.445160000000001</v>
      </c>
      <c r="J25" s="9">
        <v>0.1426</v>
      </c>
      <c r="K25" s="9"/>
      <c r="L25" s="9"/>
      <c r="M25">
        <v>29.759311</v>
      </c>
      <c r="N25" s="9">
        <v>0.14480000000000001</v>
      </c>
      <c r="O25" s="9"/>
      <c r="P25" s="9"/>
      <c r="Q25">
        <v>55.473362000000002</v>
      </c>
      <c r="S25" s="25"/>
      <c r="T25" s="4">
        <v>0.1075</v>
      </c>
      <c r="U25" s="4"/>
      <c r="V25" s="4"/>
      <c r="W25">
        <v>36.158113</v>
      </c>
      <c r="X25" s="4">
        <v>0.1089</v>
      </c>
      <c r="Y25" s="4"/>
      <c r="Z25" s="4"/>
      <c r="AA25">
        <v>36.710903000000002</v>
      </c>
      <c r="AB25" s="9">
        <v>0.1105</v>
      </c>
      <c r="AC25" s="9"/>
      <c r="AD25" s="9"/>
      <c r="AE25">
        <v>36.376761999999999</v>
      </c>
      <c r="AF25" s="9">
        <v>0.1119</v>
      </c>
      <c r="AG25" s="9"/>
      <c r="AH25" s="9"/>
      <c r="AI25">
        <v>27.084921999999999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3.7699999999999997E-2</v>
      </c>
      <c r="D34" s="3">
        <v>0.1091</v>
      </c>
      <c r="E34">
        <v>288.362009</v>
      </c>
      <c r="F34" t="s">
        <v>22</v>
      </c>
      <c r="G34" s="3">
        <v>3.8199999999999998E-2</v>
      </c>
      <c r="H34" s="3">
        <v>0.11070000000000001</v>
      </c>
      <c r="I34">
        <v>291.91468500000002</v>
      </c>
      <c r="J34" t="s">
        <v>22</v>
      </c>
      <c r="K34">
        <v>3.8699999999999998E-2</v>
      </c>
      <c r="L34">
        <v>0.1124</v>
      </c>
      <c r="M34">
        <v>282.29119400000002</v>
      </c>
      <c r="N34" t="s">
        <v>22</v>
      </c>
      <c r="O34">
        <v>3.9300000000000002E-2</v>
      </c>
      <c r="P34">
        <v>0.11409999999999999</v>
      </c>
      <c r="Q34">
        <v>284.17111499999999</v>
      </c>
      <c r="S34" s="24"/>
      <c r="T34" t="s">
        <v>22</v>
      </c>
      <c r="U34" s="3">
        <v>1.9300000000000001E-2</v>
      </c>
      <c r="V34" s="3">
        <v>8.7599999999999997E-2</v>
      </c>
      <c r="W34">
        <v>233.70800399999999</v>
      </c>
      <c r="X34" t="s">
        <v>22</v>
      </c>
      <c r="Y34" s="3">
        <v>1.9599999999999999E-2</v>
      </c>
      <c r="Z34" s="3">
        <v>8.8999999999999996E-2</v>
      </c>
      <c r="AA34">
        <v>226.90008399999999</v>
      </c>
      <c r="AB34" t="s">
        <v>22</v>
      </c>
      <c r="AC34" s="3">
        <v>1.9900000000000001E-2</v>
      </c>
      <c r="AD34" s="3">
        <v>9.0399999999999994E-2</v>
      </c>
      <c r="AE34">
        <v>232.16457199999999</v>
      </c>
      <c r="AF34" t="s">
        <v>22</v>
      </c>
      <c r="AG34" s="3">
        <v>2.0199999999999999E-2</v>
      </c>
      <c r="AH34" s="3">
        <v>9.1800000000000007E-2</v>
      </c>
      <c r="AI34">
        <v>229.08220700000001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20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7.5499999999999998E-2</v>
      </c>
      <c r="C46" s="4"/>
      <c r="D46" s="4"/>
      <c r="E46">
        <v>29.486533000000001</v>
      </c>
      <c r="F46" s="4">
        <v>7.6499999999999999E-2</v>
      </c>
      <c r="G46" s="4"/>
      <c r="H46" s="4"/>
      <c r="I46">
        <v>27.752821999999998</v>
      </c>
      <c r="J46" s="9">
        <v>7.7700000000000005E-2</v>
      </c>
      <c r="K46" s="9"/>
      <c r="L46" s="9"/>
      <c r="M46">
        <v>25.947208</v>
      </c>
      <c r="N46" s="9">
        <v>7.8600000000000003E-2</v>
      </c>
      <c r="O46" s="9"/>
      <c r="P46" s="9"/>
      <c r="Q46">
        <v>35.036321999999998</v>
      </c>
      <c r="S46" s="25"/>
      <c r="T46" s="4">
        <v>4.5699999999999998E-2</v>
      </c>
      <c r="U46" s="4"/>
      <c r="V46" s="4"/>
      <c r="W46">
        <v>26.644741</v>
      </c>
      <c r="X46" s="4">
        <v>4.6300000000000001E-2</v>
      </c>
      <c r="Y46" s="4"/>
      <c r="Z46" s="4"/>
      <c r="AA46">
        <v>26.786175</v>
      </c>
      <c r="AB46" s="4">
        <v>4.7199999999999999E-2</v>
      </c>
      <c r="AC46" s="4"/>
      <c r="AD46" s="4"/>
      <c r="AE46">
        <v>24.181391999999999</v>
      </c>
      <c r="AF46" s="4">
        <v>4.7899999999999998E-2</v>
      </c>
      <c r="AG46" s="4"/>
      <c r="AH46" s="4"/>
      <c r="AI46">
        <v>24.549278000000001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9.1000000000000004E-3</v>
      </c>
      <c r="D54" s="3">
        <v>5.21E-2</v>
      </c>
      <c r="E54">
        <v>154.01928699999999</v>
      </c>
      <c r="F54" t="s">
        <v>22</v>
      </c>
      <c r="G54" s="3">
        <v>9.1999999999999998E-3</v>
      </c>
      <c r="H54" s="3">
        <v>5.3100000000000001E-2</v>
      </c>
      <c r="I54">
        <v>146.15515099999999</v>
      </c>
      <c r="J54" t="s">
        <v>22</v>
      </c>
      <c r="K54" s="3">
        <v>9.4000000000000004E-3</v>
      </c>
      <c r="L54" s="3">
        <v>5.4100000000000002E-2</v>
      </c>
      <c r="M54">
        <v>147.60182800000001</v>
      </c>
      <c r="N54" t="s">
        <v>22</v>
      </c>
      <c r="O54" s="3">
        <v>9.5999999999999992E-3</v>
      </c>
      <c r="P54" s="3">
        <v>5.5E-2</v>
      </c>
      <c r="Q54">
        <v>149.39284699999999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1.8800000000000001E-2</v>
      </c>
      <c r="C66" s="4"/>
      <c r="D66" s="4"/>
      <c r="E66">
        <v>23.273375999999999</v>
      </c>
      <c r="F66" s="4">
        <v>1.9300000000000001E-2</v>
      </c>
      <c r="G66" s="4"/>
      <c r="H66" s="4"/>
      <c r="I66">
        <v>27.086341000000001</v>
      </c>
      <c r="J66" s="4">
        <v>1.9699999999999999E-2</v>
      </c>
      <c r="K66" s="4"/>
      <c r="L66" s="4"/>
      <c r="M66">
        <v>26.455933999999999</v>
      </c>
      <c r="N66" s="4">
        <v>2.0199999999999999E-2</v>
      </c>
      <c r="O66" s="4"/>
      <c r="P66" s="4"/>
      <c r="Q66">
        <v>28.044028000000001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0.13359499999999999</v>
      </c>
      <c r="G75">
        <f t="shared" si="1"/>
        <v>0.14000499999999999</v>
      </c>
      <c r="H75">
        <f t="shared" si="2"/>
        <v>760.32840599999997</v>
      </c>
      <c r="I75">
        <f t="shared" si="3"/>
        <v>1.2630000000000001E-2</v>
      </c>
      <c r="J75">
        <f t="shared" si="4"/>
        <v>5.5299999999999993E-3</v>
      </c>
      <c r="K75">
        <f t="shared" si="5"/>
        <v>2.2851509999999999</v>
      </c>
      <c r="L75">
        <f>0.05*F25+(1-0.05)*B25</f>
        <v>0.13849999999999998</v>
      </c>
      <c r="M75">
        <f>I25+E25</f>
        <v>69.766367000000002</v>
      </c>
      <c r="P75" s="23"/>
      <c r="Q75" t="s">
        <v>36</v>
      </c>
      <c r="R75">
        <f t="shared" si="6"/>
        <v>0.13369</v>
      </c>
      <c r="S75">
        <f t="shared" si="7"/>
        <v>0.14010999999999998</v>
      </c>
      <c r="U75">
        <f t="shared" si="8"/>
        <v>1.976E-2</v>
      </c>
      <c r="V75">
        <f t="shared" si="9"/>
        <v>5.5599999999999998E-3</v>
      </c>
      <c r="X75">
        <f>0.1*F25+(1-0.1)*B25</f>
        <v>0.1386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3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3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4"/>
      <c r="D81" s="23"/>
      <c r="E81" t="s">
        <v>36</v>
      </c>
      <c r="F81">
        <f t="shared" si="10"/>
        <v>0.13388</v>
      </c>
      <c r="G81">
        <f t="shared" si="11"/>
        <v>0.14032</v>
      </c>
      <c r="I81">
        <f t="shared" si="12"/>
        <v>3.4020000000000002E-2</v>
      </c>
      <c r="J81">
        <f t="shared" si="13"/>
        <v>5.62E-3</v>
      </c>
      <c r="L81">
        <f>0.2*F25+(1-0.2)*B25</f>
        <v>0.13880000000000001</v>
      </c>
      <c r="P81" s="23"/>
      <c r="Q81" t="s">
        <v>36</v>
      </c>
      <c r="R81">
        <f t="shared" si="14"/>
        <v>0.13406999999999999</v>
      </c>
      <c r="S81">
        <f t="shared" si="15"/>
        <v>0.14052999999999999</v>
      </c>
      <c r="U81">
        <f t="shared" si="16"/>
        <v>4.8280000000000003E-2</v>
      </c>
      <c r="V81">
        <f t="shared" si="17"/>
        <v>5.6799999999999993E-3</v>
      </c>
      <c r="X81">
        <f>0.3*F25+(1-0.3)*B25</f>
        <v>0.13899999999999998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2" t="s">
        <v>40</v>
      </c>
      <c r="P86" s="23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2"/>
      <c r="P87" s="23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4"/>
      <c r="C88" s="22"/>
      <c r="D88" s="23"/>
      <c r="E88" t="s">
        <v>36</v>
      </c>
      <c r="F88">
        <f t="shared" si="18"/>
        <v>0.13368975000000002</v>
      </c>
      <c r="G88">
        <f t="shared" si="19"/>
        <v>0.14011000000000001</v>
      </c>
      <c r="H88">
        <f t="shared" si="20"/>
        <v>1155.72109</v>
      </c>
      <c r="I88">
        <f t="shared" si="21"/>
        <v>1.9050250000000001E-2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0.13860050000000002</v>
      </c>
      <c r="M88">
        <f>M25+I25+E25</f>
        <v>99.525677999999999</v>
      </c>
      <c r="O88" s="22"/>
      <c r="P88" s="23"/>
      <c r="Q88" t="s">
        <v>36</v>
      </c>
      <c r="R88">
        <f t="shared" si="24"/>
        <v>0.13387900000000003</v>
      </c>
      <c r="S88">
        <f t="shared" si="25"/>
        <v>0.14032</v>
      </c>
      <c r="U88">
        <f t="shared" si="26"/>
        <v>3.1181000000000004E-2</v>
      </c>
      <c r="V88">
        <f t="shared" si="27"/>
        <v>5.6210000000000001E-3</v>
      </c>
      <c r="X88">
        <f>(0.1*0.9+0.1*0.9)*F25+0.1*0.1*J25+(1-0.1*0.9-0.1*0.9-0.1*0.1)*B25</f>
        <v>0.13880200000000001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2"/>
      <c r="P93" s="23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4"/>
      <c r="C94" s="22"/>
      <c r="D94" s="23"/>
      <c r="E94" t="s">
        <v>36</v>
      </c>
      <c r="F94">
        <f t="shared" si="28"/>
        <v>0.13425599999999999</v>
      </c>
      <c r="G94">
        <f t="shared" si="29"/>
        <v>0.14074</v>
      </c>
      <c r="I94">
        <f t="shared" si="30"/>
        <v>5.1184000000000014E-2</v>
      </c>
      <c r="J94">
        <f t="shared" si="31"/>
        <v>5.744E-3</v>
      </c>
      <c r="L94">
        <f>(0.2*0.8+0.2*0.8)*F25+0.2*0.2*J25+(1-0.2*0.8-0.2*0.8-0.2*0.2)*B25</f>
        <v>0.139208</v>
      </c>
      <c r="O94" s="22"/>
      <c r="P94" s="23"/>
      <c r="Q94" t="s">
        <v>36</v>
      </c>
      <c r="R94">
        <f t="shared" si="32"/>
        <v>0.134631</v>
      </c>
      <c r="S94">
        <f t="shared" si="33"/>
        <v>0.14116000000000001</v>
      </c>
      <c r="U94">
        <f t="shared" si="34"/>
        <v>6.5508999999999998E-2</v>
      </c>
      <c r="V94">
        <f t="shared" si="35"/>
        <v>5.8690000000000001E-3</v>
      </c>
      <c r="X94">
        <f>(0.3*0.7+0.3*0.7)*F25+0.3*0.3*J25+(1-0.3*0.7-0.3*0.7-0.3*0.3)*B25</f>
        <v>0.13961800000000002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6"/>
      <c r="O100" s="22"/>
      <c r="P100" s="23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6"/>
        <v>0.13378427499999998</v>
      </c>
      <c r="G101">
        <f t="shared" si="37"/>
        <v>0.14021499999999998</v>
      </c>
      <c r="H101">
        <f>Q13+M13+I11+E13</f>
        <v>1154.6243300000001</v>
      </c>
      <c r="I101">
        <f t="shared" si="38"/>
        <v>2.4813974999999999E-2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0.13870147499999999</v>
      </c>
      <c r="M101">
        <f>Q25+M25+I25+E25</f>
        <v>154.99904000000001</v>
      </c>
      <c r="N101" s="26"/>
      <c r="O101" s="22"/>
      <c r="P101" s="23"/>
      <c r="Q101" t="s">
        <v>36</v>
      </c>
      <c r="R101">
        <f t="shared" si="41"/>
        <v>0.1340672</v>
      </c>
      <c r="S101">
        <f t="shared" si="42"/>
        <v>0.14052999999999999</v>
      </c>
      <c r="U101">
        <f t="shared" si="43"/>
        <v>4.0188800000000011E-2</v>
      </c>
      <c r="V101">
        <f t="shared" si="44"/>
        <v>5.6828E-3</v>
      </c>
      <c r="X101">
        <f>3*0.1*(1-0.1)*(1-0.1)*F25+3*0.1*0.1*(1-0.1)*J25+0.1*0.1*0.1*N25+(1-3*0.1*(1-0.1)*(1-0.1)-3*0.1*0.1*(1-0.1)-0.1*0.1*0.1)*B25</f>
        <v>0.13900579999999998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6"/>
      <c r="O106" s="22"/>
      <c r="P106" s="23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5"/>
        <v>0.13462960000000002</v>
      </c>
      <c r="G107">
        <f t="shared" si="46"/>
        <v>0.14116000000000001</v>
      </c>
      <c r="I107">
        <f t="shared" si="47"/>
        <v>6.0398400000000026E-2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0.13962239999999998</v>
      </c>
      <c r="N107" s="26"/>
      <c r="O107" s="22"/>
      <c r="P107" s="23"/>
      <c r="Q107" t="s">
        <v>36</v>
      </c>
      <c r="R107">
        <f t="shared" si="49"/>
        <v>0.13518839999999999</v>
      </c>
      <c r="S107">
        <f t="shared" si="50"/>
        <v>0.14179</v>
      </c>
      <c r="U107">
        <f t="shared" si="51"/>
        <v>6.8683599999999984E-2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0.1402486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23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24"/>
      <c r="D113" s="23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23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24"/>
      <c r="D114" s="23"/>
      <c r="E114" t="s">
        <v>36</v>
      </c>
      <c r="F114">
        <f t="shared" si="53"/>
        <v>7.3550000000000004E-2</v>
      </c>
      <c r="G114">
        <f t="shared" si="54"/>
        <v>0.12379499999999999</v>
      </c>
      <c r="H114">
        <f t="shared" si="55"/>
        <v>660.48947799999996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0.10757</v>
      </c>
      <c r="M114">
        <f>AA25+W25</f>
        <v>72.869016000000002</v>
      </c>
      <c r="P114" s="23"/>
      <c r="Q114" t="s">
        <v>36</v>
      </c>
      <c r="R114">
        <f t="shared" si="59"/>
        <v>7.3599999999999999E-2</v>
      </c>
      <c r="S114">
        <f t="shared" si="60"/>
        <v>0.12389000000000001</v>
      </c>
      <c r="U114">
        <f t="shared" si="61"/>
        <v>5.3600000000000002E-3</v>
      </c>
      <c r="V114">
        <f t="shared" si="62"/>
        <v>5.3600000000000002E-3</v>
      </c>
      <c r="X114">
        <f>0.1*X25+(1-0.1)*T25</f>
        <v>0.10764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23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24"/>
      <c r="D119" s="23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23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24"/>
      <c r="D120" s="23"/>
      <c r="E120" t="s">
        <v>36</v>
      </c>
      <c r="F120">
        <f t="shared" si="63"/>
        <v>7.3700000000000002E-2</v>
      </c>
      <c r="G120">
        <f t="shared" si="64"/>
        <v>0.12408000000000001</v>
      </c>
      <c r="I120">
        <f t="shared" si="65"/>
        <v>5.4199999999999995E-3</v>
      </c>
      <c r="J120">
        <f t="shared" si="66"/>
        <v>5.4199999999999995E-3</v>
      </c>
      <c r="L120">
        <f>0.2*X25+(1-0.2)*T25</f>
        <v>0.10778000000000001</v>
      </c>
      <c r="P120" s="23"/>
      <c r="Q120" t="s">
        <v>36</v>
      </c>
      <c r="R120">
        <f t="shared" si="67"/>
        <v>7.3799999999999991E-2</v>
      </c>
      <c r="S120">
        <f t="shared" si="68"/>
        <v>0.12426999999999999</v>
      </c>
      <c r="U120">
        <f t="shared" si="69"/>
        <v>5.4799999999999996E-3</v>
      </c>
      <c r="V120">
        <f t="shared" si="70"/>
        <v>5.4799999999999996E-3</v>
      </c>
      <c r="X120">
        <f>0.3*X25+(1-0.3)*T25</f>
        <v>0.10791999999999999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2"/>
      <c r="P126" s="23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24"/>
      <c r="C127" s="22"/>
      <c r="D127" s="23"/>
      <c r="E127" t="s">
        <v>36</v>
      </c>
      <c r="F127">
        <f t="shared" si="71"/>
        <v>7.3599749999999992E-2</v>
      </c>
      <c r="G127">
        <f t="shared" si="72"/>
        <v>0.12389000000000001</v>
      </c>
      <c r="H127">
        <f t="shared" si="73"/>
        <v>986.09975699999995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0.1076405</v>
      </c>
      <c r="M127">
        <f>AE25+AA25+W25</f>
        <v>109.245778</v>
      </c>
      <c r="O127" s="22"/>
      <c r="P127" s="23"/>
      <c r="Q127" t="s">
        <v>36</v>
      </c>
      <c r="R127">
        <f t="shared" si="77"/>
        <v>7.3699000000000001E-2</v>
      </c>
      <c r="S127">
        <f t="shared" si="78"/>
        <v>0.12408000000000001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0.107782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2"/>
      <c r="P132" s="23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24"/>
      <c r="C133" s="22"/>
      <c r="D133" s="23"/>
      <c r="E133" t="s">
        <v>36</v>
      </c>
      <c r="F133">
        <f t="shared" si="81"/>
        <v>7.3895999999999989E-2</v>
      </c>
      <c r="G133">
        <f t="shared" si="82"/>
        <v>0.12445999999999999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0.108068</v>
      </c>
      <c r="O133" s="22"/>
      <c r="P133" s="23"/>
      <c r="Q133" t="s">
        <v>36</v>
      </c>
      <c r="R133">
        <f t="shared" si="85"/>
        <v>7.4091000000000004E-2</v>
      </c>
      <c r="S133">
        <f t="shared" si="86"/>
        <v>0.12484000000000001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0.10835800000000001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6"/>
      <c r="O139" s="22"/>
      <c r="P139" s="23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6.4362549999999991E-2</v>
      </c>
      <c r="G140">
        <f>3*0.05*(1-0.05)*(1-0.05)*Z20+3*0.05*0.05*(1-0.05)*AD13+0.05*0.05*0.05*AH13+(1-3*0.05*(1-0.05)*(1-0.05)-3*0.05*0.05*(1-0.05)-0.05*0.05*0.05)*V13</f>
        <v>0.10778061249999998</v>
      </c>
      <c r="H140">
        <f>AI13+AE13+AA20+W13</f>
        <v>986.881441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0.10771144999999999</v>
      </c>
      <c r="M140">
        <f>AI25+AE25+AA25+W25</f>
        <v>136.33069999999998</v>
      </c>
      <c r="N140" s="26"/>
      <c r="O140" s="22"/>
      <c r="P140" s="23"/>
      <c r="Q140" t="s">
        <v>36</v>
      </c>
      <c r="R140">
        <f t="shared" si="92"/>
        <v>7.3797199999999993E-2</v>
      </c>
      <c r="S140">
        <f t="shared" si="93"/>
        <v>0.12426999999999999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0.10792559999999998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6"/>
      <c r="O145" s="22"/>
      <c r="P145" s="23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4.774719999999999E-2</v>
      </c>
      <c r="G146">
        <f>3*0.2*(1-0.2)*(1-0.2)*Z20+3*0.2*0.2*(1-0.2)*AD13+0.2*0.2*0.2*AH13+(1-3*0.2*(1-0.2)*(1-0.2)-3*0.2*0.2*(1-0.2)-0.2*0.2*0.2)*V13</f>
        <v>7.8875199999999979E-2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0.10836079999999999</v>
      </c>
      <c r="N146" s="26"/>
      <c r="O146" s="22"/>
      <c r="P146" s="23"/>
      <c r="Q146" t="s">
        <v>36</v>
      </c>
      <c r="R146">
        <f t="shared" si="98"/>
        <v>7.4378399999999997E-2</v>
      </c>
      <c r="S146">
        <f t="shared" si="99"/>
        <v>0.12541000000000002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0.10880320000000002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23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24"/>
      <c r="D152" s="23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23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24"/>
      <c r="D153" s="23"/>
      <c r="E153" t="s">
        <v>36</v>
      </c>
      <c r="F153">
        <f t="shared" si="102"/>
        <v>3.7724999999999995E-2</v>
      </c>
      <c r="G153">
        <f t="shared" si="103"/>
        <v>0.10918</v>
      </c>
      <c r="H153">
        <f t="shared" si="104"/>
        <v>580.27669400000002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7.5549999999999992E-2</v>
      </c>
      <c r="M153">
        <f>I46+E46</f>
        <v>57.239355000000003</v>
      </c>
      <c r="P153" s="23"/>
      <c r="Q153" t="s">
        <v>36</v>
      </c>
      <c r="R153">
        <f t="shared" si="108"/>
        <v>3.7749999999999999E-2</v>
      </c>
      <c r="S153">
        <f t="shared" si="109"/>
        <v>0.10926</v>
      </c>
      <c r="U153">
        <f t="shared" si="110"/>
        <v>4.7600000000000003E-3</v>
      </c>
      <c r="V153">
        <f t="shared" si="111"/>
        <v>4.96E-3</v>
      </c>
      <c r="X153">
        <f>0.1*F46+(1-0.1)*B46</f>
        <v>7.5600000000000001E-2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23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24"/>
      <c r="D158" s="23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23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24"/>
      <c r="D159" s="23"/>
      <c r="E159" t="s">
        <v>36</v>
      </c>
      <c r="F159">
        <f t="shared" si="112"/>
        <v>3.78E-2</v>
      </c>
      <c r="G159">
        <f t="shared" si="113"/>
        <v>0.10942000000000002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7.5700000000000003E-2</v>
      </c>
      <c r="P159" s="23"/>
      <c r="Q159" t="s">
        <v>36</v>
      </c>
      <c r="R159">
        <f t="shared" si="116"/>
        <v>3.7849999999999995E-2</v>
      </c>
      <c r="S159">
        <f t="shared" si="117"/>
        <v>0.10958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7.5799999999999992E-2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2"/>
      <c r="P165" s="23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24"/>
      <c r="C166" s="22"/>
      <c r="D166" s="23"/>
      <c r="E166" t="s">
        <v>36</v>
      </c>
      <c r="F166">
        <f t="shared" si="120"/>
        <v>3.7749999999999999E-2</v>
      </c>
      <c r="G166">
        <f t="shared" si="121"/>
        <v>0.10926025000000002</v>
      </c>
      <c r="H166">
        <f t="shared" si="122"/>
        <v>862.56788800000004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7.5600500000000001E-2</v>
      </c>
      <c r="M166">
        <f>M46+I46+E46</f>
        <v>83.186563000000007</v>
      </c>
      <c r="O166" s="22"/>
      <c r="P166" s="23"/>
      <c r="Q166" t="s">
        <v>36</v>
      </c>
      <c r="R166">
        <f t="shared" si="126"/>
        <v>3.78E-2</v>
      </c>
      <c r="S166">
        <f t="shared" si="127"/>
        <v>0.109421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7.5702000000000005E-2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2"/>
      <c r="P171" s="23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24"/>
      <c r="C172" s="22"/>
      <c r="D172" s="23"/>
      <c r="E172" t="s">
        <v>36</v>
      </c>
      <c r="F172">
        <f t="shared" si="130"/>
        <v>3.7899999999999996E-2</v>
      </c>
      <c r="G172">
        <f t="shared" si="131"/>
        <v>0.10974400000000001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7.5907999999999989E-2</v>
      </c>
      <c r="O172" s="22"/>
      <c r="P172" s="23"/>
      <c r="Q172" t="s">
        <v>36</v>
      </c>
      <c r="R172">
        <f t="shared" si="134"/>
        <v>3.8000000000000006E-2</v>
      </c>
      <c r="S172">
        <f t="shared" si="135"/>
        <v>0.11006900000000001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7.6118000000000005E-2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6"/>
      <c r="O178" s="22"/>
      <c r="P178" s="23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8"/>
        <v>3.777501249999999E-2</v>
      </c>
      <c r="G179">
        <f t="shared" si="139"/>
        <v>0.10934073749999999</v>
      </c>
      <c r="H179">
        <f t="shared" si="140"/>
        <v>1146.7390029999999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7.5651437499999988E-2</v>
      </c>
      <c r="M179">
        <f>Q46+M46+I46+E46</f>
        <v>118.22288499999999</v>
      </c>
      <c r="N179" s="26"/>
      <c r="O179" s="22"/>
      <c r="P179" s="23"/>
      <c r="Q179" t="s">
        <v>36</v>
      </c>
      <c r="R179">
        <f t="shared" si="144"/>
        <v>3.7850099999999998E-2</v>
      </c>
      <c r="S179">
        <f t="shared" si="145"/>
        <v>0.1095829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7.5805499999999998E-2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6"/>
      <c r="O184" s="22"/>
      <c r="P184" s="23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8"/>
        <v>3.8000799999999994E-2</v>
      </c>
      <c r="G185">
        <f t="shared" si="149"/>
        <v>0.11007119999999999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7.6119999999999993E-2</v>
      </c>
      <c r="N185" s="26"/>
      <c r="O185" s="22"/>
      <c r="P185" s="23"/>
      <c r="Q185" t="s">
        <v>36</v>
      </c>
      <c r="R185">
        <f t="shared" si="152"/>
        <v>3.8152699999999998E-2</v>
      </c>
      <c r="S185">
        <f t="shared" si="153"/>
        <v>0.11056430000000003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7.6440499999999995E-2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23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24"/>
      <c r="D191" s="23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23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24"/>
      <c r="D192" s="23"/>
      <c r="E192" t="s">
        <v>36</v>
      </c>
      <c r="F192">
        <f t="shared" si="156"/>
        <v>1.9314999999999999E-2</v>
      </c>
      <c r="G192">
        <f t="shared" si="157"/>
        <v>8.7669999999999984E-2</v>
      </c>
      <c r="H192">
        <f t="shared" si="158"/>
        <v>460.60808799999995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4.5729999999999993E-2</v>
      </c>
      <c r="M192">
        <f>AA46+W46</f>
        <v>53.430915999999996</v>
      </c>
      <c r="P192" s="23"/>
      <c r="Q192" t="s">
        <v>36</v>
      </c>
      <c r="R192">
        <f t="shared" si="162"/>
        <v>1.933E-2</v>
      </c>
      <c r="S192">
        <f t="shared" si="163"/>
        <v>8.7739999999999999E-2</v>
      </c>
      <c r="U192">
        <f t="shared" si="164"/>
        <v>3.46E-3</v>
      </c>
      <c r="V192">
        <f t="shared" si="165"/>
        <v>4.1500000000000009E-3</v>
      </c>
      <c r="X192">
        <f>0.1*X46+(1-0.1)*T46</f>
        <v>4.5760000000000002E-2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23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24"/>
      <c r="D197" s="23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23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24"/>
      <c r="D198" s="23"/>
      <c r="E198" t="s">
        <v>36</v>
      </c>
      <c r="F198">
        <f t="shared" si="166"/>
        <v>1.9360000000000002E-2</v>
      </c>
      <c r="G198">
        <f t="shared" si="167"/>
        <v>8.788E-2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4.582E-2</v>
      </c>
      <c r="P198" s="23"/>
      <c r="Q198" t="s">
        <v>36</v>
      </c>
      <c r="R198">
        <f t="shared" si="170"/>
        <v>1.9389999999999998E-2</v>
      </c>
      <c r="S198">
        <f t="shared" si="171"/>
        <v>8.8019999999999987E-2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4.5879999999999997E-2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2"/>
      <c r="P204" s="23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24"/>
      <c r="C205" s="22"/>
      <c r="D205" s="23"/>
      <c r="E205" t="s">
        <v>36</v>
      </c>
      <c r="F205">
        <f t="shared" si="174"/>
        <v>1.9330000000000003E-2</v>
      </c>
      <c r="G205">
        <f t="shared" si="175"/>
        <v>8.7739999999999999E-2</v>
      </c>
      <c r="H205">
        <f t="shared" si="176"/>
        <v>692.77265999999997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4.5760750000000003E-2</v>
      </c>
      <c r="M205">
        <f>AE46+AA46+W46</f>
        <v>77.612307999999999</v>
      </c>
      <c r="O205" s="22"/>
      <c r="P205" s="23"/>
      <c r="Q205" t="s">
        <v>36</v>
      </c>
      <c r="R205">
        <f t="shared" si="180"/>
        <v>1.9360000000000002E-2</v>
      </c>
      <c r="S205">
        <f t="shared" si="181"/>
        <v>8.788E-2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4.5823000000000003E-2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2"/>
      <c r="P210" s="23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24"/>
      <c r="C211" s="22"/>
      <c r="D211" s="23"/>
      <c r="E211" t="s">
        <v>36</v>
      </c>
      <c r="F211">
        <f t="shared" si="184"/>
        <v>1.942E-2</v>
      </c>
      <c r="G211">
        <f t="shared" si="185"/>
        <v>8.8159999999999988E-2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4.5951999999999993E-2</v>
      </c>
      <c r="O211" s="22"/>
      <c r="P211" s="23"/>
      <c r="Q211" t="s">
        <v>36</v>
      </c>
      <c r="R211">
        <f t="shared" si="188"/>
        <v>1.9480000000000004E-2</v>
      </c>
      <c r="S211">
        <f t="shared" si="189"/>
        <v>8.8440000000000005E-2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4.6087000000000003E-2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6"/>
      <c r="O217" s="22"/>
      <c r="P217" s="23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92"/>
        <v>1.9344999999999998E-2</v>
      </c>
      <c r="G218">
        <f t="shared" si="193"/>
        <v>8.7809999999999999E-2</v>
      </c>
      <c r="H218">
        <f t="shared" si="194"/>
        <v>921.8548669999999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4.5792187499999998E-2</v>
      </c>
      <c r="M218">
        <f>AI46+AE46+AA46+W46</f>
        <v>102.161586</v>
      </c>
      <c r="N218" s="26"/>
      <c r="O218" s="22"/>
      <c r="P218" s="23"/>
      <c r="Q218" t="s">
        <v>36</v>
      </c>
      <c r="R218">
        <f t="shared" si="198"/>
        <v>1.9390000000000001E-2</v>
      </c>
      <c r="S218">
        <f t="shared" si="199"/>
        <v>8.8019999999999987E-2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4.5888499999999999E-2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6"/>
      <c r="O223" s="22"/>
      <c r="P223" s="23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202"/>
        <v>1.9479999999999997E-2</v>
      </c>
      <c r="G224">
        <f t="shared" si="203"/>
        <v>8.8439999999999991E-2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4.6091999999999994E-2</v>
      </c>
      <c r="N224" s="26"/>
      <c r="O224" s="22"/>
      <c r="P224" s="23"/>
      <c r="Q224" t="s">
        <v>36</v>
      </c>
      <c r="R224">
        <f t="shared" si="206"/>
        <v>1.9570000000000001E-2</v>
      </c>
      <c r="S224">
        <f t="shared" si="207"/>
        <v>8.8859999999999995E-2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4.6307500000000001E-2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23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24"/>
      <c r="D230" s="23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23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24"/>
      <c r="D231" s="23"/>
      <c r="E231" t="s">
        <v>36</v>
      </c>
      <c r="F231">
        <f t="shared" si="210"/>
        <v>9.1050000000000002E-3</v>
      </c>
      <c r="G231">
        <f t="shared" si="211"/>
        <v>5.2149999999999995E-2</v>
      </c>
      <c r="H231">
        <f t="shared" si="212"/>
        <v>300.17443800000001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1.8825000000000001E-2</v>
      </c>
      <c r="M231">
        <f>I66+E66</f>
        <v>50.359717000000003</v>
      </c>
      <c r="P231" s="23"/>
      <c r="Q231" t="s">
        <v>36</v>
      </c>
      <c r="R231">
        <f t="shared" si="216"/>
        <v>9.1100000000000018E-3</v>
      </c>
      <c r="S231">
        <f t="shared" si="217"/>
        <v>5.2200000000000003E-2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1.8850000000000002E-2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23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24"/>
      <c r="D236" s="23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23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24"/>
      <c r="D237" s="23"/>
      <c r="E237" t="s">
        <v>36</v>
      </c>
      <c r="F237">
        <f t="shared" si="220"/>
        <v>9.1200000000000014E-3</v>
      </c>
      <c r="G237">
        <f t="shared" si="221"/>
        <v>5.2299999999999999E-2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1.89E-2</v>
      </c>
      <c r="P237" s="23"/>
      <c r="Q237" t="s">
        <v>36</v>
      </c>
      <c r="R237">
        <f t="shared" si="224"/>
        <v>9.1299999999999992E-3</v>
      </c>
      <c r="S237">
        <f t="shared" si="225"/>
        <v>5.2399999999999995E-2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1.8950000000000002E-2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2"/>
      <c r="P243" s="23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24"/>
      <c r="C244" s="22"/>
      <c r="D244" s="23"/>
      <c r="E244" t="s">
        <v>36</v>
      </c>
      <c r="F244">
        <f t="shared" si="228"/>
        <v>9.110250000000002E-3</v>
      </c>
      <c r="G244">
        <f t="shared" si="229"/>
        <v>5.220000000000001E-2</v>
      </c>
      <c r="H244">
        <f t="shared" si="230"/>
        <v>447.77626599999996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1.8849750000000002E-2</v>
      </c>
      <c r="M244">
        <f>M66+I66+E66</f>
        <v>76.815651000000003</v>
      </c>
      <c r="O244" s="22"/>
      <c r="P244" s="23"/>
      <c r="Q244" t="s">
        <v>36</v>
      </c>
      <c r="R244">
        <f t="shared" si="234"/>
        <v>9.1210000000000006E-3</v>
      </c>
      <c r="S244">
        <f t="shared" si="235"/>
        <v>5.2299999999999999E-2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1.8899000000000003E-2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2"/>
      <c r="P249" s="23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24"/>
      <c r="C250" s="22"/>
      <c r="D250" s="23"/>
      <c r="E250" t="s">
        <v>36</v>
      </c>
      <c r="F250">
        <f t="shared" si="238"/>
        <v>9.1439999999999994E-3</v>
      </c>
      <c r="G250">
        <f t="shared" si="239"/>
        <v>5.2500000000000005E-2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1.8995999999999999E-2</v>
      </c>
      <c r="O250" s="22"/>
      <c r="P250" s="23"/>
      <c r="Q250" t="s">
        <v>36</v>
      </c>
      <c r="R250">
        <f t="shared" si="242"/>
        <v>9.1690000000000001E-3</v>
      </c>
      <c r="S250">
        <f t="shared" si="243"/>
        <v>5.2700000000000011E-2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1.9091000000000004E-2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6"/>
      <c r="O256" s="22"/>
      <c r="P256" s="23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6"/>
        <v>9.1157375000000002E-3</v>
      </c>
      <c r="G257">
        <f t="shared" si="247"/>
        <v>5.2249987499999991E-2</v>
      </c>
      <c r="H257">
        <f t="shared" si="248"/>
        <v>597.16911300000004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1.8874274999999999E-2</v>
      </c>
      <c r="M257">
        <f>Q66+M66+I66+E66</f>
        <v>104.859679</v>
      </c>
      <c r="N257" s="26"/>
      <c r="O257" s="22"/>
      <c r="P257" s="23"/>
      <c r="Q257" t="s">
        <v>36</v>
      </c>
      <c r="R257">
        <f t="shared" si="252"/>
        <v>9.1328999999999994E-3</v>
      </c>
      <c r="S257">
        <f t="shared" si="253"/>
        <v>5.2399899999999999E-2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1.8947199999999997E-2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6"/>
      <c r="O262" s="22"/>
      <c r="P262" s="23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6"/>
        <v>9.1711999999999991E-3</v>
      </c>
      <c r="G263">
        <f t="shared" si="257"/>
        <v>5.2699200000000002E-2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1.9089599999999998E-2</v>
      </c>
      <c r="N263" s="26"/>
      <c r="O263" s="22"/>
      <c r="P263" s="23"/>
      <c r="Q263" t="s">
        <v>36</v>
      </c>
      <c r="R263">
        <f t="shared" si="260"/>
        <v>9.2142999999999999E-3</v>
      </c>
      <c r="S263">
        <f t="shared" si="261"/>
        <v>5.2997299999999997E-2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1.92284E-2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15">
        <v>0.1245</v>
      </c>
      <c r="D13" s="15">
        <v>0.1293</v>
      </c>
      <c r="E13" s="16">
        <v>190.27194399999999</v>
      </c>
      <c r="F13" t="s">
        <v>22</v>
      </c>
      <c r="G13" s="15">
        <v>0.12640000000000001</v>
      </c>
      <c r="H13" s="15">
        <v>0.13139999999999999</v>
      </c>
      <c r="I13" s="16">
        <v>192.982147</v>
      </c>
      <c r="J13" t="s">
        <v>22</v>
      </c>
      <c r="K13" s="16">
        <v>0.12839999999999999</v>
      </c>
      <c r="L13" s="16">
        <v>0.1336</v>
      </c>
      <c r="M13" s="16">
        <v>188.26123000000001</v>
      </c>
      <c r="N13" t="s">
        <v>22</v>
      </c>
      <c r="O13" s="16">
        <v>0.1303</v>
      </c>
      <c r="P13" s="16">
        <v>0.13569999999999999</v>
      </c>
      <c r="Q13" s="16">
        <v>189.09388300000001</v>
      </c>
      <c r="S13" s="24"/>
      <c r="T13" t="s">
        <v>22</v>
      </c>
      <c r="U13" s="3">
        <v>7.0099999999999996E-2</v>
      </c>
      <c r="V13" s="3">
        <v>0.1142</v>
      </c>
      <c r="W13">
        <v>176.14008100000001</v>
      </c>
      <c r="X13" t="s">
        <v>22</v>
      </c>
      <c r="Y13" s="3">
        <v>7.1099999999999997E-2</v>
      </c>
      <c r="Z13" s="3">
        <v>0.11609999999999999</v>
      </c>
      <c r="AA13">
        <v>176.338908</v>
      </c>
      <c r="AB13" t="s">
        <v>22</v>
      </c>
      <c r="AC13">
        <v>7.22E-2</v>
      </c>
      <c r="AD13">
        <v>0.11799999999999999</v>
      </c>
      <c r="AE13">
        <v>172.67665</v>
      </c>
      <c r="AF13" t="s">
        <v>22</v>
      </c>
      <c r="AG13">
        <v>7.3200000000000001E-2</v>
      </c>
      <c r="AH13">
        <v>0.11990000000000001</v>
      </c>
      <c r="AI13">
        <v>173.10744099999999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0.14810000000000001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20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0.12839999999999999</v>
      </c>
      <c r="C25" s="4"/>
      <c r="D25" s="4"/>
      <c r="E25">
        <v>14.779857</v>
      </c>
      <c r="F25" s="3">
        <v>0.13039999999999999</v>
      </c>
      <c r="G25" s="4"/>
      <c r="H25" s="4"/>
      <c r="I25">
        <v>19.252406000000001</v>
      </c>
      <c r="J25" s="9">
        <v>0.13239999999999999</v>
      </c>
      <c r="K25" s="9"/>
      <c r="L25" s="9"/>
      <c r="M25">
        <v>23.152989000000002</v>
      </c>
      <c r="N25" s="9">
        <v>0.13450000000000001</v>
      </c>
      <c r="O25" s="9"/>
      <c r="P25" s="9"/>
      <c r="Q25">
        <v>20.327748</v>
      </c>
      <c r="S25" s="25"/>
      <c r="T25" s="4">
        <v>0.1009</v>
      </c>
      <c r="U25" s="4"/>
      <c r="V25" s="4"/>
      <c r="W25">
        <v>20.461562000000001</v>
      </c>
      <c r="X25" s="4">
        <v>0.1022</v>
      </c>
      <c r="Y25" s="4"/>
      <c r="Z25" s="4"/>
      <c r="AA25">
        <v>20.121362999999999</v>
      </c>
      <c r="AB25" s="9">
        <v>0.10390000000000001</v>
      </c>
      <c r="AC25" s="9"/>
      <c r="AD25" s="9"/>
      <c r="AE25">
        <v>20.015495999999999</v>
      </c>
      <c r="AF25" s="9">
        <v>0.10539999999999999</v>
      </c>
      <c r="AG25" s="9"/>
      <c r="AH25" s="9"/>
      <c r="AI25">
        <v>22.497029999999999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3.6700000000000003E-2</v>
      </c>
      <c r="D34" s="3">
        <v>0.1004</v>
      </c>
      <c r="E34">
        <v>157.85075000000001</v>
      </c>
      <c r="F34" t="s">
        <v>22</v>
      </c>
      <c r="G34" s="3">
        <v>3.7199999999999997E-2</v>
      </c>
      <c r="H34" s="3">
        <v>0.1021</v>
      </c>
      <c r="I34">
        <v>151.80256199999999</v>
      </c>
      <c r="J34" t="s">
        <v>22</v>
      </c>
      <c r="K34">
        <v>3.78E-2</v>
      </c>
      <c r="L34">
        <v>0.1038</v>
      </c>
      <c r="M34">
        <v>154.90865400000001</v>
      </c>
      <c r="N34" t="s">
        <v>22</v>
      </c>
      <c r="O34">
        <v>3.8399999999999997E-2</v>
      </c>
      <c r="P34">
        <v>0.1055</v>
      </c>
      <c r="Q34">
        <v>152.60611</v>
      </c>
      <c r="S34" s="24"/>
      <c r="T34" t="s">
        <v>22</v>
      </c>
      <c r="U34" s="3">
        <v>1.9199999999999998E-2</v>
      </c>
      <c r="V34" s="3">
        <v>8.0600000000000005E-2</v>
      </c>
      <c r="W34">
        <v>126.779799</v>
      </c>
      <c r="X34" t="s">
        <v>22</v>
      </c>
      <c r="Y34" s="3">
        <v>1.95E-2</v>
      </c>
      <c r="Z34" s="3">
        <v>8.2000000000000003E-2</v>
      </c>
      <c r="AA34">
        <v>135.682602</v>
      </c>
      <c r="AB34" t="s">
        <v>22</v>
      </c>
      <c r="AC34" s="3">
        <v>1.9900000000000001E-2</v>
      </c>
      <c r="AD34" s="3">
        <v>8.3400000000000002E-2</v>
      </c>
      <c r="AE34">
        <v>131.386583</v>
      </c>
      <c r="AF34" t="s">
        <v>22</v>
      </c>
      <c r="AG34" s="3">
        <v>2.0199999999999999E-2</v>
      </c>
      <c r="AH34" s="3">
        <v>8.48E-2</v>
      </c>
      <c r="AI34">
        <v>130.40039400000001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20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7.1499999999999994E-2</v>
      </c>
      <c r="C46" s="4"/>
      <c r="D46" s="4"/>
      <c r="E46">
        <v>28.440241</v>
      </c>
      <c r="F46" s="4">
        <v>7.2700000000000001E-2</v>
      </c>
      <c r="G46" s="4"/>
      <c r="H46" s="4"/>
      <c r="I46">
        <v>19.238828000000002</v>
      </c>
      <c r="J46" s="9">
        <v>7.3800000000000004E-2</v>
      </c>
      <c r="K46" s="9"/>
      <c r="L46" s="9"/>
      <c r="M46">
        <v>19.203330000000001</v>
      </c>
      <c r="N46" s="9">
        <v>7.4899999999999994E-2</v>
      </c>
      <c r="O46" s="9"/>
      <c r="P46" s="9"/>
      <c r="Q46">
        <v>20.252981999999999</v>
      </c>
      <c r="S46" s="25"/>
      <c r="T46" s="4">
        <v>4.3799999999999999E-2</v>
      </c>
      <c r="U46" s="4"/>
      <c r="V46" s="4"/>
      <c r="W46">
        <v>19.241499999999998</v>
      </c>
      <c r="X46" s="4">
        <v>4.4499999999999998E-2</v>
      </c>
      <c r="Y46" s="4"/>
      <c r="Z46" s="4"/>
      <c r="AA46">
        <v>17.352923000000001</v>
      </c>
      <c r="AB46" s="4">
        <v>4.5199999999999997E-2</v>
      </c>
      <c r="AC46" s="4"/>
      <c r="AD46" s="4"/>
      <c r="AE46">
        <v>23.015972999999999</v>
      </c>
      <c r="AF46" s="4">
        <v>4.6100000000000002E-2</v>
      </c>
      <c r="AG46" s="4"/>
      <c r="AH46" s="4"/>
      <c r="AI46">
        <v>19.081557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8.9999999999999993E-3</v>
      </c>
      <c r="D54" s="3">
        <v>4.8000000000000001E-2</v>
      </c>
      <c r="E54">
        <v>85.202313000000004</v>
      </c>
      <c r="F54" t="s">
        <v>22</v>
      </c>
      <c r="G54" s="3">
        <v>9.1999999999999998E-3</v>
      </c>
      <c r="H54" s="3">
        <v>4.9000000000000002E-2</v>
      </c>
      <c r="I54">
        <v>86.899574000000001</v>
      </c>
      <c r="J54" t="s">
        <v>22</v>
      </c>
      <c r="K54" s="3">
        <v>9.4000000000000004E-3</v>
      </c>
      <c r="L54" s="3">
        <v>0.05</v>
      </c>
      <c r="M54">
        <v>86.322901999999999</v>
      </c>
      <c r="N54" t="s">
        <v>22</v>
      </c>
      <c r="O54" s="3">
        <v>9.5999999999999992E-3</v>
      </c>
      <c r="P54" s="3">
        <v>5.0999999999999997E-2</v>
      </c>
      <c r="Q54">
        <v>81.571618000000001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1.83E-2</v>
      </c>
      <c r="C66" s="4"/>
      <c r="D66" s="4"/>
      <c r="E66">
        <v>20.276997999999999</v>
      </c>
      <c r="F66" s="4">
        <v>1.8700000000000001E-2</v>
      </c>
      <c r="G66" s="4"/>
      <c r="H66" s="4"/>
      <c r="I66">
        <v>20.407050000000002</v>
      </c>
      <c r="J66" s="4">
        <v>1.9300000000000001E-2</v>
      </c>
      <c r="K66" s="4"/>
      <c r="L66" s="4"/>
      <c r="M66">
        <v>19.816945</v>
      </c>
      <c r="N66" s="4">
        <v>1.9800000000000002E-2</v>
      </c>
      <c r="O66" s="4"/>
      <c r="P66" s="4"/>
      <c r="Q66">
        <v>20.32246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0.124595</v>
      </c>
      <c r="G75">
        <f t="shared" si="1"/>
        <v>0.12940499999999999</v>
      </c>
      <c r="H75">
        <f t="shared" si="2"/>
        <v>383.25409100000002</v>
      </c>
      <c r="I75">
        <f t="shared" si="3"/>
        <v>1.2630000000000001E-2</v>
      </c>
      <c r="J75">
        <f t="shared" si="4"/>
        <v>5.5299999999999993E-3</v>
      </c>
      <c r="K75">
        <f t="shared" si="5"/>
        <v>2.2851509999999999</v>
      </c>
      <c r="L75">
        <f>0.05*F25+(1-0.05)*B25</f>
        <v>0.12849999999999998</v>
      </c>
      <c r="M75">
        <f>I25+E25</f>
        <v>34.032263</v>
      </c>
      <c r="P75" s="23"/>
      <c r="Q75" t="s">
        <v>36</v>
      </c>
      <c r="R75">
        <f t="shared" si="6"/>
        <v>0.12469</v>
      </c>
      <c r="S75">
        <f t="shared" si="7"/>
        <v>0.12951000000000001</v>
      </c>
      <c r="U75">
        <f t="shared" si="8"/>
        <v>1.976E-2</v>
      </c>
      <c r="V75">
        <f t="shared" si="9"/>
        <v>5.5599999999999998E-3</v>
      </c>
      <c r="X75">
        <f>0.1*F25+(1-0.1)*B25</f>
        <v>0.12859999999999999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3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3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4"/>
      <c r="D81" s="23"/>
      <c r="E81" t="s">
        <v>36</v>
      </c>
      <c r="F81">
        <f t="shared" si="10"/>
        <v>0.12488000000000002</v>
      </c>
      <c r="G81">
        <f t="shared" si="11"/>
        <v>0.12972</v>
      </c>
      <c r="I81">
        <f t="shared" si="12"/>
        <v>3.4020000000000002E-2</v>
      </c>
      <c r="J81">
        <f t="shared" si="13"/>
        <v>5.62E-3</v>
      </c>
      <c r="L81">
        <f>0.2*F25+(1-0.2)*B25</f>
        <v>0.1288</v>
      </c>
      <c r="P81" s="23"/>
      <c r="Q81" t="s">
        <v>36</v>
      </c>
      <c r="R81">
        <f t="shared" si="14"/>
        <v>0.12506999999999999</v>
      </c>
      <c r="S81">
        <f t="shared" si="15"/>
        <v>0.12992999999999999</v>
      </c>
      <c r="U81">
        <f t="shared" si="16"/>
        <v>4.8280000000000003E-2</v>
      </c>
      <c r="V81">
        <f t="shared" si="17"/>
        <v>5.6799999999999993E-3</v>
      </c>
      <c r="X81">
        <f>0.3*F25+(1-0.3)*B25</f>
        <v>0.12899999999999998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2" t="s">
        <v>40</v>
      </c>
      <c r="P86" s="23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2"/>
      <c r="P87" s="23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4"/>
      <c r="C88" s="22"/>
      <c r="D88" s="23"/>
      <c r="E88" t="s">
        <v>36</v>
      </c>
      <c r="F88">
        <f t="shared" si="18"/>
        <v>0.12469025000000002</v>
      </c>
      <c r="G88">
        <f t="shared" si="19"/>
        <v>0.12951025000000002</v>
      </c>
      <c r="H88">
        <f t="shared" si="20"/>
        <v>571.51532099999997</v>
      </c>
      <c r="I88">
        <f t="shared" si="21"/>
        <v>1.9050250000000001E-2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0.12859999999999999</v>
      </c>
      <c r="M88">
        <f>M25+I25+E25</f>
        <v>57.185251999999998</v>
      </c>
      <c r="O88" s="22"/>
      <c r="P88" s="23"/>
      <c r="Q88" t="s">
        <v>36</v>
      </c>
      <c r="R88">
        <f t="shared" si="24"/>
        <v>0.12488100000000001</v>
      </c>
      <c r="S88">
        <f t="shared" si="25"/>
        <v>0.129721</v>
      </c>
      <c r="U88">
        <f t="shared" si="26"/>
        <v>3.1181000000000004E-2</v>
      </c>
      <c r="V88">
        <f t="shared" si="27"/>
        <v>5.6210000000000001E-3</v>
      </c>
      <c r="X88">
        <f>(0.1*0.9+0.1*0.9)*F25+0.1*0.1*J25+(1-0.1*0.9-0.1*0.9-0.1*0.1)*B25</f>
        <v>0.1288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2"/>
      <c r="P93" s="23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4"/>
      <c r="C94" s="22"/>
      <c r="D94" s="23"/>
      <c r="E94" t="s">
        <v>36</v>
      </c>
      <c r="F94">
        <f t="shared" si="28"/>
        <v>0.12526399999999999</v>
      </c>
      <c r="G94">
        <f t="shared" si="29"/>
        <v>0.13014399999999998</v>
      </c>
      <c r="I94">
        <f t="shared" si="30"/>
        <v>5.1184000000000014E-2</v>
      </c>
      <c r="J94">
        <f t="shared" si="31"/>
        <v>5.744E-3</v>
      </c>
      <c r="L94">
        <f>(0.2*0.8+0.2*0.8)*F25+0.2*0.2*J25+(1-0.2*0.8-0.2*0.8-0.2*0.2)*B25</f>
        <v>0.12919999999999998</v>
      </c>
      <c r="O94" s="22"/>
      <c r="P94" s="23"/>
      <c r="Q94" t="s">
        <v>36</v>
      </c>
      <c r="R94">
        <f t="shared" si="32"/>
        <v>0.12564900000000001</v>
      </c>
      <c r="S94">
        <f t="shared" si="33"/>
        <v>0.13056899999999999</v>
      </c>
      <c r="U94">
        <f t="shared" si="34"/>
        <v>6.5508999999999998E-2</v>
      </c>
      <c r="V94">
        <f t="shared" si="35"/>
        <v>5.8690000000000001E-3</v>
      </c>
      <c r="X94">
        <f>(0.3*0.7+0.3*0.7)*F25+0.3*0.3*J25+(1-0.3*0.7-0.3*0.7-0.3*0.3)*B25</f>
        <v>0.12959999999999999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6"/>
      <c r="O100" s="22"/>
      <c r="P100" s="23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6"/>
        <v>0.12478572499999999</v>
      </c>
      <c r="G101">
        <f t="shared" si="37"/>
        <v>0.12961572499999999</v>
      </c>
      <c r="H101">
        <f>Q13+M13+I11+E13</f>
        <v>567.62705700000004</v>
      </c>
      <c r="I101">
        <f t="shared" si="38"/>
        <v>2.4813974999999999E-2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0.12870001249999996</v>
      </c>
      <c r="M101">
        <f>Q25+M25+I25+E25</f>
        <v>77.513000000000005</v>
      </c>
      <c r="N101" s="26"/>
      <c r="O101" s="22"/>
      <c r="P101" s="23"/>
      <c r="Q101" t="s">
        <v>36</v>
      </c>
      <c r="R101">
        <f t="shared" si="41"/>
        <v>0.12507279999999998</v>
      </c>
      <c r="S101">
        <f t="shared" si="42"/>
        <v>0.12993279999999999</v>
      </c>
      <c r="U101">
        <f t="shared" si="43"/>
        <v>4.0188800000000011E-2</v>
      </c>
      <c r="V101">
        <f t="shared" si="44"/>
        <v>5.6828E-3</v>
      </c>
      <c r="X101">
        <f>3*0.1*(1-0.1)*(1-0.1)*F25+3*0.1*0.1*(1-0.1)*J25+0.1*0.1*0.1*N25+(1-3*0.1*(1-0.1)*(1-0.1)-3*0.1*0.1*(1-0.1)-0.1*0.1*0.1)*B25</f>
        <v>0.12900009999999998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6"/>
      <c r="O106" s="22"/>
      <c r="P106" s="23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5"/>
        <v>0.1256504</v>
      </c>
      <c r="G107">
        <f t="shared" si="46"/>
        <v>0.13057039999999998</v>
      </c>
      <c r="I107">
        <f t="shared" si="47"/>
        <v>6.0398400000000026E-2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0.12960079999999996</v>
      </c>
      <c r="N107" s="26"/>
      <c r="O107" s="22"/>
      <c r="P107" s="23"/>
      <c r="Q107" t="s">
        <v>36</v>
      </c>
      <c r="R107">
        <f t="shared" si="49"/>
        <v>0.1262316</v>
      </c>
      <c r="S107">
        <f t="shared" si="50"/>
        <v>0.13121159999999998</v>
      </c>
      <c r="U107">
        <f t="shared" si="51"/>
        <v>6.8683599999999984E-2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0.13020269999999998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23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24"/>
      <c r="D113" s="23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23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24"/>
      <c r="D114" s="23"/>
      <c r="E114" t="s">
        <v>36</v>
      </c>
      <c r="F114">
        <f t="shared" si="53"/>
        <v>7.014999999999999E-2</v>
      </c>
      <c r="G114">
        <f t="shared" si="54"/>
        <v>0.11429499999999999</v>
      </c>
      <c r="H114">
        <f t="shared" si="55"/>
        <v>352.47898900000001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0.100965</v>
      </c>
      <c r="M114">
        <f>AA25+W25</f>
        <v>40.582925000000003</v>
      </c>
      <c r="P114" s="23"/>
      <c r="Q114" t="s">
        <v>36</v>
      </c>
      <c r="R114">
        <f t="shared" si="59"/>
        <v>7.0199999999999999E-2</v>
      </c>
      <c r="S114">
        <f t="shared" si="60"/>
        <v>0.11438999999999999</v>
      </c>
      <c r="U114">
        <f t="shared" si="61"/>
        <v>5.3600000000000002E-3</v>
      </c>
      <c r="V114">
        <f t="shared" si="62"/>
        <v>5.3600000000000002E-3</v>
      </c>
      <c r="X114">
        <f>0.1*X25+(1-0.1)*T25</f>
        <v>0.10103000000000001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23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24"/>
      <c r="D119" s="23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23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24"/>
      <c r="D120" s="23"/>
      <c r="E120" t="s">
        <v>36</v>
      </c>
      <c r="F120">
        <f t="shared" si="63"/>
        <v>7.0300000000000001E-2</v>
      </c>
      <c r="G120">
        <f t="shared" si="64"/>
        <v>0.11458</v>
      </c>
      <c r="I120">
        <f t="shared" si="65"/>
        <v>5.4199999999999995E-3</v>
      </c>
      <c r="J120">
        <f t="shared" si="66"/>
        <v>5.4199999999999995E-3</v>
      </c>
      <c r="L120">
        <f>0.2*X25+(1-0.2)*T25</f>
        <v>0.10116000000000001</v>
      </c>
      <c r="P120" s="23"/>
      <c r="Q120" t="s">
        <v>36</v>
      </c>
      <c r="R120">
        <f t="shared" si="67"/>
        <v>7.039999999999999E-2</v>
      </c>
      <c r="S120">
        <f t="shared" si="68"/>
        <v>0.11477</v>
      </c>
      <c r="U120">
        <f t="shared" si="69"/>
        <v>5.4799999999999996E-3</v>
      </c>
      <c r="V120">
        <f t="shared" si="70"/>
        <v>5.4799999999999996E-3</v>
      </c>
      <c r="X120">
        <f>0.3*X25+(1-0.3)*T25</f>
        <v>0.10128999999999999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2"/>
      <c r="P126" s="23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24"/>
      <c r="C127" s="22"/>
      <c r="D127" s="23"/>
      <c r="E127" t="s">
        <v>36</v>
      </c>
      <c r="F127">
        <f t="shared" si="71"/>
        <v>7.0200249999999992E-2</v>
      </c>
      <c r="G127">
        <f t="shared" si="72"/>
        <v>0.11439000000000001</v>
      </c>
      <c r="H127">
        <f t="shared" si="73"/>
        <v>525.15563900000006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0.10103100000000001</v>
      </c>
      <c r="M127">
        <f>AE25+AA25+W25</f>
        <v>60.598421000000002</v>
      </c>
      <c r="O127" s="22"/>
      <c r="P127" s="23"/>
      <c r="Q127" t="s">
        <v>36</v>
      </c>
      <c r="R127">
        <f t="shared" si="77"/>
        <v>7.0301000000000002E-2</v>
      </c>
      <c r="S127">
        <f t="shared" si="78"/>
        <v>0.11458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0.10116400000000002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2"/>
      <c r="P132" s="23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24"/>
      <c r="C133" s="22"/>
      <c r="D133" s="23"/>
      <c r="E133" t="s">
        <v>36</v>
      </c>
      <c r="F133">
        <f t="shared" si="81"/>
        <v>7.0503999999999997E-2</v>
      </c>
      <c r="G133">
        <f t="shared" si="82"/>
        <v>0.11495999999999999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0.101436</v>
      </c>
      <c r="O133" s="22"/>
      <c r="P133" s="23"/>
      <c r="Q133" t="s">
        <v>36</v>
      </c>
      <c r="R133">
        <f t="shared" si="85"/>
        <v>7.0708999999999994E-2</v>
      </c>
      <c r="S133">
        <f t="shared" si="86"/>
        <v>0.11534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0.101716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6"/>
      <c r="O139" s="22"/>
      <c r="P139" s="23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6.1424274999999987E-2</v>
      </c>
      <c r="G140">
        <f>3*0.05*(1-0.05)*(1-0.05)*Z20+3*0.05*0.05*(1-0.05)*AD13+0.05*0.05*0.05*AH13+(1-3*0.05*(1-0.05)*(1-0.05)-3*0.05*0.05*(1-0.05)-0.05*0.05*0.05)*V13</f>
        <v>9.956667499999998E-2</v>
      </c>
      <c r="H140">
        <f>AI13+AE13+AA20+W13</f>
        <v>523.04724099999999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0.10109792499999999</v>
      </c>
      <c r="M140">
        <f>AI25+AE25+AA25+W25</f>
        <v>83.095450999999997</v>
      </c>
      <c r="N140" s="26"/>
      <c r="O140" s="22"/>
      <c r="P140" s="23"/>
      <c r="Q140" t="s">
        <v>36</v>
      </c>
      <c r="R140">
        <f t="shared" si="92"/>
        <v>7.0402799999999988E-2</v>
      </c>
      <c r="S140">
        <f t="shared" si="93"/>
        <v>0.11476999999999998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0.10130139999999999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6"/>
      <c r="O145" s="22"/>
      <c r="P145" s="23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4.5673599999999988E-2</v>
      </c>
      <c r="G146">
        <f>3*0.2*(1-0.2)*(1-0.2)*Z20+3*0.2*0.2*(1-0.2)*AD13+0.2*0.2*0.2*AH13+(1-3*0.2*(1-0.2)*(1-0.2)-3*0.2*0.2*(1-0.2)-0.2*0.2*0.2)*V13</f>
        <v>7.3023199999999983E-2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0.10172319999999999</v>
      </c>
      <c r="N146" s="26"/>
      <c r="O146" s="22"/>
      <c r="P146" s="23"/>
      <c r="Q146" t="s">
        <v>36</v>
      </c>
      <c r="R146">
        <f t="shared" si="98"/>
        <v>7.1021600000000004E-2</v>
      </c>
      <c r="S146">
        <f t="shared" si="99"/>
        <v>0.11591000000000001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0.10216180000000001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23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24"/>
      <c r="D152" s="23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23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24"/>
      <c r="D153" s="23"/>
      <c r="E153" t="s">
        <v>36</v>
      </c>
      <c r="F153">
        <f t="shared" si="102"/>
        <v>3.6725000000000001E-2</v>
      </c>
      <c r="G153">
        <f t="shared" si="103"/>
        <v>0.10048499999999999</v>
      </c>
      <c r="H153">
        <f t="shared" si="104"/>
        <v>309.65331200000003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7.1559999999999985E-2</v>
      </c>
      <c r="M153">
        <f>I46+E46</f>
        <v>47.679068999999998</v>
      </c>
      <c r="P153" s="23"/>
      <c r="Q153" t="s">
        <v>36</v>
      </c>
      <c r="R153">
        <f t="shared" si="108"/>
        <v>3.6750000000000005E-2</v>
      </c>
      <c r="S153">
        <f t="shared" si="109"/>
        <v>0.10057000000000001</v>
      </c>
      <c r="U153">
        <f t="shared" si="110"/>
        <v>4.7600000000000003E-3</v>
      </c>
      <c r="V153">
        <f t="shared" si="111"/>
        <v>4.96E-3</v>
      </c>
      <c r="X153">
        <f>0.1*F46+(1-0.1)*B46</f>
        <v>7.1619999999999989E-2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23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24"/>
      <c r="D158" s="23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23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24"/>
      <c r="D159" s="23"/>
      <c r="E159" t="s">
        <v>36</v>
      </c>
      <c r="F159">
        <f t="shared" si="112"/>
        <v>3.6800000000000006E-2</v>
      </c>
      <c r="G159">
        <f t="shared" si="113"/>
        <v>0.10074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7.1739999999999998E-2</v>
      </c>
      <c r="P159" s="23"/>
      <c r="Q159" t="s">
        <v>36</v>
      </c>
      <c r="R159">
        <f t="shared" si="116"/>
        <v>3.6850000000000001E-2</v>
      </c>
      <c r="S159">
        <f t="shared" si="117"/>
        <v>0.10091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7.1859999999999993E-2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2"/>
      <c r="P165" s="23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24"/>
      <c r="C166" s="22"/>
      <c r="D166" s="23"/>
      <c r="E166" t="s">
        <v>36</v>
      </c>
      <c r="F166">
        <f t="shared" si="120"/>
        <v>3.6750250000000005E-2</v>
      </c>
      <c r="G166">
        <f t="shared" si="121"/>
        <v>0.10057000000000001</v>
      </c>
      <c r="H166">
        <f t="shared" si="122"/>
        <v>464.56196600000004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7.1619749999999996E-2</v>
      </c>
      <c r="M166">
        <f>M46+I46+E46</f>
        <v>66.882399000000007</v>
      </c>
      <c r="O166" s="22"/>
      <c r="P166" s="23"/>
      <c r="Q166" t="s">
        <v>36</v>
      </c>
      <c r="R166">
        <f t="shared" si="126"/>
        <v>3.6801E-2</v>
      </c>
      <c r="S166">
        <f t="shared" si="127"/>
        <v>0.10074000000000001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7.1738999999999997E-2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2"/>
      <c r="P171" s="23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24"/>
      <c r="C172" s="22"/>
      <c r="D172" s="23"/>
      <c r="E172" t="s">
        <v>36</v>
      </c>
      <c r="F172">
        <f t="shared" si="130"/>
        <v>3.6903999999999999E-2</v>
      </c>
      <c r="G172">
        <f t="shared" si="131"/>
        <v>0.10108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7.1975999999999984E-2</v>
      </c>
      <c r="O172" s="22"/>
      <c r="P172" s="23"/>
      <c r="Q172" t="s">
        <v>36</v>
      </c>
      <c r="R172">
        <f t="shared" si="134"/>
        <v>3.7009E-2</v>
      </c>
      <c r="S172">
        <f t="shared" si="135"/>
        <v>0.10142000000000001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7.2210999999999997E-2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6"/>
      <c r="O178" s="22"/>
      <c r="P178" s="23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8"/>
        <v>3.6775737499999996E-2</v>
      </c>
      <c r="G179">
        <f t="shared" si="139"/>
        <v>0.10065499999999998</v>
      </c>
      <c r="H179">
        <f t="shared" si="140"/>
        <v>617.16807599999993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7.1679262499999979E-2</v>
      </c>
      <c r="M179">
        <f>Q46+M46+I46+E46</f>
        <v>87.135380999999995</v>
      </c>
      <c r="N179" s="26"/>
      <c r="O179" s="22"/>
      <c r="P179" s="23"/>
      <c r="Q179" t="s">
        <v>36</v>
      </c>
      <c r="R179">
        <f t="shared" si="144"/>
        <v>3.6852900000000001E-2</v>
      </c>
      <c r="S179">
        <f t="shared" si="145"/>
        <v>0.10091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7.1857099999999993E-2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6"/>
      <c r="O184" s="22"/>
      <c r="P184" s="23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8"/>
        <v>3.7011200000000001E-2</v>
      </c>
      <c r="G185">
        <f t="shared" si="149"/>
        <v>0.10141999999999998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7.220879999999999E-2</v>
      </c>
      <c r="N185" s="26"/>
      <c r="O185" s="22"/>
      <c r="P185" s="23"/>
      <c r="Q185" t="s">
        <v>36</v>
      </c>
      <c r="R185">
        <f t="shared" si="152"/>
        <v>3.7174300000000007E-2</v>
      </c>
      <c r="S185">
        <f t="shared" si="153"/>
        <v>0.10193000000000002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7.2555700000000001E-2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23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24"/>
      <c r="D191" s="23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23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24"/>
      <c r="D192" s="23"/>
      <c r="E192" t="s">
        <v>36</v>
      </c>
      <c r="F192">
        <f t="shared" si="156"/>
        <v>1.9214999999999999E-2</v>
      </c>
      <c r="G192">
        <f t="shared" si="157"/>
        <v>8.0670000000000006E-2</v>
      </c>
      <c r="H192">
        <f t="shared" si="158"/>
        <v>262.462401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4.3834999999999992E-2</v>
      </c>
      <c r="M192">
        <f>AA46+W46</f>
        <v>36.594422999999999</v>
      </c>
      <c r="P192" s="23"/>
      <c r="Q192" t="s">
        <v>36</v>
      </c>
      <c r="R192">
        <f t="shared" si="162"/>
        <v>1.9230000000000001E-2</v>
      </c>
      <c r="S192">
        <f t="shared" si="163"/>
        <v>8.0740000000000006E-2</v>
      </c>
      <c r="U192">
        <f t="shared" si="164"/>
        <v>3.46E-3</v>
      </c>
      <c r="V192">
        <f t="shared" si="165"/>
        <v>4.1500000000000009E-3</v>
      </c>
      <c r="X192">
        <f>0.1*X46+(1-0.1)*T46</f>
        <v>4.3869999999999999E-2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23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24"/>
      <c r="D197" s="23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23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24"/>
      <c r="D198" s="23"/>
      <c r="E198" t="s">
        <v>36</v>
      </c>
      <c r="F198">
        <f t="shared" si="166"/>
        <v>1.9259999999999999E-2</v>
      </c>
      <c r="G198">
        <f t="shared" si="167"/>
        <v>8.0880000000000007E-2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4.394E-2</v>
      </c>
      <c r="P198" s="23"/>
      <c r="Q198" t="s">
        <v>36</v>
      </c>
      <c r="R198">
        <f t="shared" si="170"/>
        <v>1.9289999999999998E-2</v>
      </c>
      <c r="S198">
        <f t="shared" si="171"/>
        <v>8.1019999999999995E-2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4.4009999999999994E-2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2"/>
      <c r="P204" s="23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24"/>
      <c r="C205" s="22"/>
      <c r="D205" s="23"/>
      <c r="E205" t="s">
        <v>36</v>
      </c>
      <c r="F205">
        <f t="shared" si="174"/>
        <v>1.9230250000000001E-2</v>
      </c>
      <c r="G205">
        <f t="shared" si="175"/>
        <v>8.074000000000002E-2</v>
      </c>
      <c r="H205">
        <f t="shared" si="176"/>
        <v>393.84898399999997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4.3869999999999999E-2</v>
      </c>
      <c r="M205">
        <f>AE46+AA46+W46</f>
        <v>59.610395999999994</v>
      </c>
      <c r="O205" s="22"/>
      <c r="P205" s="23"/>
      <c r="Q205" t="s">
        <v>36</v>
      </c>
      <c r="R205">
        <f t="shared" si="180"/>
        <v>1.9261E-2</v>
      </c>
      <c r="S205">
        <f t="shared" si="181"/>
        <v>8.0880000000000007E-2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4.394E-2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2"/>
      <c r="P210" s="23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24"/>
      <c r="C211" s="22"/>
      <c r="D211" s="23"/>
      <c r="E211" t="s">
        <v>36</v>
      </c>
      <c r="F211">
        <f t="shared" si="184"/>
        <v>1.9323999999999997E-2</v>
      </c>
      <c r="G211">
        <f t="shared" si="185"/>
        <v>8.116000000000001E-2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4.4079999999999994E-2</v>
      </c>
      <c r="O211" s="22"/>
      <c r="P211" s="23"/>
      <c r="Q211" t="s">
        <v>36</v>
      </c>
      <c r="R211">
        <f t="shared" si="188"/>
        <v>1.9389000000000003E-2</v>
      </c>
      <c r="S211">
        <f t="shared" si="189"/>
        <v>8.1440000000000012E-2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4.4220000000000002E-2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6"/>
      <c r="O217" s="22"/>
      <c r="P217" s="23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92"/>
        <v>1.9245724999999998E-2</v>
      </c>
      <c r="G218">
        <f t="shared" si="193"/>
        <v>8.0809999999999993E-2</v>
      </c>
      <c r="H218">
        <f t="shared" si="194"/>
        <v>524.24937799999998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4.3905024999999993E-2</v>
      </c>
      <c r="M218">
        <f>AI46+AE46+AA46+W46</f>
        <v>78.691952999999998</v>
      </c>
      <c r="N218" s="26"/>
      <c r="O218" s="22"/>
      <c r="P218" s="23"/>
      <c r="Q218" t="s">
        <v>36</v>
      </c>
      <c r="R218">
        <f t="shared" si="198"/>
        <v>1.9292799999999999E-2</v>
      </c>
      <c r="S218">
        <f t="shared" si="199"/>
        <v>8.1020000000000009E-2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4.4010199999999999E-2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6"/>
      <c r="O223" s="22"/>
      <c r="P223" s="23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202"/>
        <v>1.9390399999999995E-2</v>
      </c>
      <c r="G224">
        <f t="shared" si="203"/>
        <v>8.1439999999999999E-2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4.42216E-2</v>
      </c>
      <c r="N224" s="26"/>
      <c r="O224" s="22"/>
      <c r="P224" s="23"/>
      <c r="Q224" t="s">
        <v>36</v>
      </c>
      <c r="R224">
        <f t="shared" si="206"/>
        <v>1.9491600000000001E-2</v>
      </c>
      <c r="S224">
        <f t="shared" si="207"/>
        <v>8.1860000000000016E-2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4.44354E-2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23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24"/>
      <c r="D230" s="23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23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24"/>
      <c r="D231" s="23"/>
      <c r="E231" t="s">
        <v>36</v>
      </c>
      <c r="F231">
        <f t="shared" si="210"/>
        <v>9.0099999999999989E-3</v>
      </c>
      <c r="G231">
        <f t="shared" si="211"/>
        <v>4.8050000000000002E-2</v>
      </c>
      <c r="H231">
        <f t="shared" si="212"/>
        <v>172.101887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1.8320000000000003E-2</v>
      </c>
      <c r="M231">
        <f>I66+E66</f>
        <v>40.684048000000004</v>
      </c>
      <c r="P231" s="23"/>
      <c r="Q231" t="s">
        <v>36</v>
      </c>
      <c r="R231">
        <f t="shared" si="216"/>
        <v>9.0200000000000002E-3</v>
      </c>
      <c r="S231">
        <f t="shared" si="217"/>
        <v>4.8100000000000004E-2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1.8340000000000002E-2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23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24"/>
      <c r="D236" s="23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23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24"/>
      <c r="D237" s="23"/>
      <c r="E237" t="s">
        <v>36</v>
      </c>
      <c r="F237">
        <f t="shared" si="220"/>
        <v>9.0399999999999994E-3</v>
      </c>
      <c r="G237">
        <f t="shared" si="221"/>
        <v>4.8200000000000007E-2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1.8380000000000001E-2</v>
      </c>
      <c r="P237" s="23"/>
      <c r="Q237" t="s">
        <v>36</v>
      </c>
      <c r="R237">
        <f t="shared" si="224"/>
        <v>9.0599999999999986E-3</v>
      </c>
      <c r="S237">
        <f t="shared" si="225"/>
        <v>4.8299999999999996E-2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1.8419999999999999E-2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2"/>
      <c r="P243" s="23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24"/>
      <c r="C244" s="22"/>
      <c r="D244" s="23"/>
      <c r="E244" t="s">
        <v>36</v>
      </c>
      <c r="F244">
        <f t="shared" si="228"/>
        <v>9.0200000000000002E-3</v>
      </c>
      <c r="G244">
        <f t="shared" si="229"/>
        <v>4.8100000000000004E-2</v>
      </c>
      <c r="H244">
        <f t="shared" si="230"/>
        <v>258.42478900000003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1.8340500000000003E-2</v>
      </c>
      <c r="M244">
        <f>M66+I66+E66</f>
        <v>60.500993000000001</v>
      </c>
      <c r="O244" s="22"/>
      <c r="P244" s="23"/>
      <c r="Q244" t="s">
        <v>36</v>
      </c>
      <c r="R244">
        <f t="shared" si="234"/>
        <v>9.0399999999999994E-3</v>
      </c>
      <c r="S244">
        <f t="shared" si="235"/>
        <v>4.8200000000000007E-2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1.8382000000000003E-2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2"/>
      <c r="P249" s="23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24"/>
      <c r="C250" s="22"/>
      <c r="D250" s="23"/>
      <c r="E250" t="s">
        <v>36</v>
      </c>
      <c r="F250">
        <f t="shared" si="238"/>
        <v>9.0799999999999995E-3</v>
      </c>
      <c r="G250">
        <f t="shared" si="239"/>
        <v>4.8399999999999999E-2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1.8467999999999998E-2</v>
      </c>
      <c r="O250" s="22"/>
      <c r="P250" s="23"/>
      <c r="Q250" t="s">
        <v>36</v>
      </c>
      <c r="R250">
        <f t="shared" si="242"/>
        <v>9.1199999999999996E-3</v>
      </c>
      <c r="S250">
        <f t="shared" si="243"/>
        <v>4.8600000000000004E-2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1.8558000000000005E-2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6"/>
      <c r="O256" s="22"/>
      <c r="P256" s="23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6"/>
        <v>9.0299999999999981E-3</v>
      </c>
      <c r="G257">
        <f t="shared" si="247"/>
        <v>4.8149999999999998E-2</v>
      </c>
      <c r="H257">
        <f t="shared" si="248"/>
        <v>339.99640699999998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1.8361462499999998E-2</v>
      </c>
      <c r="M257">
        <f>Q66+M66+I66+E66</f>
        <v>80.823453000000001</v>
      </c>
      <c r="N257" s="26"/>
      <c r="O257" s="22"/>
      <c r="P257" s="23"/>
      <c r="Q257" t="s">
        <v>36</v>
      </c>
      <c r="R257">
        <f t="shared" si="252"/>
        <v>9.0599999999999986E-3</v>
      </c>
      <c r="S257">
        <f t="shared" si="253"/>
        <v>4.8300000000000003E-2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1.84257E-2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6"/>
      <c r="O262" s="22"/>
      <c r="P262" s="23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6"/>
        <v>9.1199999999999996E-3</v>
      </c>
      <c r="G263">
        <f t="shared" si="257"/>
        <v>4.8599999999999997E-2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1.8561599999999998E-2</v>
      </c>
      <c r="N263" s="26"/>
      <c r="O263" s="22"/>
      <c r="P263" s="23"/>
      <c r="Q263" t="s">
        <v>36</v>
      </c>
      <c r="R263">
        <f t="shared" si="260"/>
        <v>9.1800000000000007E-3</v>
      </c>
      <c r="S263">
        <f t="shared" si="261"/>
        <v>4.8900000000000013E-2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1.8705900000000004E-2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15">
        <v>0.115</v>
      </c>
      <c r="D13" s="15">
        <v>0.1186</v>
      </c>
      <c r="E13" s="16">
        <v>98.648692999999994</v>
      </c>
      <c r="F13" t="s">
        <v>22</v>
      </c>
      <c r="G13" s="15">
        <v>0.1171</v>
      </c>
      <c r="H13" s="15">
        <v>0.1208</v>
      </c>
      <c r="I13" s="16">
        <v>97.863923999999997</v>
      </c>
      <c r="J13" t="s">
        <v>22</v>
      </c>
      <c r="K13" s="16">
        <v>0.1191</v>
      </c>
      <c r="L13" s="16">
        <v>0.1229</v>
      </c>
      <c r="M13" s="16">
        <v>97.905304000000001</v>
      </c>
      <c r="N13" t="s">
        <v>22</v>
      </c>
      <c r="O13" s="16">
        <v>0.1211</v>
      </c>
      <c r="P13" s="16">
        <v>0.12509999999999999</v>
      </c>
      <c r="Q13" s="16">
        <v>98.043441999999999</v>
      </c>
      <c r="S13" s="24"/>
      <c r="T13" t="s">
        <v>22</v>
      </c>
      <c r="U13" s="3">
        <v>6.6199999999999995E-2</v>
      </c>
      <c r="V13" s="3">
        <v>0.1048</v>
      </c>
      <c r="W13">
        <v>90.345464000000007</v>
      </c>
      <c r="X13" t="s">
        <v>22</v>
      </c>
      <c r="Y13" s="3">
        <v>6.7299999999999999E-2</v>
      </c>
      <c r="Z13" s="3">
        <v>0.1067</v>
      </c>
      <c r="AA13">
        <v>91.224418</v>
      </c>
      <c r="AB13" t="s">
        <v>22</v>
      </c>
      <c r="AC13">
        <v>6.8400000000000002E-2</v>
      </c>
      <c r="AD13">
        <v>0.1087</v>
      </c>
      <c r="AE13">
        <v>90.030950000000004</v>
      </c>
      <c r="AF13" t="s">
        <v>22</v>
      </c>
      <c r="AG13">
        <v>6.9500000000000006E-2</v>
      </c>
      <c r="AH13">
        <v>0.1106</v>
      </c>
      <c r="AI13">
        <v>88.990851000000006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0.14810000000000001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20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0.1177</v>
      </c>
      <c r="C25" s="4"/>
      <c r="D25" s="4"/>
      <c r="E25">
        <v>12.820332000000001</v>
      </c>
      <c r="F25" s="3">
        <v>0.11990000000000001</v>
      </c>
      <c r="G25" s="4"/>
      <c r="H25" s="4"/>
      <c r="I25">
        <v>14.24192</v>
      </c>
      <c r="J25" s="9">
        <v>0.1222</v>
      </c>
      <c r="K25" s="9"/>
      <c r="L25" s="9"/>
      <c r="M25">
        <v>14.560843</v>
      </c>
      <c r="N25" s="9">
        <v>0.12429999999999999</v>
      </c>
      <c r="O25" s="9"/>
      <c r="P25" s="9"/>
      <c r="Q25">
        <v>14.50372</v>
      </c>
      <c r="S25" s="25"/>
      <c r="T25" s="4">
        <v>9.3799999999999994E-2</v>
      </c>
      <c r="U25" s="4"/>
      <c r="V25" s="4"/>
      <c r="W25">
        <v>13.268452</v>
      </c>
      <c r="X25" s="4">
        <v>9.5500000000000002E-2</v>
      </c>
      <c r="Y25" s="4"/>
      <c r="Z25" s="4"/>
      <c r="AA25">
        <v>12.772179</v>
      </c>
      <c r="AB25" s="9">
        <v>9.7000000000000003E-2</v>
      </c>
      <c r="AC25" s="9"/>
      <c r="AD25" s="9"/>
      <c r="AE25">
        <v>18.612309</v>
      </c>
      <c r="AF25" s="9">
        <v>9.8799999999999999E-2</v>
      </c>
      <c r="AG25" s="9"/>
      <c r="AH25" s="9"/>
      <c r="AI25">
        <v>25.548555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3.6400000000000002E-2</v>
      </c>
      <c r="D34" s="3">
        <v>9.1800000000000007E-2</v>
      </c>
      <c r="E34">
        <v>78.034231000000005</v>
      </c>
      <c r="F34" t="s">
        <v>22</v>
      </c>
      <c r="G34" s="3">
        <v>3.6999999999999998E-2</v>
      </c>
      <c r="H34" s="3">
        <v>9.35E-2</v>
      </c>
      <c r="I34">
        <v>76.883657999999997</v>
      </c>
      <c r="J34" t="s">
        <v>22</v>
      </c>
      <c r="K34">
        <v>3.7600000000000001E-2</v>
      </c>
      <c r="L34">
        <v>9.5200000000000007E-2</v>
      </c>
      <c r="M34">
        <v>76.429105000000007</v>
      </c>
      <c r="N34" t="s">
        <v>22</v>
      </c>
      <c r="O34">
        <v>3.8199999999999998E-2</v>
      </c>
      <c r="P34">
        <v>9.69E-2</v>
      </c>
      <c r="Q34">
        <v>77.387863999999993</v>
      </c>
      <c r="S34" s="24"/>
      <c r="T34" t="s">
        <v>22</v>
      </c>
      <c r="U34" s="3">
        <v>1.9E-2</v>
      </c>
      <c r="V34" s="3">
        <v>7.3599999999999999E-2</v>
      </c>
      <c r="W34">
        <v>62.744264999999999</v>
      </c>
      <c r="X34" t="s">
        <v>22</v>
      </c>
      <c r="Y34" s="3">
        <v>1.9400000000000001E-2</v>
      </c>
      <c r="Z34" s="3">
        <v>7.4999999999999997E-2</v>
      </c>
      <c r="AA34">
        <v>62.353166999999999</v>
      </c>
      <c r="AB34" t="s">
        <v>22</v>
      </c>
      <c r="AC34" s="3">
        <v>1.9800000000000002E-2</v>
      </c>
      <c r="AD34" s="3">
        <v>7.6499999999999999E-2</v>
      </c>
      <c r="AE34">
        <v>62.505031000000002</v>
      </c>
      <c r="AF34" t="s">
        <v>22</v>
      </c>
      <c r="AG34" s="3">
        <v>2.01E-2</v>
      </c>
      <c r="AH34" s="3">
        <v>7.7899999999999997E-2</v>
      </c>
      <c r="AI34">
        <v>62.487740000000002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20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6.7299999999999999E-2</v>
      </c>
      <c r="C46" s="4"/>
      <c r="D46" s="4"/>
      <c r="E46">
        <v>12.602448000000001</v>
      </c>
      <c r="F46" s="4">
        <v>6.8599999999999994E-2</v>
      </c>
      <c r="G46" s="4"/>
      <c r="H46" s="4"/>
      <c r="I46">
        <v>16.245435000000001</v>
      </c>
      <c r="J46" s="9">
        <v>6.9699999999999998E-2</v>
      </c>
      <c r="K46" s="9"/>
      <c r="L46" s="9"/>
      <c r="M46">
        <v>13.531377000000001</v>
      </c>
      <c r="N46" s="9">
        <v>7.0599999999999996E-2</v>
      </c>
      <c r="O46" s="9"/>
      <c r="P46" s="9"/>
      <c r="Q46">
        <v>13.250973999999999</v>
      </c>
      <c r="S46" s="25"/>
      <c r="T46" s="4">
        <v>4.1700000000000001E-2</v>
      </c>
      <c r="U46" s="4"/>
      <c r="V46" s="4"/>
      <c r="W46">
        <v>13.084268</v>
      </c>
      <c r="X46" s="4">
        <v>4.2599999999999999E-2</v>
      </c>
      <c r="Y46" s="4"/>
      <c r="Z46" s="4"/>
      <c r="AA46">
        <v>13.599532</v>
      </c>
      <c r="AB46" s="4">
        <v>4.3299999999999998E-2</v>
      </c>
      <c r="AC46" s="4"/>
      <c r="AD46" s="4"/>
      <c r="AE46">
        <v>12.495926000000001</v>
      </c>
      <c r="AF46" s="4">
        <v>4.4200000000000003E-2</v>
      </c>
      <c r="AG46" s="4"/>
      <c r="AH46" s="4"/>
      <c r="AI46">
        <v>13.706163999999999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8.9999999999999993E-3</v>
      </c>
      <c r="D54" s="3">
        <v>4.3900000000000002E-2</v>
      </c>
      <c r="E54">
        <v>47.537472000000001</v>
      </c>
      <c r="F54" t="s">
        <v>22</v>
      </c>
      <c r="G54" s="3">
        <v>9.1999999999999998E-3</v>
      </c>
      <c r="H54" s="3">
        <v>4.4900000000000002E-2</v>
      </c>
      <c r="I54">
        <v>41.413179</v>
      </c>
      <c r="J54" t="s">
        <v>22</v>
      </c>
      <c r="K54" s="3">
        <v>9.4000000000000004E-3</v>
      </c>
      <c r="L54" s="3">
        <v>4.5900000000000003E-2</v>
      </c>
      <c r="M54">
        <v>42.624378999999998</v>
      </c>
      <c r="N54" t="s">
        <v>22</v>
      </c>
      <c r="O54" s="3">
        <v>9.5999999999999992E-3</v>
      </c>
      <c r="P54" s="3">
        <v>4.6899999999999997E-2</v>
      </c>
      <c r="Q54">
        <v>41.448816000000001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1.78E-2</v>
      </c>
      <c r="C66" s="4"/>
      <c r="D66" s="4"/>
      <c r="E66">
        <v>12.996873000000001</v>
      </c>
      <c r="F66" s="4">
        <v>1.83E-2</v>
      </c>
      <c r="G66" s="4"/>
      <c r="H66" s="4"/>
      <c r="I66">
        <v>12.737329000000001</v>
      </c>
      <c r="J66" s="4">
        <v>1.8700000000000001E-2</v>
      </c>
      <c r="K66" s="4"/>
      <c r="L66" s="4"/>
      <c r="M66">
        <v>14.959759</v>
      </c>
      <c r="N66" s="4">
        <v>1.9300000000000001E-2</v>
      </c>
      <c r="O66" s="4"/>
      <c r="P66" s="4"/>
      <c r="Q66">
        <v>13.596769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0.115105</v>
      </c>
      <c r="G75">
        <f t="shared" si="1"/>
        <v>0.11871</v>
      </c>
      <c r="H75">
        <f t="shared" si="2"/>
        <v>196.51261699999998</v>
      </c>
      <c r="I75">
        <f t="shared" si="3"/>
        <v>1.2630000000000001E-2</v>
      </c>
      <c r="J75">
        <f t="shared" si="4"/>
        <v>5.5299999999999993E-3</v>
      </c>
      <c r="K75">
        <f t="shared" si="5"/>
        <v>2.2851509999999999</v>
      </c>
      <c r="L75">
        <f>0.05*F25+(1-0.05)*B25</f>
        <v>0.11781</v>
      </c>
      <c r="M75">
        <f>I25+E25</f>
        <v>27.062252000000001</v>
      </c>
      <c r="P75" s="23"/>
      <c r="Q75" t="s">
        <v>36</v>
      </c>
      <c r="R75">
        <f t="shared" si="6"/>
        <v>0.11521000000000001</v>
      </c>
      <c r="S75">
        <f t="shared" si="7"/>
        <v>0.11882000000000001</v>
      </c>
      <c r="U75">
        <f t="shared" si="8"/>
        <v>1.976E-2</v>
      </c>
      <c r="V75">
        <f t="shared" si="9"/>
        <v>5.5599999999999998E-3</v>
      </c>
      <c r="X75">
        <f>0.1*F25+(1-0.1)*B25</f>
        <v>0.11792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3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3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4"/>
      <c r="D81" s="23"/>
      <c r="E81" t="s">
        <v>36</v>
      </c>
      <c r="F81">
        <f t="shared" si="10"/>
        <v>0.11542000000000001</v>
      </c>
      <c r="G81">
        <f t="shared" si="11"/>
        <v>0.11904000000000001</v>
      </c>
      <c r="I81">
        <f t="shared" si="12"/>
        <v>3.4020000000000002E-2</v>
      </c>
      <c r="J81">
        <f t="shared" si="13"/>
        <v>5.62E-3</v>
      </c>
      <c r="L81">
        <f>0.2*F25+(1-0.2)*B25</f>
        <v>0.11814000000000001</v>
      </c>
      <c r="P81" s="23"/>
      <c r="Q81" t="s">
        <v>36</v>
      </c>
      <c r="R81">
        <f t="shared" si="14"/>
        <v>0.11563</v>
      </c>
      <c r="S81">
        <f t="shared" si="15"/>
        <v>0.11926</v>
      </c>
      <c r="U81">
        <f t="shared" si="16"/>
        <v>4.8280000000000003E-2</v>
      </c>
      <c r="V81">
        <f t="shared" si="17"/>
        <v>5.6799999999999993E-3</v>
      </c>
      <c r="X81">
        <f>0.3*F25+(1-0.3)*B25</f>
        <v>0.11835999999999999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2" t="s">
        <v>40</v>
      </c>
      <c r="P86" s="23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2"/>
      <c r="P87" s="23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4"/>
      <c r="C88" s="22"/>
      <c r="D88" s="23"/>
      <c r="E88" t="s">
        <v>36</v>
      </c>
      <c r="F88">
        <f t="shared" si="18"/>
        <v>0.11520975000000001</v>
      </c>
      <c r="G88">
        <f t="shared" si="19"/>
        <v>0.11881975</v>
      </c>
      <c r="H88">
        <f t="shared" si="20"/>
        <v>294.41792099999998</v>
      </c>
      <c r="I88">
        <f t="shared" si="21"/>
        <v>1.9050250000000001E-2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0.11792025</v>
      </c>
      <c r="M88">
        <f>M25+I25+E25</f>
        <v>41.623094999999999</v>
      </c>
      <c r="O88" s="22"/>
      <c r="P88" s="23"/>
      <c r="Q88" t="s">
        <v>36</v>
      </c>
      <c r="R88">
        <f t="shared" si="24"/>
        <v>0.11541900000000002</v>
      </c>
      <c r="S88">
        <f t="shared" si="25"/>
        <v>0.11903900000000001</v>
      </c>
      <c r="U88">
        <f t="shared" si="26"/>
        <v>3.1181000000000004E-2</v>
      </c>
      <c r="V88">
        <f t="shared" si="27"/>
        <v>5.6210000000000001E-3</v>
      </c>
      <c r="X88">
        <f>(0.1*0.9+0.1*0.9)*F25+0.1*0.1*J25+(1-0.1*0.9-0.1*0.9-0.1*0.1)*B25</f>
        <v>0.11814100000000001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2"/>
      <c r="P93" s="23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4"/>
      <c r="C94" s="22"/>
      <c r="D94" s="23"/>
      <c r="E94" t="s">
        <v>36</v>
      </c>
      <c r="F94">
        <f t="shared" si="28"/>
        <v>0.11583600000000001</v>
      </c>
      <c r="G94">
        <f t="shared" si="29"/>
        <v>0.119476</v>
      </c>
      <c r="I94">
        <f t="shared" si="30"/>
        <v>5.1184000000000014E-2</v>
      </c>
      <c r="J94">
        <f t="shared" si="31"/>
        <v>5.744E-3</v>
      </c>
      <c r="L94">
        <f>(0.2*0.8+0.2*0.8)*F25+0.2*0.2*J25+(1-0.2*0.8-0.2*0.8-0.2*0.2)*B25</f>
        <v>0.11858399999999999</v>
      </c>
      <c r="O94" s="22"/>
      <c r="P94" s="23"/>
      <c r="Q94" t="s">
        <v>36</v>
      </c>
      <c r="R94">
        <f t="shared" si="32"/>
        <v>0.11625100000000001</v>
      </c>
      <c r="S94">
        <f t="shared" si="33"/>
        <v>0.11991100000000002</v>
      </c>
      <c r="U94">
        <f t="shared" si="34"/>
        <v>6.5508999999999998E-2</v>
      </c>
      <c r="V94">
        <f t="shared" si="35"/>
        <v>5.8690000000000001E-3</v>
      </c>
      <c r="X94">
        <f>(0.3*0.7+0.3*0.7)*F25+0.3*0.3*J25+(1-0.3*0.7-0.3*0.7-0.3*0.3)*B25</f>
        <v>0.11902900000000001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6"/>
      <c r="O100" s="22"/>
      <c r="P100" s="23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6"/>
        <v>0.1153142625</v>
      </c>
      <c r="G101">
        <f t="shared" si="37"/>
        <v>0.11892927499999999</v>
      </c>
      <c r="H101">
        <f>Q13+M13+I11+E13</f>
        <v>294.59743900000001</v>
      </c>
      <c r="I101">
        <f t="shared" si="38"/>
        <v>2.4813974999999999E-2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0.11803071249999998</v>
      </c>
      <c r="M101">
        <f>Q25+M25+I25+E25</f>
        <v>56.126815000000001</v>
      </c>
      <c r="N101" s="26"/>
      <c r="O101" s="22"/>
      <c r="P101" s="23"/>
      <c r="Q101" t="s">
        <v>36</v>
      </c>
      <c r="R101">
        <f t="shared" si="41"/>
        <v>0.1156271</v>
      </c>
      <c r="S101">
        <f t="shared" si="42"/>
        <v>0.11925719999999999</v>
      </c>
      <c r="U101">
        <f t="shared" si="43"/>
        <v>4.0188800000000011E-2</v>
      </c>
      <c r="V101">
        <f t="shared" si="44"/>
        <v>5.6828E-3</v>
      </c>
      <c r="X101">
        <f>3*0.1*(1-0.1)*(1-0.1)*F25+3*0.1*0.1*(1-0.1)*J25+0.1*0.1*0.1*N25+(1-3*0.1*(1-0.1)*(1-0.1)-3*0.1*0.1*(1-0.1)-0.1*0.1*0.1)*B25</f>
        <v>0.11836269999999999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6"/>
      <c r="O106" s="22"/>
      <c r="P106" s="23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5"/>
        <v>0.11624879999999999</v>
      </c>
      <c r="G107">
        <f t="shared" si="46"/>
        <v>0.11990959999999999</v>
      </c>
      <c r="I107">
        <f t="shared" si="47"/>
        <v>6.0398400000000026E-2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0.11902959999999999</v>
      </c>
      <c r="N107" s="26"/>
      <c r="O107" s="22"/>
      <c r="P107" s="23"/>
      <c r="Q107" t="s">
        <v>36</v>
      </c>
      <c r="R107">
        <f t="shared" si="49"/>
        <v>0.1168657</v>
      </c>
      <c r="S107">
        <f t="shared" si="50"/>
        <v>0.12055840000000001</v>
      </c>
      <c r="U107">
        <f t="shared" si="51"/>
        <v>6.8683599999999984E-2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0.11969890000000001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23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24"/>
      <c r="D113" s="23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23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24"/>
      <c r="D114" s="23"/>
      <c r="E114" t="s">
        <v>36</v>
      </c>
      <c r="F114">
        <f t="shared" si="53"/>
        <v>6.6254999999999981E-2</v>
      </c>
      <c r="G114">
        <f t="shared" si="54"/>
        <v>0.104895</v>
      </c>
      <c r="H114">
        <f t="shared" si="55"/>
        <v>181.56988200000001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9.3884999999999996E-2</v>
      </c>
      <c r="M114">
        <f>AA25+W25</f>
        <v>26.040630999999998</v>
      </c>
      <c r="P114" s="23"/>
      <c r="Q114" t="s">
        <v>36</v>
      </c>
      <c r="R114">
        <f t="shared" si="59"/>
        <v>6.6309999999999994E-2</v>
      </c>
      <c r="S114">
        <f t="shared" si="60"/>
        <v>0.10499</v>
      </c>
      <c r="U114">
        <f t="shared" si="61"/>
        <v>5.3600000000000002E-3</v>
      </c>
      <c r="V114">
        <f t="shared" si="62"/>
        <v>5.3600000000000002E-3</v>
      </c>
      <c r="X114">
        <f>0.1*X25+(1-0.1)*T25</f>
        <v>9.3969999999999998E-2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23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24"/>
      <c r="D119" s="23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23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24"/>
      <c r="D120" s="23"/>
      <c r="E120" t="s">
        <v>36</v>
      </c>
      <c r="F120">
        <f t="shared" si="63"/>
        <v>6.6420000000000007E-2</v>
      </c>
      <c r="G120">
        <f t="shared" si="64"/>
        <v>0.10518000000000001</v>
      </c>
      <c r="I120">
        <f t="shared" si="65"/>
        <v>5.4199999999999995E-3</v>
      </c>
      <c r="J120">
        <f t="shared" si="66"/>
        <v>5.4199999999999995E-3</v>
      </c>
      <c r="L120">
        <f>0.2*X25+(1-0.2)*T25</f>
        <v>9.4140000000000001E-2</v>
      </c>
      <c r="P120" s="23"/>
      <c r="Q120" t="s">
        <v>36</v>
      </c>
      <c r="R120">
        <f t="shared" si="67"/>
        <v>6.6529999999999992E-2</v>
      </c>
      <c r="S120">
        <f t="shared" si="68"/>
        <v>0.10536999999999999</v>
      </c>
      <c r="U120">
        <f t="shared" si="69"/>
        <v>5.4799999999999996E-3</v>
      </c>
      <c r="V120">
        <f t="shared" si="70"/>
        <v>5.4799999999999996E-3</v>
      </c>
      <c r="X120">
        <f>0.3*X25+(1-0.3)*T25</f>
        <v>9.4309999999999991E-2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2"/>
      <c r="P126" s="23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24"/>
      <c r="C127" s="22"/>
      <c r="D127" s="23"/>
      <c r="E127" t="s">
        <v>36</v>
      </c>
      <c r="F127">
        <f t="shared" si="71"/>
        <v>6.6309999999999994E-2</v>
      </c>
      <c r="G127">
        <f t="shared" si="72"/>
        <v>0.10499025000000001</v>
      </c>
      <c r="H127">
        <f t="shared" si="73"/>
        <v>271.60083200000003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9.3969500000000011E-2</v>
      </c>
      <c r="M127">
        <f>AE25+AA25+W25</f>
        <v>44.652940000000001</v>
      </c>
      <c r="O127" s="22"/>
      <c r="P127" s="23"/>
      <c r="Q127" t="s">
        <v>36</v>
      </c>
      <c r="R127">
        <f t="shared" si="77"/>
        <v>6.6419999999999993E-2</v>
      </c>
      <c r="S127">
        <f t="shared" si="78"/>
        <v>0.10518100000000001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9.4137999999999999E-2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2"/>
      <c r="P132" s="23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24"/>
      <c r="C133" s="22"/>
      <c r="D133" s="23"/>
      <c r="E133" t="s">
        <v>36</v>
      </c>
      <c r="F133">
        <f t="shared" si="81"/>
        <v>6.6639999999999991E-2</v>
      </c>
      <c r="G133">
        <f t="shared" si="82"/>
        <v>0.10556400000000001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9.4472E-2</v>
      </c>
      <c r="O133" s="22"/>
      <c r="P133" s="23"/>
      <c r="Q133" t="s">
        <v>36</v>
      </c>
      <c r="R133">
        <f t="shared" si="85"/>
        <v>6.6860000000000003E-2</v>
      </c>
      <c r="S133">
        <f t="shared" si="86"/>
        <v>0.10594900000000002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9.4802000000000011E-2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6"/>
      <c r="O139" s="22"/>
      <c r="P139" s="23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5.8052974999999986E-2</v>
      </c>
      <c r="G140">
        <f>3*0.05*(1-0.05)*(1-0.05)*Z20+3*0.05*0.05*(1-0.05)*AD13+0.05*0.05*0.05*AH13+(1-3*0.05*(1-0.05)*(1-0.05)-3*0.05*0.05*(1-0.05)-0.05*0.05*0.05)*V13</f>
        <v>9.1439924999999991E-2</v>
      </c>
      <c r="H140">
        <f>AI13+AE13+AA20+W13</f>
        <v>270.49033400000002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9.4053562499999993E-2</v>
      </c>
      <c r="M140">
        <f>AI25+AE25+AA25+W25</f>
        <v>70.201495000000008</v>
      </c>
      <c r="N140" s="26"/>
      <c r="O140" s="22"/>
      <c r="P140" s="23"/>
      <c r="Q140" t="s">
        <v>36</v>
      </c>
      <c r="R140">
        <f t="shared" si="92"/>
        <v>6.6529999999999992E-2</v>
      </c>
      <c r="S140">
        <f t="shared" si="93"/>
        <v>0.10537279999999999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9.4304499999999999E-2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6"/>
      <c r="O145" s="22"/>
      <c r="P145" s="23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4.3282399999999985E-2</v>
      </c>
      <c r="G146">
        <f>3*0.2*(1-0.2)*(1-0.2)*Z20+3*0.2*0.2*(1-0.2)*AD13+0.2*0.2*0.2*AH13+(1-3*0.2*(1-0.2)*(1-0.2)-3*0.2*0.2*(1-0.2)-0.2*0.2*0.2)*V13</f>
        <v>6.7243199999999989E-2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9.4799999999999995E-2</v>
      </c>
      <c r="N146" s="26"/>
      <c r="O146" s="22"/>
      <c r="P146" s="23"/>
      <c r="Q146" t="s">
        <v>36</v>
      </c>
      <c r="R146">
        <f t="shared" si="98"/>
        <v>6.719E-2</v>
      </c>
      <c r="S146">
        <f t="shared" si="99"/>
        <v>0.1065316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9.5289500000000013E-2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23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24"/>
      <c r="D152" s="23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23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24"/>
      <c r="D153" s="23"/>
      <c r="E153" t="s">
        <v>36</v>
      </c>
      <c r="F153">
        <f t="shared" si="102"/>
        <v>3.6429999999999997E-2</v>
      </c>
      <c r="G153">
        <f t="shared" si="103"/>
        <v>9.1884999999999994E-2</v>
      </c>
      <c r="H153">
        <f t="shared" si="104"/>
        <v>154.917889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6.7364999999999994E-2</v>
      </c>
      <c r="M153">
        <f>I46+E46</f>
        <v>28.847883000000003</v>
      </c>
      <c r="P153" s="23"/>
      <c r="Q153" t="s">
        <v>36</v>
      </c>
      <c r="R153">
        <f t="shared" si="108"/>
        <v>3.6460000000000006E-2</v>
      </c>
      <c r="S153">
        <f t="shared" si="109"/>
        <v>9.197000000000001E-2</v>
      </c>
      <c r="U153">
        <f t="shared" si="110"/>
        <v>4.7600000000000003E-3</v>
      </c>
      <c r="V153">
        <f t="shared" si="111"/>
        <v>4.96E-3</v>
      </c>
      <c r="X153">
        <f>0.1*F46+(1-0.1)*B46</f>
        <v>6.7430000000000004E-2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23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24"/>
      <c r="D158" s="23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23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24"/>
      <c r="D159" s="23"/>
      <c r="E159" t="s">
        <v>36</v>
      </c>
      <c r="F159">
        <f t="shared" si="112"/>
        <v>3.6520000000000004E-2</v>
      </c>
      <c r="G159">
        <f t="shared" si="113"/>
        <v>9.214E-2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6.7559999999999995E-2</v>
      </c>
      <c r="P159" s="23"/>
      <c r="Q159" t="s">
        <v>36</v>
      </c>
      <c r="R159">
        <f t="shared" si="116"/>
        <v>3.6580000000000001E-2</v>
      </c>
      <c r="S159">
        <f t="shared" si="117"/>
        <v>9.2310000000000003E-2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6.769E-2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2"/>
      <c r="P165" s="23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24"/>
      <c r="C166" s="22"/>
      <c r="D166" s="23"/>
      <c r="E166" t="s">
        <v>36</v>
      </c>
      <c r="F166">
        <f t="shared" si="120"/>
        <v>3.6460000000000006E-2</v>
      </c>
      <c r="G166">
        <f t="shared" si="121"/>
        <v>9.197000000000001E-2</v>
      </c>
      <c r="H166">
        <f t="shared" si="122"/>
        <v>231.34699400000002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6.7429500000000003E-2</v>
      </c>
      <c r="M166">
        <f>M46+I46+E46</f>
        <v>42.379260000000002</v>
      </c>
      <c r="O166" s="22"/>
      <c r="P166" s="23"/>
      <c r="Q166" t="s">
        <v>36</v>
      </c>
      <c r="R166">
        <f t="shared" si="126"/>
        <v>3.6520000000000004E-2</v>
      </c>
      <c r="S166">
        <f t="shared" si="127"/>
        <v>9.2140000000000014E-2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6.7558000000000007E-2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2"/>
      <c r="P171" s="23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24"/>
      <c r="C172" s="22"/>
      <c r="D172" s="23"/>
      <c r="E172" t="s">
        <v>36</v>
      </c>
      <c r="F172">
        <f t="shared" si="130"/>
        <v>3.6639999999999999E-2</v>
      </c>
      <c r="G172">
        <f t="shared" si="131"/>
        <v>9.2480000000000007E-2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6.7811999999999997E-2</v>
      </c>
      <c r="O172" s="22"/>
      <c r="P172" s="23"/>
      <c r="Q172" t="s">
        <v>36</v>
      </c>
      <c r="R172">
        <f t="shared" si="134"/>
        <v>3.6760000000000001E-2</v>
      </c>
      <c r="S172">
        <f t="shared" si="135"/>
        <v>9.2820000000000014E-2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6.8062000000000011E-2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6"/>
      <c r="O178" s="22"/>
      <c r="P178" s="23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8"/>
        <v>3.6489999999999995E-2</v>
      </c>
      <c r="G179">
        <f t="shared" si="139"/>
        <v>9.2054999999999998E-2</v>
      </c>
      <c r="H179">
        <f t="shared" si="140"/>
        <v>308.73485800000003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6.7493499999999984E-2</v>
      </c>
      <c r="M179">
        <f>Q46+M46+I46+E46</f>
        <v>55.630234000000002</v>
      </c>
      <c r="N179" s="26"/>
      <c r="O179" s="22"/>
      <c r="P179" s="23"/>
      <c r="Q179" t="s">
        <v>36</v>
      </c>
      <c r="R179">
        <f t="shared" si="144"/>
        <v>3.6580000000000001E-2</v>
      </c>
      <c r="S179">
        <f t="shared" si="145"/>
        <v>9.2310000000000003E-2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6.7683999999999994E-2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6"/>
      <c r="O184" s="22"/>
      <c r="P184" s="23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8"/>
        <v>3.6760000000000001E-2</v>
      </c>
      <c r="G185">
        <f t="shared" si="149"/>
        <v>9.2820000000000014E-2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6.8055999999999992E-2</v>
      </c>
      <c r="N185" s="26"/>
      <c r="O185" s="22"/>
      <c r="P185" s="23"/>
      <c r="Q185" t="s">
        <v>36</v>
      </c>
      <c r="R185">
        <f t="shared" si="152"/>
        <v>3.6940000000000001E-2</v>
      </c>
      <c r="S185">
        <f t="shared" si="153"/>
        <v>9.3330000000000024E-2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6.8416000000000005E-2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23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24"/>
      <c r="D191" s="23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23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24"/>
      <c r="D192" s="23"/>
      <c r="E192" t="s">
        <v>36</v>
      </c>
      <c r="F192">
        <f t="shared" si="156"/>
        <v>1.9019999999999999E-2</v>
      </c>
      <c r="G192">
        <f t="shared" si="157"/>
        <v>7.3669999999999999E-2</v>
      </c>
      <c r="H192">
        <f t="shared" si="158"/>
        <v>125.097432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4.1744999999999997E-2</v>
      </c>
      <c r="M192">
        <f>AA46+W46</f>
        <v>26.683799999999998</v>
      </c>
      <c r="P192" s="23"/>
      <c r="Q192" t="s">
        <v>36</v>
      </c>
      <c r="R192">
        <f t="shared" si="162"/>
        <v>1.9040000000000001E-2</v>
      </c>
      <c r="S192">
        <f t="shared" si="163"/>
        <v>7.374E-2</v>
      </c>
      <c r="U192">
        <f t="shared" si="164"/>
        <v>3.46E-3</v>
      </c>
      <c r="V192">
        <f t="shared" si="165"/>
        <v>4.1500000000000009E-3</v>
      </c>
      <c r="X192">
        <f>0.1*X46+(1-0.1)*T46</f>
        <v>4.1790000000000001E-2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23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24"/>
      <c r="D197" s="23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23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24"/>
      <c r="D198" s="23"/>
      <c r="E198" t="s">
        <v>36</v>
      </c>
      <c r="F198">
        <f t="shared" si="166"/>
        <v>1.908E-2</v>
      </c>
      <c r="G198">
        <f t="shared" si="167"/>
        <v>7.3880000000000001E-2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4.1880000000000001E-2</v>
      </c>
      <c r="P198" s="23"/>
      <c r="Q198" t="s">
        <v>36</v>
      </c>
      <c r="R198">
        <f t="shared" si="170"/>
        <v>1.9119999999999998E-2</v>
      </c>
      <c r="S198">
        <f t="shared" si="171"/>
        <v>7.4020000000000002E-2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4.1969999999999993E-2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2"/>
      <c r="P204" s="23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24"/>
      <c r="C205" s="22"/>
      <c r="D205" s="23"/>
      <c r="E205" t="s">
        <v>36</v>
      </c>
      <c r="F205">
        <f t="shared" si="174"/>
        <v>1.9040000000000001E-2</v>
      </c>
      <c r="G205">
        <f t="shared" si="175"/>
        <v>7.3740250000000007E-2</v>
      </c>
      <c r="H205">
        <f t="shared" si="176"/>
        <v>187.602463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4.17895E-2</v>
      </c>
      <c r="M205">
        <f>AE46+AA46+W46</f>
        <v>39.179726000000002</v>
      </c>
      <c r="O205" s="22"/>
      <c r="P205" s="23"/>
      <c r="Q205" t="s">
        <v>36</v>
      </c>
      <c r="R205">
        <f t="shared" si="180"/>
        <v>1.908E-2</v>
      </c>
      <c r="S205">
        <f t="shared" si="181"/>
        <v>7.3881000000000002E-2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4.1877999999999999E-2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2"/>
      <c r="P210" s="23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24"/>
      <c r="C211" s="22"/>
      <c r="D211" s="23"/>
      <c r="E211" t="s">
        <v>36</v>
      </c>
      <c r="F211">
        <f t="shared" si="184"/>
        <v>1.916E-2</v>
      </c>
      <c r="G211">
        <f t="shared" si="185"/>
        <v>7.4163999999999994E-2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4.2051999999999999E-2</v>
      </c>
      <c r="O211" s="22"/>
      <c r="P211" s="23"/>
      <c r="Q211" t="s">
        <v>36</v>
      </c>
      <c r="R211">
        <f t="shared" si="188"/>
        <v>1.9240000000000004E-2</v>
      </c>
      <c r="S211">
        <f t="shared" si="189"/>
        <v>7.4449000000000015E-2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4.2222000000000003E-2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6"/>
      <c r="O217" s="22"/>
      <c r="P217" s="23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92"/>
        <v>1.90599875E-2</v>
      </c>
      <c r="G218">
        <f t="shared" si="193"/>
        <v>7.3810724999999994E-2</v>
      </c>
      <c r="H218">
        <f t="shared" si="194"/>
        <v>250.09020299999997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4.1833549999999997E-2</v>
      </c>
      <c r="M218">
        <f>AI46+AE46+AA46+W46</f>
        <v>52.885889999999996</v>
      </c>
      <c r="N218" s="26"/>
      <c r="O218" s="22"/>
      <c r="P218" s="23"/>
      <c r="Q218" t="s">
        <v>36</v>
      </c>
      <c r="R218">
        <f t="shared" si="198"/>
        <v>1.9119899999999999E-2</v>
      </c>
      <c r="S218">
        <f t="shared" si="199"/>
        <v>7.40228E-2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4.1964399999999999E-2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6"/>
      <c r="O223" s="22"/>
      <c r="P223" s="23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202"/>
        <v>1.9239199999999998E-2</v>
      </c>
      <c r="G224">
        <f t="shared" si="203"/>
        <v>7.44504E-2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4.2219199999999998E-2</v>
      </c>
      <c r="N224" s="26"/>
      <c r="O224" s="22"/>
      <c r="P224" s="23"/>
      <c r="Q224" t="s">
        <v>36</v>
      </c>
      <c r="R224">
        <f t="shared" si="206"/>
        <v>1.9357300000000001E-2</v>
      </c>
      <c r="S224">
        <f t="shared" si="207"/>
        <v>7.4881600000000006E-2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4.2466799999999999E-2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23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24"/>
      <c r="D230" s="23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23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24"/>
      <c r="D231" s="23"/>
      <c r="E231" t="s">
        <v>36</v>
      </c>
      <c r="F231">
        <f t="shared" si="210"/>
        <v>9.0099999999999989E-3</v>
      </c>
      <c r="G231">
        <f t="shared" si="211"/>
        <v>4.3949999999999996E-2</v>
      </c>
      <c r="H231">
        <f t="shared" si="212"/>
        <v>88.950650999999993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1.7824999999999997E-2</v>
      </c>
      <c r="M231">
        <f>I66+E66</f>
        <v>25.734202000000003</v>
      </c>
      <c r="P231" s="23"/>
      <c r="Q231" t="s">
        <v>36</v>
      </c>
      <c r="R231">
        <f t="shared" si="216"/>
        <v>9.0200000000000002E-3</v>
      </c>
      <c r="S231">
        <f t="shared" si="217"/>
        <v>4.4000000000000004E-2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1.7849999999999998E-2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23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24"/>
      <c r="D236" s="23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23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24"/>
      <c r="D237" s="23"/>
      <c r="E237" t="s">
        <v>36</v>
      </c>
      <c r="F237">
        <f t="shared" si="220"/>
        <v>9.0399999999999994E-3</v>
      </c>
      <c r="G237">
        <f t="shared" si="221"/>
        <v>4.4100000000000007E-2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1.7899999999999999E-2</v>
      </c>
      <c r="P237" s="23"/>
      <c r="Q237" t="s">
        <v>36</v>
      </c>
      <c r="R237">
        <f t="shared" si="224"/>
        <v>9.0599999999999986E-3</v>
      </c>
      <c r="S237">
        <f t="shared" si="225"/>
        <v>4.4200000000000003E-2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1.7950000000000001E-2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2"/>
      <c r="P243" s="23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24"/>
      <c r="C244" s="22"/>
      <c r="D244" s="23"/>
      <c r="E244" t="s">
        <v>36</v>
      </c>
      <c r="F244">
        <f t="shared" si="228"/>
        <v>9.0200000000000002E-3</v>
      </c>
      <c r="G244">
        <f t="shared" si="229"/>
        <v>4.4000000000000004E-2</v>
      </c>
      <c r="H244">
        <f t="shared" si="230"/>
        <v>131.57503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1.7849750000000001E-2</v>
      </c>
      <c r="M244">
        <f>M66+I66+E66</f>
        <v>40.693961000000002</v>
      </c>
      <c r="O244" s="22"/>
      <c r="P244" s="23"/>
      <c r="Q244" t="s">
        <v>36</v>
      </c>
      <c r="R244">
        <f t="shared" si="234"/>
        <v>9.0399999999999994E-3</v>
      </c>
      <c r="S244">
        <f t="shared" si="235"/>
        <v>4.41E-2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1.7899000000000002E-2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2"/>
      <c r="P249" s="23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24"/>
      <c r="C250" s="22"/>
      <c r="D250" s="23"/>
      <c r="E250" t="s">
        <v>36</v>
      </c>
      <c r="F250">
        <f t="shared" si="238"/>
        <v>9.0799999999999995E-3</v>
      </c>
      <c r="G250">
        <f t="shared" si="239"/>
        <v>4.4299999999999999E-2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1.7995999999999998E-2</v>
      </c>
      <c r="O250" s="22"/>
      <c r="P250" s="23"/>
      <c r="Q250" t="s">
        <v>36</v>
      </c>
      <c r="R250">
        <f t="shared" si="242"/>
        <v>9.1199999999999996E-3</v>
      </c>
      <c r="S250">
        <f t="shared" si="243"/>
        <v>4.4500000000000005E-2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1.8091000000000003E-2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6"/>
      <c r="O256" s="22"/>
      <c r="P256" s="23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6"/>
        <v>9.0299999999999981E-3</v>
      </c>
      <c r="G257">
        <f t="shared" si="247"/>
        <v>4.4049999999999999E-2</v>
      </c>
      <c r="H257">
        <f t="shared" si="248"/>
        <v>173.02384599999999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1.7874287499999999E-2</v>
      </c>
      <c r="M257">
        <f>Q66+M66+I66+E66</f>
        <v>54.290730000000003</v>
      </c>
      <c r="N257" s="26"/>
      <c r="O257" s="22"/>
      <c r="P257" s="23"/>
      <c r="Q257" t="s">
        <v>36</v>
      </c>
      <c r="R257">
        <f t="shared" si="252"/>
        <v>9.0599999999999986E-3</v>
      </c>
      <c r="S257">
        <f t="shared" si="253"/>
        <v>4.4199999999999996E-2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1.7947299999999999E-2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6"/>
      <c r="O262" s="22"/>
      <c r="P262" s="23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6"/>
        <v>9.1199999999999996E-3</v>
      </c>
      <c r="G263">
        <f t="shared" si="257"/>
        <v>4.4499999999999998E-2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1.80904E-2</v>
      </c>
      <c r="N263" s="26"/>
      <c r="O263" s="22"/>
      <c r="P263" s="23"/>
      <c r="Q263" t="s">
        <v>36</v>
      </c>
      <c r="R263">
        <f t="shared" si="260"/>
        <v>9.1800000000000007E-3</v>
      </c>
      <c r="S263">
        <f t="shared" si="261"/>
        <v>4.4800000000000006E-2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1.8231100000000004E-2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15">
        <v>0.1051</v>
      </c>
      <c r="D13" s="15">
        <v>0.1076</v>
      </c>
      <c r="E13" s="16">
        <v>50.142000000000003</v>
      </c>
      <c r="F13" t="s">
        <v>22</v>
      </c>
      <c r="G13" s="15">
        <v>0.1072</v>
      </c>
      <c r="H13" s="15">
        <v>0.1099</v>
      </c>
      <c r="I13" s="16">
        <v>48.518711000000003</v>
      </c>
      <c r="J13" t="s">
        <v>22</v>
      </c>
      <c r="K13" s="16">
        <v>0.10929999999999999</v>
      </c>
      <c r="L13" s="16">
        <v>0.11210000000000001</v>
      </c>
      <c r="M13" s="16">
        <v>47.408802000000001</v>
      </c>
      <c r="N13" t="s">
        <v>22</v>
      </c>
      <c r="O13" s="16">
        <v>0.1114</v>
      </c>
      <c r="P13" s="16">
        <v>0.1143</v>
      </c>
      <c r="Q13" s="16">
        <v>53.069487000000002</v>
      </c>
      <c r="S13" s="24"/>
      <c r="T13" t="s">
        <v>22</v>
      </c>
      <c r="U13" s="3">
        <v>6.4000000000000001E-2</v>
      </c>
      <c r="V13" s="3">
        <v>9.5100000000000004E-2</v>
      </c>
      <c r="W13">
        <v>42.227684000000004</v>
      </c>
      <c r="X13" t="s">
        <v>22</v>
      </c>
      <c r="Y13" s="3">
        <v>6.4899999999999999E-2</v>
      </c>
      <c r="Z13" s="3">
        <v>9.7100000000000006E-2</v>
      </c>
      <c r="AA13">
        <v>46.129986000000002</v>
      </c>
      <c r="AB13" t="s">
        <v>22</v>
      </c>
      <c r="AC13">
        <v>6.5799999999999997E-2</v>
      </c>
      <c r="AD13">
        <v>9.9000000000000005E-2</v>
      </c>
      <c r="AE13">
        <v>42.258240000000001</v>
      </c>
      <c r="AF13" t="s">
        <v>22</v>
      </c>
      <c r="AG13">
        <v>6.6600000000000006E-2</v>
      </c>
      <c r="AH13">
        <v>0.10100000000000001</v>
      </c>
      <c r="AI13">
        <v>43.163173999999998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0.14810000000000001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20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0.10730000000000001</v>
      </c>
      <c r="C25" s="4"/>
      <c r="D25" s="4"/>
      <c r="E25">
        <v>11.757675000000001</v>
      </c>
      <c r="F25" s="3">
        <v>0.1095</v>
      </c>
      <c r="G25" s="4"/>
      <c r="H25" s="4"/>
      <c r="I25">
        <v>9.0987369999999999</v>
      </c>
      <c r="J25" s="9">
        <v>0.1115</v>
      </c>
      <c r="K25" s="9"/>
      <c r="L25" s="9"/>
      <c r="M25">
        <v>10.940685999999999</v>
      </c>
      <c r="N25" s="9">
        <v>0.1137</v>
      </c>
      <c r="O25" s="9"/>
      <c r="P25" s="9"/>
      <c r="Q25">
        <v>9.9182159999999993</v>
      </c>
      <c r="S25" s="25"/>
      <c r="T25" s="4">
        <v>8.6699999999999999E-2</v>
      </c>
      <c r="U25" s="4"/>
      <c r="V25" s="4"/>
      <c r="W25">
        <v>9.7565829999999991</v>
      </c>
      <c r="X25" s="4">
        <v>8.8200000000000001E-2</v>
      </c>
      <c r="Y25" s="4"/>
      <c r="Z25" s="4"/>
      <c r="AA25">
        <v>9.6216679999999997</v>
      </c>
      <c r="AB25" s="9">
        <v>8.9899999999999994E-2</v>
      </c>
      <c r="AC25" s="9"/>
      <c r="AD25" s="9"/>
      <c r="AE25">
        <v>9.6287179999999992</v>
      </c>
      <c r="AF25" s="9">
        <v>9.1600000000000001E-2</v>
      </c>
      <c r="AG25" s="9"/>
      <c r="AH25" s="9"/>
      <c r="AI25">
        <v>9.5611069999999998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3.56E-2</v>
      </c>
      <c r="D34" s="3">
        <v>8.3099999999999993E-2</v>
      </c>
      <c r="E34">
        <v>40.581377000000003</v>
      </c>
      <c r="F34" t="s">
        <v>22</v>
      </c>
      <c r="G34" s="3">
        <v>3.6299999999999999E-2</v>
      </c>
      <c r="H34" s="3">
        <v>8.4900000000000003E-2</v>
      </c>
      <c r="I34">
        <v>38.714511999999999</v>
      </c>
      <c r="J34" t="s">
        <v>22</v>
      </c>
      <c r="K34">
        <v>3.6900000000000002E-2</v>
      </c>
      <c r="L34">
        <v>8.6599999999999996E-2</v>
      </c>
      <c r="M34">
        <v>38.007714999999997</v>
      </c>
      <c r="N34" t="s">
        <v>22</v>
      </c>
      <c r="O34">
        <v>3.7600000000000001E-2</v>
      </c>
      <c r="P34">
        <v>8.8300000000000003E-2</v>
      </c>
      <c r="Q34">
        <v>38.107967000000002</v>
      </c>
      <c r="S34" s="24"/>
      <c r="T34" t="s">
        <v>22</v>
      </c>
      <c r="U34" s="3">
        <v>1.8800000000000001E-2</v>
      </c>
      <c r="V34" s="3">
        <v>6.6699999999999995E-2</v>
      </c>
      <c r="W34">
        <v>32.040871000000003</v>
      </c>
      <c r="X34" t="s">
        <v>22</v>
      </c>
      <c r="Y34" s="3">
        <v>1.9199999999999998E-2</v>
      </c>
      <c r="Z34" s="3">
        <v>6.8099999999999994E-2</v>
      </c>
      <c r="AA34">
        <v>31.749677999999999</v>
      </c>
      <c r="AB34" t="s">
        <v>22</v>
      </c>
      <c r="AC34" s="3">
        <v>1.9599999999999999E-2</v>
      </c>
      <c r="AD34" s="3">
        <v>6.9500000000000006E-2</v>
      </c>
      <c r="AE34">
        <v>31.553135999999999</v>
      </c>
      <c r="AF34" t="s">
        <v>22</v>
      </c>
      <c r="AG34" s="3">
        <v>0.02</v>
      </c>
      <c r="AH34" s="3">
        <v>7.0900000000000005E-2</v>
      </c>
      <c r="AI34">
        <v>34.707487999999998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20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6.3E-2</v>
      </c>
      <c r="C46" s="4"/>
      <c r="D46" s="4"/>
      <c r="E46">
        <v>10.162336</v>
      </c>
      <c r="F46" s="4">
        <v>6.4299999999999996E-2</v>
      </c>
      <c r="G46" s="4"/>
      <c r="H46" s="4"/>
      <c r="I46">
        <v>10.255875</v>
      </c>
      <c r="J46" s="9">
        <v>6.5500000000000003E-2</v>
      </c>
      <c r="K46" s="9"/>
      <c r="L46" s="9"/>
      <c r="M46">
        <v>10.401608</v>
      </c>
      <c r="N46" s="9">
        <v>6.6699999999999995E-2</v>
      </c>
      <c r="O46" s="9"/>
      <c r="P46" s="9"/>
      <c r="Q46">
        <v>10.380143</v>
      </c>
      <c r="S46" s="25"/>
      <c r="T46" s="4">
        <v>3.9600000000000003E-2</v>
      </c>
      <c r="U46" s="4"/>
      <c r="V46" s="4"/>
      <c r="W46">
        <v>11.030207000000001</v>
      </c>
      <c r="X46" s="4">
        <v>4.0500000000000001E-2</v>
      </c>
      <c r="Y46" s="4"/>
      <c r="Z46" s="4"/>
      <c r="AA46">
        <v>9.5652749999999997</v>
      </c>
      <c r="AB46" s="4">
        <v>4.1300000000000003E-2</v>
      </c>
      <c r="AC46" s="4"/>
      <c r="AD46" s="4"/>
      <c r="AE46">
        <v>10.842214999999999</v>
      </c>
      <c r="AF46" s="4">
        <v>4.2099999999999999E-2</v>
      </c>
      <c r="AG46" s="4"/>
      <c r="AH46" s="4"/>
      <c r="AI46">
        <v>9.3020350000000001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8.9999999999999993E-3</v>
      </c>
      <c r="D54" s="3">
        <v>3.9899999999999998E-2</v>
      </c>
      <c r="E54">
        <v>22.694541999999998</v>
      </c>
      <c r="F54" t="s">
        <v>22</v>
      </c>
      <c r="G54" s="3">
        <v>9.1999999999999998E-3</v>
      </c>
      <c r="H54" s="3">
        <v>4.0899999999999999E-2</v>
      </c>
      <c r="I54">
        <v>21.640713000000002</v>
      </c>
      <c r="J54" t="s">
        <v>22</v>
      </c>
      <c r="K54" s="3">
        <v>9.4000000000000004E-3</v>
      </c>
      <c r="L54" s="3">
        <v>4.19E-2</v>
      </c>
      <c r="M54">
        <v>21.772124999999999</v>
      </c>
      <c r="N54" t="s">
        <v>22</v>
      </c>
      <c r="O54" s="3">
        <v>9.7000000000000003E-3</v>
      </c>
      <c r="P54" s="3">
        <v>4.2900000000000001E-2</v>
      </c>
      <c r="Q54">
        <v>21.681878000000001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1.72E-2</v>
      </c>
      <c r="C66" s="4"/>
      <c r="D66" s="4"/>
      <c r="E66">
        <v>10.329200999999999</v>
      </c>
      <c r="F66" s="4">
        <v>1.78E-2</v>
      </c>
      <c r="G66" s="4"/>
      <c r="H66" s="4"/>
      <c r="I66">
        <v>9.2368790000000001</v>
      </c>
      <c r="J66" s="4">
        <v>1.8200000000000001E-2</v>
      </c>
      <c r="K66" s="4"/>
      <c r="L66" s="4"/>
      <c r="M66">
        <v>10.894546</v>
      </c>
      <c r="N66" s="4">
        <v>1.8700000000000001E-2</v>
      </c>
      <c r="O66" s="4"/>
      <c r="P66" s="4"/>
      <c r="Q66">
        <v>10.230302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0.10520499999999999</v>
      </c>
      <c r="G75">
        <f t="shared" si="1"/>
        <v>0.10771499999999999</v>
      </c>
      <c r="H75">
        <f t="shared" si="2"/>
        <v>98.660711000000006</v>
      </c>
      <c r="I75">
        <f t="shared" si="3"/>
        <v>1.2630000000000001E-2</v>
      </c>
      <c r="J75">
        <f t="shared" si="4"/>
        <v>5.5299999999999993E-3</v>
      </c>
      <c r="K75">
        <f t="shared" si="5"/>
        <v>2.2851509999999999</v>
      </c>
      <c r="L75">
        <f>0.05*F25+(1-0.05)*B25</f>
        <v>0.10741000000000001</v>
      </c>
      <c r="M75">
        <f>I25+E25</f>
        <v>20.856411999999999</v>
      </c>
      <c r="P75" s="23"/>
      <c r="Q75" t="s">
        <v>36</v>
      </c>
      <c r="R75">
        <f t="shared" si="6"/>
        <v>0.10531000000000001</v>
      </c>
      <c r="S75">
        <f t="shared" si="7"/>
        <v>0.10783000000000001</v>
      </c>
      <c r="U75">
        <f t="shared" si="8"/>
        <v>1.976E-2</v>
      </c>
      <c r="V75">
        <f t="shared" si="9"/>
        <v>5.5599999999999998E-3</v>
      </c>
      <c r="X75">
        <f>0.1*F25+(1-0.1)*B25</f>
        <v>0.10752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3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3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4"/>
      <c r="D81" s="23"/>
      <c r="E81" t="s">
        <v>36</v>
      </c>
      <c r="F81">
        <f t="shared" si="10"/>
        <v>0.10552</v>
      </c>
      <c r="G81">
        <f t="shared" si="11"/>
        <v>0.10806</v>
      </c>
      <c r="I81">
        <f t="shared" si="12"/>
        <v>3.4020000000000002E-2</v>
      </c>
      <c r="J81">
        <f t="shared" si="13"/>
        <v>5.62E-3</v>
      </c>
      <c r="L81">
        <f>0.2*F25+(1-0.2)*B25</f>
        <v>0.10774000000000002</v>
      </c>
      <c r="P81" s="23"/>
      <c r="Q81" t="s">
        <v>36</v>
      </c>
      <c r="R81">
        <f t="shared" si="14"/>
        <v>0.10572999999999999</v>
      </c>
      <c r="S81">
        <f t="shared" si="15"/>
        <v>0.10829</v>
      </c>
      <c r="U81">
        <f t="shared" si="16"/>
        <v>4.8280000000000003E-2</v>
      </c>
      <c r="V81">
        <f t="shared" si="17"/>
        <v>5.6799999999999993E-3</v>
      </c>
      <c r="X81">
        <f>0.3*F25+(1-0.3)*B25</f>
        <v>0.10796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2" t="s">
        <v>40</v>
      </c>
      <c r="P86" s="23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2"/>
      <c r="P87" s="23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4"/>
      <c r="C88" s="22"/>
      <c r="D88" s="23"/>
      <c r="E88" t="s">
        <v>36</v>
      </c>
      <c r="F88">
        <f t="shared" si="18"/>
        <v>0.10531000000000001</v>
      </c>
      <c r="G88">
        <f t="shared" si="19"/>
        <v>0.10782975000000002</v>
      </c>
      <c r="H88">
        <f t="shared" si="20"/>
        <v>146.069513</v>
      </c>
      <c r="I88">
        <f t="shared" si="21"/>
        <v>1.9050250000000001E-2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0.10751950000000002</v>
      </c>
      <c r="M88">
        <f>M25+I25+E25</f>
        <v>31.797097999999998</v>
      </c>
      <c r="O88" s="22"/>
      <c r="P88" s="23"/>
      <c r="Q88" t="s">
        <v>36</v>
      </c>
      <c r="R88">
        <f t="shared" si="24"/>
        <v>0.10552</v>
      </c>
      <c r="S88">
        <f t="shared" si="25"/>
        <v>0.10805900000000002</v>
      </c>
      <c r="U88">
        <f t="shared" si="26"/>
        <v>3.1181000000000004E-2</v>
      </c>
      <c r="V88">
        <f t="shared" si="27"/>
        <v>5.6210000000000001E-3</v>
      </c>
      <c r="X88">
        <f>(0.1*0.9+0.1*0.9)*F25+0.1*0.1*J25+(1-0.1*0.9-0.1*0.9-0.1*0.1)*B25</f>
        <v>0.107738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2"/>
      <c r="P93" s="23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4"/>
      <c r="C94" s="22"/>
      <c r="D94" s="23"/>
      <c r="E94" t="s">
        <v>36</v>
      </c>
      <c r="F94">
        <f t="shared" si="28"/>
        <v>0.10594000000000001</v>
      </c>
      <c r="G94">
        <f t="shared" si="29"/>
        <v>0.108516</v>
      </c>
      <c r="I94">
        <f t="shared" si="30"/>
        <v>5.1184000000000014E-2</v>
      </c>
      <c r="J94">
        <f t="shared" si="31"/>
        <v>5.744E-3</v>
      </c>
      <c r="L94">
        <f>(0.2*0.8+0.2*0.8)*F25+0.2*0.2*J25+(1-0.2*0.8-0.2*0.8-0.2*0.2)*B25</f>
        <v>0.108172</v>
      </c>
      <c r="O94" s="22"/>
      <c r="P94" s="23"/>
      <c r="Q94" t="s">
        <v>36</v>
      </c>
      <c r="R94">
        <f t="shared" si="32"/>
        <v>0.10636000000000001</v>
      </c>
      <c r="S94">
        <f t="shared" si="33"/>
        <v>0.10897100000000001</v>
      </c>
      <c r="U94">
        <f t="shared" si="34"/>
        <v>6.5508999999999998E-2</v>
      </c>
      <c r="V94">
        <f t="shared" si="35"/>
        <v>5.8690000000000001E-3</v>
      </c>
      <c r="X94">
        <f>(0.3*0.7+0.3*0.7)*F25+0.3*0.3*J25+(1-0.3*0.7-0.3*0.7-0.3*0.3)*B25</f>
        <v>0.108602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6"/>
      <c r="O100" s="22"/>
      <c r="P100" s="23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6"/>
        <v>0.10541499999999999</v>
      </c>
      <c r="G101">
        <f t="shared" si="37"/>
        <v>0.1079442625</v>
      </c>
      <c r="H101">
        <f>Q13+M13+I11+E13</f>
        <v>150.62028900000001</v>
      </c>
      <c r="I101">
        <f t="shared" si="38"/>
        <v>2.4813974999999999E-2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0.10762854999999999</v>
      </c>
      <c r="M101">
        <f>Q25+M25+I25+E25</f>
        <v>41.715313999999999</v>
      </c>
      <c r="N101" s="26"/>
      <c r="O101" s="22"/>
      <c r="P101" s="23"/>
      <c r="Q101" t="s">
        <v>36</v>
      </c>
      <c r="R101">
        <f t="shared" si="41"/>
        <v>0.10573</v>
      </c>
      <c r="S101">
        <f t="shared" si="42"/>
        <v>0.1082871</v>
      </c>
      <c r="U101">
        <f t="shared" si="43"/>
        <v>4.0188800000000011E-2</v>
      </c>
      <c r="V101">
        <f t="shared" si="44"/>
        <v>5.6828E-3</v>
      </c>
      <c r="X101">
        <f>3*0.1*(1-0.1)*(1-0.1)*F25+3*0.1*0.1*(1-0.1)*J25+0.1*0.1*0.1*N25+(1-3*0.1*(1-0.1)*(1-0.1)-3*0.1*0.1*(1-0.1)-0.1*0.1*0.1)*B25</f>
        <v>0.10795440000000001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6"/>
      <c r="O106" s="22"/>
      <c r="P106" s="23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5"/>
        <v>0.10636</v>
      </c>
      <c r="G107">
        <f t="shared" si="46"/>
        <v>0.1089688</v>
      </c>
      <c r="I107">
        <f t="shared" si="47"/>
        <v>6.0398400000000026E-2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0.10859920000000001</v>
      </c>
      <c r="N107" s="26"/>
      <c r="O107" s="22"/>
      <c r="P107" s="23"/>
      <c r="Q107" t="s">
        <v>36</v>
      </c>
      <c r="R107">
        <f t="shared" si="49"/>
        <v>0.10699000000000002</v>
      </c>
      <c r="S107">
        <f t="shared" si="50"/>
        <v>0.10964570000000001</v>
      </c>
      <c r="U107">
        <f t="shared" si="51"/>
        <v>6.8683599999999984E-2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0.1092368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23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24"/>
      <c r="D113" s="23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23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24"/>
      <c r="D114" s="23"/>
      <c r="E114" t="s">
        <v>36</v>
      </c>
      <c r="F114">
        <f t="shared" si="53"/>
        <v>6.4045000000000005E-2</v>
      </c>
      <c r="G114">
        <f t="shared" si="54"/>
        <v>9.5199999999999993E-2</v>
      </c>
      <c r="H114">
        <f t="shared" si="55"/>
        <v>88.357670000000013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8.6774999999999991E-2</v>
      </c>
      <c r="M114">
        <f>AA25+W25</f>
        <v>19.378250999999999</v>
      </c>
      <c r="P114" s="23"/>
      <c r="Q114" t="s">
        <v>36</v>
      </c>
      <c r="R114">
        <f t="shared" si="59"/>
        <v>6.4090000000000008E-2</v>
      </c>
      <c r="S114">
        <f t="shared" si="60"/>
        <v>9.5299999999999996E-2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8.6849999999999997E-2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23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24"/>
      <c r="D119" s="23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23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24"/>
      <c r="D120" s="23"/>
      <c r="E120" t="s">
        <v>36</v>
      </c>
      <c r="F120">
        <f t="shared" si="63"/>
        <v>6.4180000000000001E-2</v>
      </c>
      <c r="G120">
        <f t="shared" si="64"/>
        <v>9.5500000000000015E-2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8.7000000000000008E-2</v>
      </c>
      <c r="P120" s="23"/>
      <c r="Q120" t="s">
        <v>36</v>
      </c>
      <c r="R120">
        <f t="shared" si="67"/>
        <v>6.4269999999999994E-2</v>
      </c>
      <c r="S120">
        <f t="shared" si="68"/>
        <v>9.5700000000000007E-2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8.7149999999999991E-2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2"/>
      <c r="P126" s="23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24"/>
      <c r="C127" s="22"/>
      <c r="D127" s="23"/>
      <c r="E127" t="s">
        <v>36</v>
      </c>
      <c r="F127">
        <f t="shared" si="71"/>
        <v>6.4090000000000008E-2</v>
      </c>
      <c r="G127">
        <f t="shared" si="72"/>
        <v>9.5299750000000003E-2</v>
      </c>
      <c r="H127">
        <f t="shared" si="73"/>
        <v>130.61591000000001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8.6850499999999997E-2</v>
      </c>
      <c r="M127">
        <f>AE25+AA25+W25</f>
        <v>29.006968999999998</v>
      </c>
      <c r="O127" s="22"/>
      <c r="P127" s="23"/>
      <c r="Q127" t="s">
        <v>36</v>
      </c>
      <c r="R127">
        <f t="shared" si="77"/>
        <v>6.4180000000000001E-2</v>
      </c>
      <c r="S127">
        <f t="shared" si="78"/>
        <v>9.5499000000000001E-2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8.7001999999999996E-2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2"/>
      <c r="P132" s="23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24"/>
      <c r="C133" s="22"/>
      <c r="D133" s="23"/>
      <c r="E133" t="s">
        <v>36</v>
      </c>
      <c r="F133">
        <f t="shared" si="81"/>
        <v>6.4360000000000001E-2</v>
      </c>
      <c r="G133">
        <f t="shared" si="82"/>
        <v>9.5896000000000009E-2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8.7307999999999997E-2</v>
      </c>
      <c r="O133" s="22"/>
      <c r="P133" s="23"/>
      <c r="Q133" t="s">
        <v>36</v>
      </c>
      <c r="R133">
        <f t="shared" si="85"/>
        <v>6.454E-2</v>
      </c>
      <c r="S133">
        <f t="shared" si="86"/>
        <v>9.6291000000000015E-2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8.7618000000000001E-2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6"/>
      <c r="O139" s="22"/>
      <c r="P139" s="23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5.61478625E-2</v>
      </c>
      <c r="G140">
        <f>3*0.05*(1-0.05)*(1-0.05)*Z20+3*0.05*0.05*(1-0.05)*AD13+0.05*0.05*0.05*AH13+(1-3*0.05*(1-0.05)*(1-0.05)-3*0.05*0.05*(1-0.05)-0.05*0.05*0.05)*V13</f>
        <v>8.305307499999999E-2</v>
      </c>
      <c r="H140">
        <f>AI13+AE13+AA20+W13</f>
        <v>128.772167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8.6926474999999989E-2</v>
      </c>
      <c r="M140">
        <f>AI25+AE25+AA25+W25</f>
        <v>38.568075999999998</v>
      </c>
      <c r="N140" s="26"/>
      <c r="O140" s="22"/>
      <c r="P140" s="23"/>
      <c r="Q140" t="s">
        <v>36</v>
      </c>
      <c r="R140">
        <f t="shared" si="92"/>
        <v>6.4269900000000005E-2</v>
      </c>
      <c r="S140">
        <f t="shared" si="93"/>
        <v>9.5697199999999996E-2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8.7155800000000005E-2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6"/>
      <c r="O145" s="22"/>
      <c r="P145" s="23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4.1883199999999988E-2</v>
      </c>
      <c r="G146">
        <f>3*0.2*(1-0.2)*(1-0.2)*Z20+3*0.2*0.2*(1-0.2)*AD13+0.2*0.2*0.2*AH13+(1-3*0.2*(1-0.2)*(1-0.2)-3*0.2*0.2*(1-0.2)-0.2*0.2*0.2)*V13</f>
        <v>6.1268799999999984E-2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8.7622399999999989E-2</v>
      </c>
      <c r="N146" s="26"/>
      <c r="O146" s="22"/>
      <c r="P146" s="23"/>
      <c r="Q146" t="s">
        <v>36</v>
      </c>
      <c r="R146">
        <f t="shared" si="98"/>
        <v>6.4807300000000012E-2</v>
      </c>
      <c r="S146">
        <f t="shared" si="99"/>
        <v>9.6878400000000003E-2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8.8098599999999999E-2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23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24"/>
      <c r="D152" s="23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23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24"/>
      <c r="D153" s="23"/>
      <c r="E153" t="s">
        <v>36</v>
      </c>
      <c r="F153">
        <f t="shared" si="102"/>
        <v>3.5634999999999993E-2</v>
      </c>
      <c r="G153">
        <f t="shared" si="103"/>
        <v>8.3189999999999986E-2</v>
      </c>
      <c r="H153">
        <f t="shared" si="104"/>
        <v>79.295889000000003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6.3064999999999996E-2</v>
      </c>
      <c r="M153">
        <f>I46+E46</f>
        <v>20.418210999999999</v>
      </c>
      <c r="P153" s="23"/>
      <c r="Q153" t="s">
        <v>36</v>
      </c>
      <c r="R153">
        <f t="shared" si="108"/>
        <v>3.567E-2</v>
      </c>
      <c r="S153">
        <f t="shared" si="109"/>
        <v>8.3279999999999993E-2</v>
      </c>
      <c r="U153">
        <f t="shared" si="110"/>
        <v>4.7600000000000003E-3</v>
      </c>
      <c r="V153">
        <f t="shared" si="111"/>
        <v>4.96E-3</v>
      </c>
      <c r="X153">
        <f>0.1*F46+(1-0.1)*B46</f>
        <v>6.3130000000000006E-2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23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24"/>
      <c r="D158" s="23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23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24"/>
      <c r="D159" s="23"/>
      <c r="E159" t="s">
        <v>36</v>
      </c>
      <c r="F159">
        <f t="shared" si="112"/>
        <v>3.5740000000000001E-2</v>
      </c>
      <c r="G159">
        <f t="shared" si="113"/>
        <v>8.3460000000000006E-2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6.3259999999999997E-2</v>
      </c>
      <c r="P159" s="23"/>
      <c r="Q159" t="s">
        <v>36</v>
      </c>
      <c r="R159">
        <f t="shared" si="116"/>
        <v>3.5809999999999995E-2</v>
      </c>
      <c r="S159">
        <f t="shared" si="117"/>
        <v>8.3639999999999992E-2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6.3390000000000002E-2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2"/>
      <c r="P165" s="23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24"/>
      <c r="C166" s="22"/>
      <c r="D166" s="23"/>
      <c r="E166" t="s">
        <v>36</v>
      </c>
      <c r="F166">
        <f t="shared" si="120"/>
        <v>3.5669750000000007E-2</v>
      </c>
      <c r="G166">
        <f t="shared" si="121"/>
        <v>8.327975E-2</v>
      </c>
      <c r="H166">
        <f t="shared" si="122"/>
        <v>117.30360400000001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6.3129749999999998E-2</v>
      </c>
      <c r="M166">
        <f>M46+I46+E46</f>
        <v>30.819818999999999</v>
      </c>
      <c r="O166" s="22"/>
      <c r="P166" s="23"/>
      <c r="Q166" t="s">
        <v>36</v>
      </c>
      <c r="R166">
        <f t="shared" si="126"/>
        <v>3.5739E-2</v>
      </c>
      <c r="S166">
        <f t="shared" si="127"/>
        <v>8.3459000000000005E-2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6.325900000000001E-2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2"/>
      <c r="P171" s="23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24"/>
      <c r="C172" s="22"/>
      <c r="D172" s="23"/>
      <c r="E172" t="s">
        <v>36</v>
      </c>
      <c r="F172">
        <f t="shared" si="130"/>
        <v>3.5875999999999998E-2</v>
      </c>
      <c r="G172">
        <f t="shared" si="131"/>
        <v>8.3816000000000002E-2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6.3516000000000003E-2</v>
      </c>
      <c r="O172" s="22"/>
      <c r="P172" s="23"/>
      <c r="Q172" t="s">
        <v>36</v>
      </c>
      <c r="R172">
        <f t="shared" si="134"/>
        <v>3.6011000000000001E-2</v>
      </c>
      <c r="S172">
        <f t="shared" si="135"/>
        <v>8.417100000000001E-2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6.3771000000000008E-2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6"/>
      <c r="O178" s="22"/>
      <c r="P178" s="23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8"/>
        <v>3.5704274999999994E-2</v>
      </c>
      <c r="G179">
        <f t="shared" si="139"/>
        <v>8.3369262499999985E-2</v>
      </c>
      <c r="H179">
        <f t="shared" si="140"/>
        <v>155.41157099999998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6.3194262500000001E-2</v>
      </c>
      <c r="M179">
        <f>Q46+M46+I46+E46</f>
        <v>41.199961999999999</v>
      </c>
      <c r="N179" s="26"/>
      <c r="O179" s="22"/>
      <c r="P179" s="23"/>
      <c r="Q179" t="s">
        <v>36</v>
      </c>
      <c r="R179">
        <f t="shared" si="144"/>
        <v>3.5807199999999997E-2</v>
      </c>
      <c r="S179">
        <f t="shared" si="145"/>
        <v>8.3637099999999992E-2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6.3387100000000002E-2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6"/>
      <c r="O184" s="22"/>
      <c r="P184" s="23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8"/>
        <v>3.6009600000000003E-2</v>
      </c>
      <c r="G185">
        <f t="shared" si="149"/>
        <v>8.4168799999999988E-2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6.3768799999999987E-2</v>
      </c>
      <c r="N185" s="26"/>
      <c r="O185" s="22"/>
      <c r="P185" s="23"/>
      <c r="Q185" t="s">
        <v>36</v>
      </c>
      <c r="R185">
        <f t="shared" si="152"/>
        <v>3.6208400000000002E-2</v>
      </c>
      <c r="S185">
        <f t="shared" si="153"/>
        <v>8.4695699999999999E-2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6.41457E-2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23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24"/>
      <c r="D191" s="23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23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24"/>
      <c r="D192" s="23"/>
      <c r="E192" t="s">
        <v>36</v>
      </c>
      <c r="F192">
        <f t="shared" si="156"/>
        <v>1.882E-2</v>
      </c>
      <c r="G192">
        <f t="shared" si="157"/>
        <v>6.6769999999999996E-2</v>
      </c>
      <c r="H192">
        <f t="shared" si="158"/>
        <v>63.790548999999999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3.9645E-2</v>
      </c>
      <c r="M192">
        <f>AA46+W46</f>
        <v>20.595482000000001</v>
      </c>
      <c r="P192" s="23"/>
      <c r="Q192" t="s">
        <v>36</v>
      </c>
      <c r="R192">
        <f t="shared" si="162"/>
        <v>1.8840000000000003E-2</v>
      </c>
      <c r="S192">
        <f t="shared" si="163"/>
        <v>6.6839999999999997E-2</v>
      </c>
      <c r="U192">
        <f t="shared" si="164"/>
        <v>3.46E-3</v>
      </c>
      <c r="V192">
        <f t="shared" si="165"/>
        <v>4.1500000000000009E-3</v>
      </c>
      <c r="X192">
        <f>0.1*X46+(1-0.1)*T46</f>
        <v>3.9690000000000003E-2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23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24"/>
      <c r="D197" s="23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23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24"/>
      <c r="D198" s="23"/>
      <c r="E198" t="s">
        <v>36</v>
      </c>
      <c r="F198">
        <f t="shared" si="166"/>
        <v>1.8880000000000001E-2</v>
      </c>
      <c r="G198">
        <f t="shared" si="167"/>
        <v>6.6979999999999998E-2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3.978000000000001E-2</v>
      </c>
      <c r="P198" s="23"/>
      <c r="Q198" t="s">
        <v>36</v>
      </c>
      <c r="R198">
        <f t="shared" si="170"/>
        <v>1.8919999999999999E-2</v>
      </c>
      <c r="S198">
        <f t="shared" si="171"/>
        <v>6.7119999999999985E-2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3.9870000000000003E-2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2"/>
      <c r="P204" s="23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24"/>
      <c r="C205" s="22"/>
      <c r="D205" s="23"/>
      <c r="E205" t="s">
        <v>36</v>
      </c>
      <c r="F205">
        <f t="shared" si="174"/>
        <v>1.8840000000000003E-2</v>
      </c>
      <c r="G205">
        <f t="shared" si="175"/>
        <v>6.6839999999999997E-2</v>
      </c>
      <c r="H205">
        <f t="shared" si="176"/>
        <v>95.343684999999994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3.968975000000001E-2</v>
      </c>
      <c r="M205">
        <f>AE46+AA46+W46</f>
        <v>31.437697</v>
      </c>
      <c r="O205" s="22"/>
      <c r="P205" s="23"/>
      <c r="Q205" t="s">
        <v>36</v>
      </c>
      <c r="R205">
        <f t="shared" si="180"/>
        <v>1.8880000000000001E-2</v>
      </c>
      <c r="S205">
        <f t="shared" si="181"/>
        <v>6.6979999999999998E-2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3.9779000000000009E-2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2"/>
      <c r="P210" s="23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24"/>
      <c r="C211" s="22"/>
      <c r="D211" s="23"/>
      <c r="E211" t="s">
        <v>36</v>
      </c>
      <c r="F211">
        <f t="shared" si="184"/>
        <v>1.8960000000000001E-2</v>
      </c>
      <c r="G211">
        <f t="shared" si="185"/>
        <v>6.7259999999999986E-2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3.9956000000000005E-2</v>
      </c>
      <c r="O211" s="22"/>
      <c r="P211" s="23"/>
      <c r="Q211" t="s">
        <v>36</v>
      </c>
      <c r="R211">
        <f t="shared" si="188"/>
        <v>1.9040000000000001E-2</v>
      </c>
      <c r="S211">
        <f t="shared" si="189"/>
        <v>6.7540000000000003E-2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4.0131000000000007E-2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6"/>
      <c r="O217" s="22"/>
      <c r="P217" s="23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92"/>
        <v>1.8859999999999998E-2</v>
      </c>
      <c r="G218">
        <f t="shared" si="193"/>
        <v>6.6909999999999983E-2</v>
      </c>
      <c r="H218">
        <f t="shared" si="194"/>
        <v>130.05117300000001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3.9734262499999999E-2</v>
      </c>
      <c r="M218">
        <f>AI46+AE46+AA46+W46</f>
        <v>40.739732000000004</v>
      </c>
      <c r="N218" s="26"/>
      <c r="O218" s="22"/>
      <c r="P218" s="23"/>
      <c r="Q218" t="s">
        <v>36</v>
      </c>
      <c r="R218">
        <f t="shared" si="198"/>
        <v>1.8919999999999999E-2</v>
      </c>
      <c r="S218">
        <f t="shared" si="199"/>
        <v>6.7119999999999985E-2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3.9867100000000003E-2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6"/>
      <c r="O223" s="22"/>
      <c r="P223" s="23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202"/>
        <v>1.9039999999999998E-2</v>
      </c>
      <c r="G224">
        <f t="shared" si="203"/>
        <v>6.7539999999999989E-2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4.0128800000000006E-2</v>
      </c>
      <c r="N224" s="26"/>
      <c r="O224" s="22"/>
      <c r="P224" s="23"/>
      <c r="Q224" t="s">
        <v>36</v>
      </c>
      <c r="R224">
        <f t="shared" si="206"/>
        <v>1.9160000000000003E-2</v>
      </c>
      <c r="S224">
        <f t="shared" si="207"/>
        <v>6.7959999999999993E-2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4.038570000000001E-2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23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24"/>
      <c r="D230" s="23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23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24"/>
      <c r="D231" s="23"/>
      <c r="E231" t="s">
        <v>36</v>
      </c>
      <c r="F231">
        <f t="shared" si="210"/>
        <v>9.0099999999999989E-3</v>
      </c>
      <c r="G231">
        <f t="shared" si="211"/>
        <v>3.9949999999999992E-2</v>
      </c>
      <c r="H231">
        <f t="shared" si="212"/>
        <v>44.335255000000004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1.7229999999999999E-2</v>
      </c>
      <c r="M231">
        <f>I66+E66</f>
        <v>19.566079999999999</v>
      </c>
      <c r="P231" s="23"/>
      <c r="Q231" t="s">
        <v>36</v>
      </c>
      <c r="R231">
        <f t="shared" si="216"/>
        <v>9.0200000000000002E-3</v>
      </c>
      <c r="S231">
        <f t="shared" si="217"/>
        <v>3.9999999999999994E-2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1.7260000000000001E-2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23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24"/>
      <c r="D236" s="23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23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24"/>
      <c r="D237" s="23"/>
      <c r="E237" t="s">
        <v>36</v>
      </c>
      <c r="F237">
        <f t="shared" si="220"/>
        <v>9.0399999999999994E-3</v>
      </c>
      <c r="G237">
        <f t="shared" si="221"/>
        <v>4.0099999999999997E-2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1.7320000000000002E-2</v>
      </c>
      <c r="P237" s="23"/>
      <c r="Q237" t="s">
        <v>36</v>
      </c>
      <c r="R237">
        <f t="shared" si="224"/>
        <v>9.0599999999999986E-3</v>
      </c>
      <c r="S237">
        <f t="shared" si="225"/>
        <v>4.02E-2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1.738E-2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2"/>
      <c r="P243" s="23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24"/>
      <c r="C244" s="22"/>
      <c r="D244" s="23"/>
      <c r="E244" t="s">
        <v>36</v>
      </c>
      <c r="F244">
        <f t="shared" si="228"/>
        <v>9.0200000000000002E-3</v>
      </c>
      <c r="G244">
        <f t="shared" si="229"/>
        <v>0.04</v>
      </c>
      <c r="H244">
        <f t="shared" si="230"/>
        <v>66.107380000000006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1.7259500000000001E-2</v>
      </c>
      <c r="M244">
        <f>M66+I66+E66</f>
        <v>30.460625999999998</v>
      </c>
      <c r="O244" s="22"/>
      <c r="P244" s="23"/>
      <c r="Q244" t="s">
        <v>36</v>
      </c>
      <c r="R244">
        <f t="shared" si="234"/>
        <v>9.0399999999999994E-3</v>
      </c>
      <c r="S244">
        <f t="shared" si="235"/>
        <v>4.0100000000000004E-2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1.7318E-2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2"/>
      <c r="P249" s="23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24"/>
      <c r="C250" s="22"/>
      <c r="D250" s="23"/>
      <c r="E250" t="s">
        <v>36</v>
      </c>
      <c r="F250">
        <f t="shared" si="238"/>
        <v>9.0799999999999995E-3</v>
      </c>
      <c r="G250">
        <f t="shared" si="239"/>
        <v>4.0300000000000002E-2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1.7432E-2</v>
      </c>
      <c r="O250" s="22"/>
      <c r="P250" s="23"/>
      <c r="Q250" t="s">
        <v>36</v>
      </c>
      <c r="R250">
        <f t="shared" si="242"/>
        <v>9.1199999999999996E-3</v>
      </c>
      <c r="S250">
        <f t="shared" si="243"/>
        <v>4.0500000000000001E-2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1.7542000000000002E-2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6"/>
      <c r="O256" s="22"/>
      <c r="P256" s="23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6"/>
        <v>9.0300124999999985E-3</v>
      </c>
      <c r="G257">
        <f t="shared" si="247"/>
        <v>4.0049999999999995E-2</v>
      </c>
      <c r="H257">
        <f t="shared" si="248"/>
        <v>87.789258000000004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1.7288537499999999E-2</v>
      </c>
      <c r="M257">
        <f>Q66+M66+I66+E66</f>
        <v>40.690928</v>
      </c>
      <c r="N257" s="26"/>
      <c r="O257" s="22"/>
      <c r="P257" s="23"/>
      <c r="Q257" t="s">
        <v>36</v>
      </c>
      <c r="R257">
        <f t="shared" si="252"/>
        <v>9.0600999999999998E-3</v>
      </c>
      <c r="S257">
        <f t="shared" si="253"/>
        <v>4.02E-2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1.7374299999999999E-2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6"/>
      <c r="O262" s="22"/>
      <c r="P262" s="23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6"/>
        <v>9.1207999999999984E-3</v>
      </c>
      <c r="G263">
        <f t="shared" si="257"/>
        <v>4.0499999999999994E-2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1.7538399999999999E-2</v>
      </c>
      <c r="N263" s="26"/>
      <c r="O263" s="22"/>
      <c r="P263" s="23"/>
      <c r="Q263" t="s">
        <v>36</v>
      </c>
      <c r="R263">
        <f t="shared" si="260"/>
        <v>9.1827000000000002E-3</v>
      </c>
      <c r="S263">
        <f t="shared" si="261"/>
        <v>4.0800000000000003E-2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1.7694100000000004E-2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15">
        <v>9.4799999999999995E-2</v>
      </c>
      <c r="D13" s="15">
        <v>9.6500000000000002E-2</v>
      </c>
      <c r="E13" s="16">
        <v>21.164522000000002</v>
      </c>
      <c r="F13" t="s">
        <v>22</v>
      </c>
      <c r="G13" s="15">
        <v>9.7000000000000003E-2</v>
      </c>
      <c r="H13" s="15">
        <v>9.8799999999999999E-2</v>
      </c>
      <c r="I13" s="16">
        <v>21.122451999999999</v>
      </c>
      <c r="J13" t="s">
        <v>22</v>
      </c>
      <c r="K13" s="16">
        <v>9.9099999999999994E-2</v>
      </c>
      <c r="L13" s="16">
        <v>0.1011</v>
      </c>
      <c r="M13" s="16">
        <v>23.998715000000001</v>
      </c>
      <c r="N13" t="s">
        <v>22</v>
      </c>
      <c r="O13" s="16">
        <v>0.1013</v>
      </c>
      <c r="P13" s="16">
        <v>0.1033</v>
      </c>
      <c r="Q13" s="16">
        <v>21.045614</v>
      </c>
      <c r="S13" s="24"/>
      <c r="T13" t="s">
        <v>22</v>
      </c>
      <c r="U13" s="3">
        <v>6.2600000000000003E-2</v>
      </c>
      <c r="V13" s="3">
        <v>8.5300000000000001E-2</v>
      </c>
      <c r="W13">
        <v>19.305067000000001</v>
      </c>
      <c r="X13" t="s">
        <v>22</v>
      </c>
      <c r="Y13" s="3">
        <v>6.3700000000000007E-2</v>
      </c>
      <c r="Z13" s="3">
        <v>8.7300000000000003E-2</v>
      </c>
      <c r="AA13">
        <v>19.466211999999999</v>
      </c>
      <c r="AB13" t="s">
        <v>22</v>
      </c>
      <c r="AC13">
        <v>6.4799999999999996E-2</v>
      </c>
      <c r="AD13">
        <v>8.9300000000000004E-2</v>
      </c>
      <c r="AE13">
        <v>19.477088999999999</v>
      </c>
      <c r="AF13" t="s">
        <v>22</v>
      </c>
      <c r="AG13">
        <v>6.59E-2</v>
      </c>
      <c r="AH13">
        <v>9.1300000000000006E-2</v>
      </c>
      <c r="AI13">
        <v>19.815691000000001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0.14810000000000001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20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9.6199999999999994E-2</v>
      </c>
      <c r="C25" s="4"/>
      <c r="D25" s="4"/>
      <c r="E25">
        <v>8.182461</v>
      </c>
      <c r="F25" s="3">
        <v>9.8500000000000004E-2</v>
      </c>
      <c r="G25" s="4"/>
      <c r="H25" s="4"/>
      <c r="I25">
        <v>8.6047630000000002</v>
      </c>
      <c r="J25" s="9">
        <v>0.10059999999999999</v>
      </c>
      <c r="K25" s="9"/>
      <c r="L25" s="9"/>
      <c r="M25">
        <v>9.4490060000000007</v>
      </c>
      <c r="N25" s="9">
        <v>0.1031</v>
      </c>
      <c r="O25" s="9"/>
      <c r="P25" s="9"/>
      <c r="Q25">
        <v>8.0235610000000008</v>
      </c>
      <c r="S25" s="25"/>
      <c r="T25" s="4">
        <v>7.8799999999999995E-2</v>
      </c>
      <c r="U25" s="4"/>
      <c r="V25" s="4"/>
      <c r="W25">
        <v>8.7182329999999997</v>
      </c>
      <c r="X25" s="4">
        <v>8.0699999999999994E-2</v>
      </c>
      <c r="Y25" s="4"/>
      <c r="Z25" s="4"/>
      <c r="AA25">
        <v>8.6492810000000002</v>
      </c>
      <c r="AB25" s="9">
        <v>8.2400000000000001E-2</v>
      </c>
      <c r="AC25" s="9"/>
      <c r="AD25" s="9"/>
      <c r="AE25">
        <v>9.2649600000000003</v>
      </c>
      <c r="AF25" s="9">
        <v>8.4199999999999997E-2</v>
      </c>
      <c r="AG25" s="9"/>
      <c r="AH25" s="9"/>
      <c r="AI25">
        <v>9.0332819999999998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3.4099999999999998E-2</v>
      </c>
      <c r="D34" s="3">
        <v>7.4399999999999994E-2</v>
      </c>
      <c r="E34">
        <v>17.584831999999999</v>
      </c>
      <c r="F34" t="s">
        <v>22</v>
      </c>
      <c r="G34" s="3">
        <v>3.49E-2</v>
      </c>
      <c r="H34" s="3">
        <v>7.6200000000000004E-2</v>
      </c>
      <c r="I34">
        <v>17.254000999999999</v>
      </c>
      <c r="J34" t="s">
        <v>22</v>
      </c>
      <c r="K34">
        <v>3.56E-2</v>
      </c>
      <c r="L34">
        <v>7.7899999999999997E-2</v>
      </c>
      <c r="M34">
        <v>16.869903999999998</v>
      </c>
      <c r="N34" t="s">
        <v>22</v>
      </c>
      <c r="O34">
        <v>3.6400000000000002E-2</v>
      </c>
      <c r="P34">
        <v>7.9699999999999993E-2</v>
      </c>
      <c r="Q34">
        <v>17.631413999999999</v>
      </c>
      <c r="S34" s="24"/>
      <c r="T34" t="s">
        <v>22</v>
      </c>
      <c r="U34" s="3">
        <v>1.8599999999999998E-2</v>
      </c>
      <c r="V34" s="3">
        <v>5.9700000000000003E-2</v>
      </c>
      <c r="W34">
        <v>14.275902</v>
      </c>
      <c r="X34" t="s">
        <v>22</v>
      </c>
      <c r="Y34" s="3">
        <v>1.9E-2</v>
      </c>
      <c r="Z34" s="3">
        <v>6.1100000000000002E-2</v>
      </c>
      <c r="AA34">
        <v>15.4032</v>
      </c>
      <c r="AB34" t="s">
        <v>22</v>
      </c>
      <c r="AC34" s="3">
        <v>1.95E-2</v>
      </c>
      <c r="AD34" s="3">
        <v>6.2600000000000003E-2</v>
      </c>
      <c r="AE34">
        <v>17.251041000000001</v>
      </c>
      <c r="AF34" t="s">
        <v>22</v>
      </c>
      <c r="AG34" s="3">
        <v>1.9900000000000001E-2</v>
      </c>
      <c r="AH34" s="3">
        <v>6.4000000000000001E-2</v>
      </c>
      <c r="AI34">
        <v>17.180192999999999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20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5.8400000000000001E-2</v>
      </c>
      <c r="C46" s="4"/>
      <c r="D46" s="4"/>
      <c r="E46">
        <v>8.4706299999999999</v>
      </c>
      <c r="F46" s="4">
        <v>5.96E-2</v>
      </c>
      <c r="G46" s="4"/>
      <c r="H46" s="4"/>
      <c r="I46">
        <v>9.1264009999999995</v>
      </c>
      <c r="J46" s="9">
        <v>6.08E-2</v>
      </c>
      <c r="K46" s="9"/>
      <c r="L46" s="9"/>
      <c r="M46">
        <v>9.1609309999999997</v>
      </c>
      <c r="N46" s="9">
        <v>6.2100000000000002E-2</v>
      </c>
      <c r="O46" s="9"/>
      <c r="P46" s="9"/>
      <c r="Q46">
        <v>9.3700709999999994</v>
      </c>
      <c r="S46" s="25"/>
      <c r="T46" s="4">
        <v>3.7199999999999997E-2</v>
      </c>
      <c r="U46" s="4"/>
      <c r="V46" s="4"/>
      <c r="W46">
        <v>8.9125110000000003</v>
      </c>
      <c r="X46" s="4">
        <v>3.8199999999999998E-2</v>
      </c>
      <c r="Y46" s="4"/>
      <c r="Z46" s="4"/>
      <c r="AA46">
        <v>9.5863990000000001</v>
      </c>
      <c r="AB46" s="4">
        <v>3.9E-2</v>
      </c>
      <c r="AC46" s="4"/>
      <c r="AD46" s="4"/>
      <c r="AE46">
        <v>8.8095130000000008</v>
      </c>
      <c r="AF46" s="4">
        <v>3.9899999999999998E-2</v>
      </c>
      <c r="AG46" s="4"/>
      <c r="AH46" s="4"/>
      <c r="AI46">
        <v>8.8469280000000001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8.8999999999999999E-3</v>
      </c>
      <c r="D54" s="3">
        <v>3.5799999999999998E-2</v>
      </c>
      <c r="E54">
        <v>10.212042</v>
      </c>
      <c r="F54" t="s">
        <v>22</v>
      </c>
      <c r="G54" s="3">
        <v>9.1999999999999998E-3</v>
      </c>
      <c r="H54" s="3">
        <v>3.6799999999999999E-2</v>
      </c>
      <c r="I54">
        <v>11.662336</v>
      </c>
      <c r="J54" t="s">
        <v>22</v>
      </c>
      <c r="K54" s="3">
        <v>9.4000000000000004E-3</v>
      </c>
      <c r="L54" s="3">
        <v>3.78E-2</v>
      </c>
      <c r="M54">
        <v>11.199429</v>
      </c>
      <c r="N54" t="s">
        <v>22</v>
      </c>
      <c r="O54" s="3">
        <v>9.7000000000000003E-3</v>
      </c>
      <c r="P54" s="3">
        <v>3.8800000000000001E-2</v>
      </c>
      <c r="Q54">
        <v>11.965275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1.66E-2</v>
      </c>
      <c r="C66" s="4"/>
      <c r="D66" s="4"/>
      <c r="E66">
        <v>8.9019320000000004</v>
      </c>
      <c r="F66" s="4">
        <v>1.7100000000000001E-2</v>
      </c>
      <c r="G66" s="4"/>
      <c r="H66" s="4"/>
      <c r="I66">
        <v>8.5712539999999997</v>
      </c>
      <c r="J66" s="4">
        <v>1.77E-2</v>
      </c>
      <c r="K66" s="4"/>
      <c r="L66" s="4"/>
      <c r="M66">
        <v>9.7146299999999997</v>
      </c>
      <c r="N66" s="4">
        <v>1.83E-2</v>
      </c>
      <c r="O66" s="4"/>
      <c r="P66" s="4"/>
      <c r="Q66">
        <v>9.6240170000000003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9.4909999999999994E-2</v>
      </c>
      <c r="G75">
        <f t="shared" si="1"/>
        <v>9.6614999999999993E-2</v>
      </c>
      <c r="H75">
        <f t="shared" si="2"/>
        <v>42.286974000000001</v>
      </c>
      <c r="I75">
        <f t="shared" si="3"/>
        <v>1.2630000000000001E-2</v>
      </c>
      <c r="J75">
        <f t="shared" si="4"/>
        <v>5.5299999999999993E-3</v>
      </c>
      <c r="K75">
        <f t="shared" si="5"/>
        <v>2.2851509999999999</v>
      </c>
      <c r="L75">
        <f>0.05*F25+(1-0.05)*B25</f>
        <v>9.6314999999999984E-2</v>
      </c>
      <c r="M75">
        <f>I25+E25</f>
        <v>16.787224000000002</v>
      </c>
      <c r="P75" s="23"/>
      <c r="Q75" t="s">
        <v>36</v>
      </c>
      <c r="R75">
        <f t="shared" si="6"/>
        <v>9.5019999999999993E-2</v>
      </c>
      <c r="S75">
        <f t="shared" si="7"/>
        <v>9.673000000000001E-2</v>
      </c>
      <c r="U75">
        <f t="shared" si="8"/>
        <v>1.976E-2</v>
      </c>
      <c r="V75">
        <f t="shared" si="9"/>
        <v>5.5599999999999998E-3</v>
      </c>
      <c r="X75">
        <f>0.1*F25+(1-0.1)*B25</f>
        <v>9.6429999999999988E-2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3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3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4"/>
      <c r="D81" s="23"/>
      <c r="E81" t="s">
        <v>36</v>
      </c>
      <c r="F81">
        <f t="shared" si="10"/>
        <v>9.5240000000000005E-2</v>
      </c>
      <c r="G81">
        <f t="shared" si="11"/>
        <v>9.6960000000000005E-2</v>
      </c>
      <c r="I81">
        <f t="shared" si="12"/>
        <v>3.4020000000000002E-2</v>
      </c>
      <c r="J81">
        <f t="shared" si="13"/>
        <v>5.62E-3</v>
      </c>
      <c r="L81">
        <f>0.2*F25+(1-0.2)*B25</f>
        <v>9.6659999999999996E-2</v>
      </c>
      <c r="P81" s="23"/>
      <c r="Q81" t="s">
        <v>36</v>
      </c>
      <c r="R81">
        <f t="shared" si="14"/>
        <v>9.5459999999999989E-2</v>
      </c>
      <c r="S81">
        <f t="shared" si="15"/>
        <v>9.7189999999999999E-2</v>
      </c>
      <c r="U81">
        <f t="shared" si="16"/>
        <v>4.8280000000000003E-2</v>
      </c>
      <c r="V81">
        <f t="shared" si="17"/>
        <v>5.6799999999999993E-3</v>
      </c>
      <c r="X81">
        <f>0.3*F25+(1-0.3)*B25</f>
        <v>9.6890000000000004E-2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2" t="s">
        <v>40</v>
      </c>
      <c r="P86" s="23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2"/>
      <c r="P87" s="23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4"/>
      <c r="C88" s="22"/>
      <c r="D88" s="23"/>
      <c r="E88" t="s">
        <v>36</v>
      </c>
      <c r="F88">
        <f t="shared" si="18"/>
        <v>9.5019750000000014E-2</v>
      </c>
      <c r="G88">
        <f t="shared" si="19"/>
        <v>9.673000000000001E-2</v>
      </c>
      <c r="H88">
        <f t="shared" si="20"/>
        <v>66.285689000000005</v>
      </c>
      <c r="I88">
        <f t="shared" si="21"/>
        <v>1.9050250000000001E-2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9.6429500000000015E-2</v>
      </c>
      <c r="M88">
        <f>M25+I25+E25</f>
        <v>26.236230000000003</v>
      </c>
      <c r="O88" s="22"/>
      <c r="P88" s="23"/>
      <c r="Q88" t="s">
        <v>36</v>
      </c>
      <c r="R88">
        <f t="shared" si="24"/>
        <v>9.523899999999999E-2</v>
      </c>
      <c r="S88">
        <f t="shared" si="25"/>
        <v>9.6960000000000018E-2</v>
      </c>
      <c r="U88">
        <f t="shared" si="26"/>
        <v>3.1181000000000004E-2</v>
      </c>
      <c r="V88">
        <f t="shared" si="27"/>
        <v>5.6210000000000001E-3</v>
      </c>
      <c r="X88">
        <f>(0.1*0.9+0.1*0.9)*F25+0.1*0.1*J25+(1-0.1*0.9-0.1*0.9-0.1*0.1)*B25</f>
        <v>9.6658000000000008E-2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2"/>
      <c r="P93" s="23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4"/>
      <c r="C94" s="22"/>
      <c r="D94" s="23"/>
      <c r="E94" t="s">
        <v>36</v>
      </c>
      <c r="F94">
        <f t="shared" si="28"/>
        <v>9.5675999999999997E-2</v>
      </c>
      <c r="G94">
        <f t="shared" si="29"/>
        <v>9.7420000000000007E-2</v>
      </c>
      <c r="I94">
        <f t="shared" si="30"/>
        <v>5.1184000000000014E-2</v>
      </c>
      <c r="J94">
        <f t="shared" si="31"/>
        <v>5.744E-3</v>
      </c>
      <c r="L94">
        <f>(0.2*0.8+0.2*0.8)*F25+0.2*0.2*J25+(1-0.2*0.8-0.2*0.8-0.2*0.2)*B25</f>
        <v>9.711199999999999E-2</v>
      </c>
      <c r="O94" s="22"/>
      <c r="P94" s="23"/>
      <c r="Q94" t="s">
        <v>36</v>
      </c>
      <c r="R94">
        <f t="shared" si="32"/>
        <v>9.6111000000000002E-2</v>
      </c>
      <c r="S94">
        <f t="shared" si="33"/>
        <v>9.7880000000000023E-2</v>
      </c>
      <c r="U94">
        <f t="shared" si="34"/>
        <v>6.5508999999999998E-2</v>
      </c>
      <c r="V94">
        <f t="shared" si="35"/>
        <v>5.8690000000000001E-3</v>
      </c>
      <c r="X94">
        <f>(0.3*0.7+0.3*0.7)*F25+0.3*0.3*J25+(1-0.3*0.7-0.3*0.7-0.3*0.3)*B25</f>
        <v>9.756200000000001E-2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6"/>
      <c r="O100" s="22"/>
      <c r="P100" s="23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6"/>
        <v>9.5129274999999985E-2</v>
      </c>
      <c r="G101">
        <f t="shared" si="37"/>
        <v>9.6844987499999993E-2</v>
      </c>
      <c r="H101">
        <f>Q13+M13+I11+E13</f>
        <v>66.20885100000001</v>
      </c>
      <c r="I101">
        <f t="shared" si="38"/>
        <v>2.4813974999999999E-2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9.6543574999999979E-2</v>
      </c>
      <c r="M101">
        <f>Q25+M25+I25+E25</f>
        <v>34.259791000000007</v>
      </c>
      <c r="N101" s="26"/>
      <c r="O101" s="22"/>
      <c r="P101" s="23"/>
      <c r="Q101" t="s">
        <v>36</v>
      </c>
      <c r="R101">
        <f t="shared" si="41"/>
        <v>9.5457199999999992E-2</v>
      </c>
      <c r="S101">
        <f t="shared" si="42"/>
        <v>9.7189899999999996E-2</v>
      </c>
      <c r="U101">
        <f t="shared" si="43"/>
        <v>4.0188800000000011E-2</v>
      </c>
      <c r="V101">
        <f t="shared" si="44"/>
        <v>5.6828E-3</v>
      </c>
      <c r="X101">
        <f>3*0.1*(1-0.1)*(1-0.1)*F25+3*0.1*0.1*(1-0.1)*J25+0.1*0.1*0.1*N25+(1-3*0.1*(1-0.1)*(1-0.1)-3*0.1*0.1*(1-0.1)-0.1*0.1*0.1)*B25</f>
        <v>9.6884599999999987E-2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6"/>
      <c r="O106" s="22"/>
      <c r="P106" s="23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5"/>
        <v>9.6109599999999989E-2</v>
      </c>
      <c r="G107">
        <f t="shared" si="46"/>
        <v>9.78792E-2</v>
      </c>
      <c r="I107">
        <f t="shared" si="47"/>
        <v>6.0398400000000026E-2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9.7560799999999989E-2</v>
      </c>
      <c r="N107" s="26"/>
      <c r="O107" s="22"/>
      <c r="P107" s="23"/>
      <c r="Q107" t="s">
        <v>36</v>
      </c>
      <c r="R107">
        <f t="shared" si="49"/>
        <v>9.6758400000000008E-2</v>
      </c>
      <c r="S107">
        <f t="shared" si="50"/>
        <v>9.8567299999999997E-2</v>
      </c>
      <c r="U107">
        <f t="shared" si="51"/>
        <v>6.8683599999999984E-2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9.8232200000000006E-2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23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24"/>
      <c r="D113" s="23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23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24"/>
      <c r="D114" s="23"/>
      <c r="E114" t="s">
        <v>36</v>
      </c>
      <c r="F114">
        <f t="shared" si="53"/>
        <v>6.2655000000000002E-2</v>
      </c>
      <c r="G114">
        <f t="shared" si="54"/>
        <v>8.539999999999999E-2</v>
      </c>
      <c r="H114">
        <f t="shared" si="55"/>
        <v>38.771279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7.8894999999999993E-2</v>
      </c>
      <c r="M114">
        <f>AA25+W25</f>
        <v>17.367514</v>
      </c>
      <c r="P114" s="23"/>
      <c r="Q114" t="s">
        <v>36</v>
      </c>
      <c r="R114">
        <f t="shared" si="59"/>
        <v>6.2710000000000002E-2</v>
      </c>
      <c r="S114">
        <f t="shared" si="60"/>
        <v>8.5500000000000007E-2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7.8989999999999991E-2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23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24"/>
      <c r="D119" s="23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23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24"/>
      <c r="D120" s="23"/>
      <c r="E120" t="s">
        <v>36</v>
      </c>
      <c r="F120">
        <f t="shared" si="63"/>
        <v>6.2820000000000015E-2</v>
      </c>
      <c r="G120">
        <f t="shared" si="64"/>
        <v>8.5700000000000012E-2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7.918E-2</v>
      </c>
      <c r="P120" s="23"/>
      <c r="Q120" t="s">
        <v>36</v>
      </c>
      <c r="R120">
        <f t="shared" si="67"/>
        <v>6.293E-2</v>
      </c>
      <c r="S120">
        <f t="shared" si="68"/>
        <v>8.5900000000000004E-2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7.9369999999999996E-2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2"/>
      <c r="P126" s="23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24"/>
      <c r="C127" s="22"/>
      <c r="D127" s="23"/>
      <c r="E127" t="s">
        <v>36</v>
      </c>
      <c r="F127">
        <f t="shared" si="71"/>
        <v>6.2710000000000002E-2</v>
      </c>
      <c r="G127">
        <f t="shared" si="72"/>
        <v>8.5500000000000007E-2</v>
      </c>
      <c r="H127">
        <f t="shared" si="73"/>
        <v>58.248367999999999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7.8989500000000004E-2</v>
      </c>
      <c r="M127">
        <f>AE25+AA25+W25</f>
        <v>26.632474000000002</v>
      </c>
      <c r="O127" s="22"/>
      <c r="P127" s="23"/>
      <c r="Q127" t="s">
        <v>36</v>
      </c>
      <c r="R127">
        <f t="shared" si="77"/>
        <v>6.2820000000000015E-2</v>
      </c>
      <c r="S127">
        <f t="shared" si="78"/>
        <v>8.5699999999999998E-2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7.9177999999999998E-2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2"/>
      <c r="P132" s="23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24"/>
      <c r="C133" s="22"/>
      <c r="D133" s="23"/>
      <c r="E133" t="s">
        <v>36</v>
      </c>
      <c r="F133">
        <f t="shared" si="81"/>
        <v>6.3039999999999999E-2</v>
      </c>
      <c r="G133">
        <f t="shared" si="82"/>
        <v>8.610000000000001E-2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7.9551999999999998E-2</v>
      </c>
      <c r="O133" s="22"/>
      <c r="P133" s="23"/>
      <c r="Q133" t="s">
        <v>36</v>
      </c>
      <c r="R133">
        <f t="shared" si="85"/>
        <v>6.3260000000000011E-2</v>
      </c>
      <c r="S133">
        <f t="shared" si="86"/>
        <v>8.6500000000000007E-2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7.9921999999999993E-2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6"/>
      <c r="O139" s="22"/>
      <c r="P139" s="23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5.4940324999999998E-2</v>
      </c>
      <c r="G140">
        <f>3*0.05*(1-0.05)*(1-0.05)*Z20+3*0.05*0.05*(1-0.05)*AD13+0.05*0.05*0.05*AH13+(1-3*0.05*(1-0.05)*(1-0.05)-3*0.05*0.05*(1-0.05)-0.05*0.05*0.05)*V13</f>
        <v>7.4580474999999993E-2</v>
      </c>
      <c r="H140">
        <f>AI13+AE13+AA20+W13</f>
        <v>59.720916000000003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7.9083537499999981E-2</v>
      </c>
      <c r="M140">
        <f>AI25+AE25+AA25+W25</f>
        <v>35.665756000000002</v>
      </c>
      <c r="N140" s="26"/>
      <c r="O140" s="22"/>
      <c r="P140" s="23"/>
      <c r="Q140" t="s">
        <v>36</v>
      </c>
      <c r="R140">
        <f t="shared" si="92"/>
        <v>6.293E-2</v>
      </c>
      <c r="S140">
        <f t="shared" si="93"/>
        <v>8.589999999999999E-2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7.9364299999999999E-2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6"/>
      <c r="O145" s="22"/>
      <c r="P145" s="23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4.1064799999999992E-2</v>
      </c>
      <c r="G146">
        <f>3*0.2*(1-0.2)*(1-0.2)*Z20+3*0.2*0.2*(1-0.2)*AD13+0.2*0.2*0.2*AH13+(1-3*0.2*(1-0.2)*(1-0.2)-3*0.2*0.2*(1-0.2)-0.2*0.2*0.2)*V13</f>
        <v>5.5242399999999983E-2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7.9918400000000001E-2</v>
      </c>
      <c r="N146" s="26"/>
      <c r="O146" s="22"/>
      <c r="P146" s="23"/>
      <c r="Q146" t="s">
        <v>36</v>
      </c>
      <c r="R146">
        <f t="shared" si="98"/>
        <v>6.3590000000000008E-2</v>
      </c>
      <c r="S146">
        <f t="shared" si="99"/>
        <v>8.7100000000000011E-2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8.0464100000000011E-2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23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24"/>
      <c r="D152" s="23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23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24"/>
      <c r="D153" s="23"/>
      <c r="E153" t="s">
        <v>36</v>
      </c>
      <c r="F153">
        <f t="shared" si="102"/>
        <v>3.4140000000000004E-2</v>
      </c>
      <c r="G153">
        <f t="shared" si="103"/>
        <v>7.4489999999999987E-2</v>
      </c>
      <c r="H153">
        <f t="shared" si="104"/>
        <v>34.838832999999994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5.8459999999999998E-2</v>
      </c>
      <c r="M153">
        <f>I46+E46</f>
        <v>17.597031000000001</v>
      </c>
      <c r="P153" s="23"/>
      <c r="Q153" t="s">
        <v>36</v>
      </c>
      <c r="R153">
        <f t="shared" si="108"/>
        <v>3.4180000000000002E-2</v>
      </c>
      <c r="S153">
        <f t="shared" si="109"/>
        <v>7.4579999999999994E-2</v>
      </c>
      <c r="U153">
        <f t="shared" si="110"/>
        <v>4.7600000000000003E-3</v>
      </c>
      <c r="V153">
        <f t="shared" si="111"/>
        <v>4.96E-3</v>
      </c>
      <c r="X153">
        <f>0.1*F46+(1-0.1)*B46</f>
        <v>5.8520000000000003E-2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23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24"/>
      <c r="D158" s="23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23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24"/>
      <c r="D159" s="23"/>
      <c r="E159" t="s">
        <v>36</v>
      </c>
      <c r="F159">
        <f t="shared" si="112"/>
        <v>3.4259999999999999E-2</v>
      </c>
      <c r="G159">
        <f t="shared" si="113"/>
        <v>7.4759999999999993E-2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5.8640000000000005E-2</v>
      </c>
      <c r="P159" s="23"/>
      <c r="Q159" t="s">
        <v>36</v>
      </c>
      <c r="R159">
        <f t="shared" si="116"/>
        <v>3.4339999999999996E-2</v>
      </c>
      <c r="S159">
        <f t="shared" si="117"/>
        <v>7.4939999999999993E-2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5.876E-2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2"/>
      <c r="P165" s="23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24"/>
      <c r="C166" s="22"/>
      <c r="D166" s="23"/>
      <c r="E166" t="s">
        <v>36</v>
      </c>
      <c r="F166">
        <f t="shared" si="120"/>
        <v>3.4179750000000002E-2</v>
      </c>
      <c r="G166">
        <f t="shared" si="121"/>
        <v>7.457975E-2</v>
      </c>
      <c r="H166">
        <f t="shared" si="122"/>
        <v>51.708736999999992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5.8520000000000003E-2</v>
      </c>
      <c r="M166">
        <f>M46+I46+E46</f>
        <v>26.757961999999999</v>
      </c>
      <c r="O166" s="22"/>
      <c r="P166" s="23"/>
      <c r="Q166" t="s">
        <v>36</v>
      </c>
      <c r="R166">
        <f t="shared" si="126"/>
        <v>3.4258999999999998E-2</v>
      </c>
      <c r="S166">
        <f t="shared" si="127"/>
        <v>7.4759000000000006E-2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5.8640000000000012E-2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2"/>
      <c r="P171" s="23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24"/>
      <c r="C172" s="22"/>
      <c r="D172" s="23"/>
      <c r="E172" t="s">
        <v>36</v>
      </c>
      <c r="F172">
        <f t="shared" si="130"/>
        <v>3.4416000000000002E-2</v>
      </c>
      <c r="G172">
        <f t="shared" si="131"/>
        <v>7.5116000000000002E-2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5.8879999999999995E-2</v>
      </c>
      <c r="O172" s="22"/>
      <c r="P172" s="23"/>
      <c r="Q172" t="s">
        <v>36</v>
      </c>
      <c r="R172">
        <f t="shared" si="134"/>
        <v>3.4571000000000005E-2</v>
      </c>
      <c r="S172">
        <f t="shared" si="135"/>
        <v>7.5470999999999996E-2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5.9120000000000006E-2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6"/>
      <c r="O178" s="22"/>
      <c r="P178" s="23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8"/>
        <v>3.4219274999999993E-2</v>
      </c>
      <c r="G179">
        <f t="shared" si="139"/>
        <v>7.4669274999999993E-2</v>
      </c>
      <c r="H179">
        <f t="shared" si="140"/>
        <v>69.340150999999992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5.8580012499999994E-2</v>
      </c>
      <c r="M179">
        <f>Q46+M46+I46+E46</f>
        <v>36.128033000000002</v>
      </c>
      <c r="N179" s="26"/>
      <c r="O179" s="22"/>
      <c r="P179" s="23"/>
      <c r="Q179" t="s">
        <v>36</v>
      </c>
      <c r="R179">
        <f t="shared" si="144"/>
        <v>3.4337199999999998E-2</v>
      </c>
      <c r="S179">
        <f t="shared" si="145"/>
        <v>7.4937199999999982E-2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5.8760099999999996E-2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6"/>
      <c r="O184" s="22"/>
      <c r="P184" s="23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8"/>
        <v>3.4569599999999992E-2</v>
      </c>
      <c r="G185">
        <f t="shared" si="149"/>
        <v>7.5469599999999998E-2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5.9120800000000001E-2</v>
      </c>
      <c r="N185" s="26"/>
      <c r="O185" s="22"/>
      <c r="P185" s="23"/>
      <c r="Q185" t="s">
        <v>36</v>
      </c>
      <c r="R185">
        <f t="shared" si="152"/>
        <v>3.47984E-2</v>
      </c>
      <c r="S185">
        <f t="shared" si="153"/>
        <v>7.5998399999999994E-2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5.9482700000000006E-2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23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24"/>
      <c r="D191" s="23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23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24"/>
      <c r="D192" s="23"/>
      <c r="E192" t="s">
        <v>36</v>
      </c>
      <c r="F192">
        <f t="shared" si="156"/>
        <v>1.8619999999999998E-2</v>
      </c>
      <c r="G192">
        <f t="shared" si="157"/>
        <v>5.9770000000000004E-2</v>
      </c>
      <c r="H192">
        <f t="shared" si="158"/>
        <v>29.679102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3.7249999999999998E-2</v>
      </c>
      <c r="M192">
        <f>AA46+W46</f>
        <v>18.498910000000002</v>
      </c>
      <c r="P192" s="23"/>
      <c r="Q192" t="s">
        <v>36</v>
      </c>
      <c r="R192">
        <f t="shared" si="162"/>
        <v>1.8639999999999997E-2</v>
      </c>
      <c r="S192">
        <f t="shared" si="163"/>
        <v>5.9840000000000004E-2</v>
      </c>
      <c r="U192">
        <f t="shared" si="164"/>
        <v>3.46E-3</v>
      </c>
      <c r="V192">
        <f t="shared" si="165"/>
        <v>4.1500000000000009E-3</v>
      </c>
      <c r="X192">
        <f>0.1*X46+(1-0.1)*T46</f>
        <v>3.7299999999999993E-2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23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24"/>
      <c r="D197" s="23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23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24"/>
      <c r="D198" s="23"/>
      <c r="E198" t="s">
        <v>36</v>
      </c>
      <c r="F198">
        <f t="shared" si="166"/>
        <v>1.8679999999999999E-2</v>
      </c>
      <c r="G198">
        <f t="shared" si="167"/>
        <v>5.9980000000000006E-2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3.7399999999999996E-2</v>
      </c>
      <c r="P198" s="23"/>
      <c r="Q198" t="s">
        <v>36</v>
      </c>
      <c r="R198">
        <f t="shared" si="170"/>
        <v>1.8719999999999997E-2</v>
      </c>
      <c r="S198">
        <f t="shared" si="171"/>
        <v>6.012E-2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3.7499999999999999E-2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2"/>
      <c r="P204" s="23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24"/>
      <c r="C205" s="22"/>
      <c r="D205" s="23"/>
      <c r="E205" t="s">
        <v>36</v>
      </c>
      <c r="F205">
        <f t="shared" si="174"/>
        <v>1.8640250000000001E-2</v>
      </c>
      <c r="G205">
        <f t="shared" si="175"/>
        <v>5.9840250000000011E-2</v>
      </c>
      <c r="H205">
        <f t="shared" si="176"/>
        <v>46.930143000000001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3.7299499999999999E-2</v>
      </c>
      <c r="M205">
        <f>AE46+AA46+W46</f>
        <v>27.308423000000005</v>
      </c>
      <c r="O205" s="22"/>
      <c r="P205" s="23"/>
      <c r="Q205" t="s">
        <v>36</v>
      </c>
      <c r="R205">
        <f t="shared" si="180"/>
        <v>1.8681E-2</v>
      </c>
      <c r="S205">
        <f t="shared" si="181"/>
        <v>5.9981000000000007E-2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3.7398000000000001E-2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2"/>
      <c r="P210" s="23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24"/>
      <c r="C211" s="22"/>
      <c r="D211" s="23"/>
      <c r="E211" t="s">
        <v>36</v>
      </c>
      <c r="F211">
        <f t="shared" si="184"/>
        <v>1.8763999999999999E-2</v>
      </c>
      <c r="G211">
        <f t="shared" si="185"/>
        <v>6.0263999999999998E-2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3.7592E-2</v>
      </c>
      <c r="O211" s="22"/>
      <c r="P211" s="23"/>
      <c r="Q211" t="s">
        <v>36</v>
      </c>
      <c r="R211">
        <f t="shared" si="188"/>
        <v>1.8848999999999998E-2</v>
      </c>
      <c r="S211">
        <f t="shared" si="189"/>
        <v>6.0549000000000013E-2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3.7781999999999996E-2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6"/>
      <c r="O217" s="22"/>
      <c r="P217" s="23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92"/>
        <v>1.8660724999999996E-2</v>
      </c>
      <c r="G218">
        <f t="shared" si="193"/>
        <v>5.9910724999999998E-2</v>
      </c>
      <c r="H218">
        <f t="shared" si="194"/>
        <v>64.110336000000004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3.7348537499999994E-2</v>
      </c>
      <c r="M218">
        <f>AI46+AE46+AA46+W46</f>
        <v>36.155351000000003</v>
      </c>
      <c r="N218" s="26"/>
      <c r="O218" s="22"/>
      <c r="P218" s="23"/>
      <c r="Q218" t="s">
        <v>36</v>
      </c>
      <c r="R218">
        <f t="shared" si="198"/>
        <v>1.8722799999999998E-2</v>
      </c>
      <c r="S218">
        <f t="shared" si="199"/>
        <v>6.0122799999999997E-2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3.7494299999999994E-2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6"/>
      <c r="O223" s="22"/>
      <c r="P223" s="23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202"/>
        <v>1.8850399999999996E-2</v>
      </c>
      <c r="G224">
        <f t="shared" si="203"/>
        <v>6.0550400000000004E-2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3.7778399999999997E-2</v>
      </c>
      <c r="N224" s="26"/>
      <c r="O224" s="22"/>
      <c r="P224" s="23"/>
      <c r="Q224" t="s">
        <v>36</v>
      </c>
      <c r="R224">
        <f t="shared" si="206"/>
        <v>1.8981600000000001E-2</v>
      </c>
      <c r="S224">
        <f t="shared" si="207"/>
        <v>6.0981600000000004E-2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3.80541E-2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23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24"/>
      <c r="D230" s="23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23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24"/>
      <c r="D231" s="23"/>
      <c r="E231" t="s">
        <v>36</v>
      </c>
      <c r="F231">
        <f t="shared" si="210"/>
        <v>8.9149999999999993E-3</v>
      </c>
      <c r="G231">
        <f t="shared" si="211"/>
        <v>3.585E-2</v>
      </c>
      <c r="H231">
        <f t="shared" si="212"/>
        <v>21.874378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1.6625000000000001E-2</v>
      </c>
      <c r="M231">
        <f>I66+E66</f>
        <v>17.473185999999998</v>
      </c>
      <c r="P231" s="23"/>
      <c r="Q231" t="s">
        <v>36</v>
      </c>
      <c r="R231">
        <f t="shared" si="216"/>
        <v>8.9300000000000004E-3</v>
      </c>
      <c r="S231">
        <f t="shared" si="217"/>
        <v>3.5900000000000001E-2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1.6650000000000002E-2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23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24"/>
      <c r="D236" s="23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23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24"/>
      <c r="D237" s="23"/>
      <c r="E237" t="s">
        <v>36</v>
      </c>
      <c r="F237">
        <f t="shared" si="220"/>
        <v>8.9600000000000009E-3</v>
      </c>
      <c r="G237">
        <f t="shared" si="221"/>
        <v>3.5999999999999997E-2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1.67E-2</v>
      </c>
      <c r="P237" s="23"/>
      <c r="Q237" t="s">
        <v>36</v>
      </c>
      <c r="R237">
        <f t="shared" si="224"/>
        <v>8.9899999999999997E-3</v>
      </c>
      <c r="S237">
        <f t="shared" si="225"/>
        <v>3.61E-2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1.6750000000000001E-2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2"/>
      <c r="P243" s="23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24"/>
      <c r="C244" s="22"/>
      <c r="D244" s="23"/>
      <c r="E244" t="s">
        <v>36</v>
      </c>
      <c r="F244">
        <f t="shared" si="228"/>
        <v>8.9297500000000019E-3</v>
      </c>
      <c r="G244">
        <f t="shared" si="229"/>
        <v>3.5900000000000001E-2</v>
      </c>
      <c r="H244">
        <f t="shared" si="230"/>
        <v>33.073807000000002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1.6650250000000002E-2</v>
      </c>
      <c r="M244">
        <f>M66+I66+E66</f>
        <v>27.187815999999998</v>
      </c>
      <c r="O244" s="22"/>
      <c r="P244" s="23"/>
      <c r="Q244" t="s">
        <v>36</v>
      </c>
      <c r="R244">
        <f t="shared" si="234"/>
        <v>8.9589999999999999E-3</v>
      </c>
      <c r="S244">
        <f t="shared" si="235"/>
        <v>3.5999999999999997E-2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1.6701000000000001E-2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2"/>
      <c r="P249" s="23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24"/>
      <c r="C250" s="22"/>
      <c r="D250" s="23"/>
      <c r="E250" t="s">
        <v>36</v>
      </c>
      <c r="F250">
        <f t="shared" si="238"/>
        <v>9.0159999999999997E-3</v>
      </c>
      <c r="G250">
        <f t="shared" si="239"/>
        <v>3.6199999999999996E-2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1.6803999999999999E-2</v>
      </c>
      <c r="O250" s="22"/>
      <c r="P250" s="23"/>
      <c r="Q250" t="s">
        <v>36</v>
      </c>
      <c r="R250">
        <f t="shared" si="242"/>
        <v>9.0710000000000009E-3</v>
      </c>
      <c r="S250">
        <f t="shared" si="243"/>
        <v>3.6400000000000002E-2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1.6909E-2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6"/>
      <c r="O256" s="22"/>
      <c r="P256" s="23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6"/>
        <v>8.9442749999999981E-3</v>
      </c>
      <c r="G257">
        <f t="shared" si="247"/>
        <v>3.5949999999999996E-2</v>
      </c>
      <c r="H257">
        <f t="shared" si="248"/>
        <v>45.039081999999993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1.6675737499999999E-2</v>
      </c>
      <c r="M257">
        <f>Q66+M66+I66+E66</f>
        <v>36.811833</v>
      </c>
      <c r="N257" s="26"/>
      <c r="O257" s="22"/>
      <c r="P257" s="23"/>
      <c r="Q257" t="s">
        <v>36</v>
      </c>
      <c r="R257">
        <f t="shared" si="252"/>
        <v>8.987199999999999E-3</v>
      </c>
      <c r="S257">
        <f t="shared" si="253"/>
        <v>3.61E-2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1.6752900000000001E-2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6"/>
      <c r="O262" s="22"/>
      <c r="P262" s="23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6"/>
        <v>9.0695999999999988E-3</v>
      </c>
      <c r="G263">
        <f t="shared" si="257"/>
        <v>3.6399999999999995E-2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1.6911200000000001E-2</v>
      </c>
      <c r="N263" s="26"/>
      <c r="O263" s="22"/>
      <c r="P263" s="23"/>
      <c r="Q263" t="s">
        <v>36</v>
      </c>
      <c r="R263">
        <f t="shared" si="260"/>
        <v>9.1483999999999992E-3</v>
      </c>
      <c r="S263">
        <f t="shared" si="261"/>
        <v>3.6699999999999997E-2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1.7074300000000001E-2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2" max="2" width="12.21875" customWidth="1"/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15">
        <v>8.4099999999999994E-2</v>
      </c>
      <c r="D13" s="15">
        <v>8.5099999999999995E-2</v>
      </c>
      <c r="E13" s="16">
        <v>9.2607850000000003</v>
      </c>
      <c r="F13" t="s">
        <v>22</v>
      </c>
      <c r="G13" s="15">
        <v>8.6300000000000002E-2</v>
      </c>
      <c r="H13" s="15">
        <v>8.7499999999999994E-2</v>
      </c>
      <c r="I13" s="16">
        <v>8.6690480000000001</v>
      </c>
      <c r="J13" t="s">
        <v>22</v>
      </c>
      <c r="K13" s="16">
        <v>8.8499999999999995E-2</v>
      </c>
      <c r="L13" s="16">
        <v>8.9800000000000005E-2</v>
      </c>
      <c r="M13" s="16">
        <v>8.7269919999999992</v>
      </c>
      <c r="N13" t="s">
        <v>22</v>
      </c>
      <c r="O13" s="16">
        <v>9.0800000000000006E-2</v>
      </c>
      <c r="P13" s="16">
        <v>9.2100000000000001E-2</v>
      </c>
      <c r="Q13" s="16">
        <v>8.9906819999999996</v>
      </c>
      <c r="S13" s="24"/>
      <c r="T13" t="s">
        <v>22</v>
      </c>
      <c r="U13" s="3">
        <v>5.9700000000000003E-2</v>
      </c>
      <c r="V13" s="3">
        <v>7.5600000000000001E-2</v>
      </c>
      <c r="W13">
        <v>8.3418039999999998</v>
      </c>
      <c r="X13" t="s">
        <v>22</v>
      </c>
      <c r="Y13" s="3">
        <v>6.0999999999999999E-2</v>
      </c>
      <c r="Z13" s="3">
        <v>7.7700000000000005E-2</v>
      </c>
      <c r="AA13">
        <v>9.3597020000000004</v>
      </c>
      <c r="AB13" t="s">
        <v>22</v>
      </c>
      <c r="AC13">
        <v>6.2300000000000001E-2</v>
      </c>
      <c r="AD13">
        <v>7.9699999999999993E-2</v>
      </c>
      <c r="AE13">
        <v>9.3773739999999997</v>
      </c>
      <c r="AF13" t="s">
        <v>22</v>
      </c>
      <c r="AG13">
        <v>6.3600000000000004E-2</v>
      </c>
      <c r="AH13">
        <v>8.1699999999999995E-2</v>
      </c>
      <c r="AI13">
        <v>8.7901579999999999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0.14810000000000001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20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8.4900000000000003E-2</v>
      </c>
      <c r="C25" s="4"/>
      <c r="D25" s="4"/>
      <c r="E25">
        <v>7.5339539999999996</v>
      </c>
      <c r="F25" s="3">
        <v>8.72E-2</v>
      </c>
      <c r="G25" s="4"/>
      <c r="H25" s="4"/>
      <c r="I25">
        <v>8.1239980000000003</v>
      </c>
      <c r="J25" s="9">
        <v>8.9599999999999999E-2</v>
      </c>
      <c r="K25" s="9"/>
      <c r="L25" s="9"/>
      <c r="M25">
        <v>8.1852060000000009</v>
      </c>
      <c r="N25" s="9">
        <v>9.1999999999999998E-2</v>
      </c>
      <c r="O25" s="9"/>
      <c r="P25" s="9"/>
      <c r="Q25">
        <v>8.1912509999999994</v>
      </c>
      <c r="S25" s="25"/>
      <c r="T25" s="4">
        <v>7.0900000000000005E-2</v>
      </c>
      <c r="U25" s="4"/>
      <c r="V25" s="4"/>
      <c r="W25">
        <v>8.4274869999999993</v>
      </c>
      <c r="X25" s="4">
        <v>7.2599999999999998E-2</v>
      </c>
      <c r="Y25" s="4"/>
      <c r="Z25" s="4"/>
      <c r="AA25">
        <v>7.9398949999999999</v>
      </c>
      <c r="AB25" s="9">
        <v>7.4499999999999997E-2</v>
      </c>
      <c r="AC25" s="9"/>
      <c r="AD25" s="9"/>
      <c r="AE25">
        <v>8.1910880000000006</v>
      </c>
      <c r="AF25" s="9">
        <v>7.6399999999999996E-2</v>
      </c>
      <c r="AG25" s="9"/>
      <c r="AH25" s="9"/>
      <c r="AI25">
        <v>7.0074719999999999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3.32E-2</v>
      </c>
      <c r="D34" s="3">
        <v>6.5699999999999995E-2</v>
      </c>
      <c r="E34">
        <v>8.3772439999999992</v>
      </c>
      <c r="F34" t="s">
        <v>22</v>
      </c>
      <c r="G34" s="3">
        <v>3.4000000000000002E-2</v>
      </c>
      <c r="H34" s="3">
        <v>6.7500000000000004E-2</v>
      </c>
      <c r="I34">
        <v>8.8633729999999993</v>
      </c>
      <c r="J34" t="s">
        <v>22</v>
      </c>
      <c r="K34">
        <v>3.4700000000000002E-2</v>
      </c>
      <c r="L34">
        <v>6.93E-2</v>
      </c>
      <c r="M34">
        <v>8.7720249999999993</v>
      </c>
      <c r="N34" t="s">
        <v>22</v>
      </c>
      <c r="O34">
        <v>3.5499999999999997E-2</v>
      </c>
      <c r="P34">
        <v>7.0999999999999994E-2</v>
      </c>
      <c r="Q34">
        <v>7.1988260000000004</v>
      </c>
      <c r="S34" s="24"/>
      <c r="T34" t="s">
        <v>22</v>
      </c>
      <c r="U34" s="3">
        <v>1.8200000000000001E-2</v>
      </c>
      <c r="V34" s="3">
        <v>5.2600000000000001E-2</v>
      </c>
      <c r="W34">
        <v>6.5319510000000003</v>
      </c>
      <c r="X34" t="s">
        <v>22</v>
      </c>
      <c r="Y34" s="3">
        <v>1.8700000000000001E-2</v>
      </c>
      <c r="Z34" s="3">
        <v>5.4100000000000002E-2</v>
      </c>
      <c r="AA34">
        <v>6.4964149999999998</v>
      </c>
      <c r="AB34" t="s">
        <v>22</v>
      </c>
      <c r="AC34" s="3">
        <v>1.9199999999999998E-2</v>
      </c>
      <c r="AD34" s="3">
        <v>5.5599999999999997E-2</v>
      </c>
      <c r="AE34">
        <v>7.5284110000000002</v>
      </c>
      <c r="AF34" t="s">
        <v>22</v>
      </c>
      <c r="AG34" s="3">
        <v>1.9699999999999999E-2</v>
      </c>
      <c r="AH34" s="3">
        <v>5.7000000000000002E-2</v>
      </c>
      <c r="AI34">
        <v>7.7567760000000003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20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5.33E-2</v>
      </c>
      <c r="C46" s="4"/>
      <c r="D46" s="4"/>
      <c r="E46">
        <v>8.1451089999999997</v>
      </c>
      <c r="F46" s="4">
        <v>5.4699999999999999E-2</v>
      </c>
      <c r="G46" s="4"/>
      <c r="H46" s="4"/>
      <c r="I46">
        <v>8.5028039999999994</v>
      </c>
      <c r="J46" s="9">
        <v>5.6099999999999997E-2</v>
      </c>
      <c r="K46" s="9"/>
      <c r="L46" s="9"/>
      <c r="M46">
        <v>8.3259559999999997</v>
      </c>
      <c r="N46" s="9">
        <v>5.7299999999999997E-2</v>
      </c>
      <c r="O46" s="9"/>
      <c r="P46" s="9"/>
      <c r="Q46">
        <v>8.3248949999999997</v>
      </c>
      <c r="S46" s="25"/>
      <c r="T46" s="4">
        <v>3.4700000000000002E-2</v>
      </c>
      <c r="U46" s="4"/>
      <c r="V46" s="4"/>
      <c r="W46">
        <v>8.0067120000000003</v>
      </c>
      <c r="X46" s="4">
        <v>3.5499999999999997E-2</v>
      </c>
      <c r="Y46" s="4"/>
      <c r="Z46" s="4"/>
      <c r="AA46">
        <v>8.0507380000000008</v>
      </c>
      <c r="AB46" s="4">
        <v>3.6600000000000001E-2</v>
      </c>
      <c r="AC46" s="4"/>
      <c r="AD46" s="4"/>
      <c r="AE46">
        <v>3.6600000000000001E-2</v>
      </c>
      <c r="AF46" s="4">
        <v>3.7499999999999999E-2</v>
      </c>
      <c r="AG46" s="4"/>
      <c r="AH46" s="4"/>
      <c r="AI46">
        <v>7.5043090000000001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8.8999999999999999E-3</v>
      </c>
      <c r="D54" s="3">
        <v>3.1699999999999999E-2</v>
      </c>
      <c r="E54">
        <v>5.8149730000000002</v>
      </c>
      <c r="F54" t="s">
        <v>22</v>
      </c>
      <c r="G54" s="3">
        <v>9.1999999999999998E-3</v>
      </c>
      <c r="H54" s="3">
        <v>3.2800000000000003E-2</v>
      </c>
      <c r="I54">
        <v>5.800306</v>
      </c>
      <c r="J54" t="s">
        <v>22</v>
      </c>
      <c r="K54" s="3">
        <v>9.4999999999999998E-3</v>
      </c>
      <c r="L54" s="3">
        <v>3.3799999999999997E-2</v>
      </c>
      <c r="M54">
        <v>5.730391</v>
      </c>
      <c r="N54" t="s">
        <v>22</v>
      </c>
      <c r="O54" s="3">
        <v>9.7000000000000003E-3</v>
      </c>
      <c r="P54" s="3">
        <v>3.4799999999999998E-2</v>
      </c>
      <c r="Q54">
        <v>5.7180770000000001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1.5900000000000001E-2</v>
      </c>
      <c r="C66" s="4"/>
      <c r="D66" s="4"/>
      <c r="E66">
        <v>7.5887209999999996</v>
      </c>
      <c r="F66" s="4">
        <v>1.6400000000000001E-2</v>
      </c>
      <c r="G66" s="4"/>
      <c r="H66" s="4"/>
      <c r="I66">
        <v>7.6974429999999998</v>
      </c>
      <c r="J66" s="4">
        <v>1.7000000000000001E-2</v>
      </c>
      <c r="K66" s="4"/>
      <c r="L66" s="4"/>
      <c r="M66">
        <v>8.1116779999999995</v>
      </c>
      <c r="N66" s="4">
        <v>1.77E-2</v>
      </c>
      <c r="O66" s="4"/>
      <c r="P66" s="4"/>
      <c r="Q66">
        <v>7.8991720000000001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8.4209999999999993E-2</v>
      </c>
      <c r="G75">
        <f t="shared" si="1"/>
        <v>8.521999999999999E-2</v>
      </c>
      <c r="H75">
        <f t="shared" si="2"/>
        <v>17.929833000000002</v>
      </c>
      <c r="I75">
        <f t="shared" si="3"/>
        <v>1.2630000000000001E-2</v>
      </c>
      <c r="J75">
        <f t="shared" si="4"/>
        <v>5.5299999999999993E-3</v>
      </c>
      <c r="K75">
        <f t="shared" si="5"/>
        <v>2.2851509999999999</v>
      </c>
      <c r="L75">
        <f>0.05*F25+(1-0.05)*B25</f>
        <v>8.5015000000000007E-2</v>
      </c>
      <c r="M75">
        <f>I25+E25</f>
        <v>15.657952</v>
      </c>
      <c r="P75" s="23"/>
      <c r="Q75" t="s">
        <v>36</v>
      </c>
      <c r="R75">
        <f t="shared" si="6"/>
        <v>8.4319999999999992E-2</v>
      </c>
      <c r="S75">
        <f t="shared" si="7"/>
        <v>8.5339999999999985E-2</v>
      </c>
      <c r="U75">
        <f t="shared" si="8"/>
        <v>1.976E-2</v>
      </c>
      <c r="V75">
        <f t="shared" si="9"/>
        <v>5.5599999999999998E-3</v>
      </c>
      <c r="X75">
        <f>0.1*F25+(1-0.1)*B25</f>
        <v>8.5130000000000011E-2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3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3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4"/>
      <c r="D81" s="23"/>
      <c r="E81" t="s">
        <v>36</v>
      </c>
      <c r="F81">
        <f t="shared" si="10"/>
        <v>8.453999999999999E-2</v>
      </c>
      <c r="G81">
        <f t="shared" si="11"/>
        <v>8.5580000000000003E-2</v>
      </c>
      <c r="I81">
        <f t="shared" si="12"/>
        <v>3.4020000000000002E-2</v>
      </c>
      <c r="J81">
        <f t="shared" si="13"/>
        <v>5.62E-3</v>
      </c>
      <c r="L81">
        <f>0.2*F25+(1-0.2)*B25</f>
        <v>8.5360000000000005E-2</v>
      </c>
      <c r="P81" s="23"/>
      <c r="Q81" t="s">
        <v>36</v>
      </c>
      <c r="R81">
        <f t="shared" si="14"/>
        <v>8.4759999999999988E-2</v>
      </c>
      <c r="S81">
        <f t="shared" si="15"/>
        <v>8.5819999999999994E-2</v>
      </c>
      <c r="U81">
        <f t="shared" si="16"/>
        <v>4.8280000000000003E-2</v>
      </c>
      <c r="V81">
        <f t="shared" si="17"/>
        <v>5.6799999999999993E-3</v>
      </c>
      <c r="X81">
        <f>0.3*F25+(1-0.3)*B25</f>
        <v>8.5589999999999999E-2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2" t="s">
        <v>40</v>
      </c>
      <c r="P86" s="23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2"/>
      <c r="P87" s="23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4"/>
      <c r="C88" s="22"/>
      <c r="D88" s="23"/>
      <c r="E88" t="s">
        <v>36</v>
      </c>
      <c r="F88">
        <f t="shared" si="18"/>
        <v>8.4320000000000006E-2</v>
      </c>
      <c r="G88">
        <f t="shared" si="19"/>
        <v>8.5339750000000006E-2</v>
      </c>
      <c r="H88">
        <f t="shared" si="20"/>
        <v>26.656824999999998</v>
      </c>
      <c r="I88">
        <f t="shared" si="21"/>
        <v>1.9050250000000001E-2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8.5130250000000005E-2</v>
      </c>
      <c r="M88">
        <f>M25+I25+E25</f>
        <v>23.843158000000003</v>
      </c>
      <c r="O88" s="22"/>
      <c r="P88" s="23"/>
      <c r="Q88" t="s">
        <v>36</v>
      </c>
      <c r="R88">
        <f t="shared" si="24"/>
        <v>8.4540000000000004E-2</v>
      </c>
      <c r="S88">
        <f t="shared" si="25"/>
        <v>8.5579000000000002E-2</v>
      </c>
      <c r="U88">
        <f t="shared" si="26"/>
        <v>3.1181000000000004E-2</v>
      </c>
      <c r="V88">
        <f t="shared" si="27"/>
        <v>5.6210000000000001E-3</v>
      </c>
      <c r="X88">
        <f>(0.1*0.9+0.1*0.9)*F25+0.1*0.1*J25+(1-0.1*0.9-0.1*0.9-0.1*0.1)*B25</f>
        <v>8.536100000000002E-2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2"/>
      <c r="P93" s="23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4"/>
      <c r="C94" s="22"/>
      <c r="D94" s="23"/>
      <c r="E94" t="s">
        <v>36</v>
      </c>
      <c r="F94">
        <f t="shared" si="28"/>
        <v>8.498E-2</v>
      </c>
      <c r="G94">
        <f t="shared" si="29"/>
        <v>8.6055999999999994E-2</v>
      </c>
      <c r="I94">
        <f t="shared" si="30"/>
        <v>5.1184000000000014E-2</v>
      </c>
      <c r="J94">
        <f t="shared" si="31"/>
        <v>5.744E-3</v>
      </c>
      <c r="L94">
        <f>(0.2*0.8+0.2*0.8)*F25+0.2*0.2*J25+(1-0.2*0.8-0.2*0.8-0.2*0.2)*B25</f>
        <v>8.5824000000000011E-2</v>
      </c>
      <c r="O94" s="22"/>
      <c r="P94" s="23"/>
      <c r="Q94" t="s">
        <v>36</v>
      </c>
      <c r="R94">
        <f t="shared" si="32"/>
        <v>8.5419999999999996E-2</v>
      </c>
      <c r="S94">
        <f t="shared" si="33"/>
        <v>8.6530999999999997E-2</v>
      </c>
      <c r="U94">
        <f t="shared" si="34"/>
        <v>6.5508999999999998E-2</v>
      </c>
      <c r="V94">
        <f t="shared" si="35"/>
        <v>5.8690000000000001E-3</v>
      </c>
      <c r="X94">
        <f>(0.3*0.7+0.3*0.7)*F25+0.3*0.3*J25+(1-0.3*0.7-0.3*0.7-0.3*0.3)*B25</f>
        <v>8.6289000000000005E-2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6"/>
      <c r="O100" s="22"/>
      <c r="P100" s="23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6"/>
        <v>8.4430012499999985E-2</v>
      </c>
      <c r="G101">
        <f t="shared" si="37"/>
        <v>8.545926249999998E-2</v>
      </c>
      <c r="H101">
        <f>Q13+M13+I11+E13</f>
        <v>26.978459000000001</v>
      </c>
      <c r="I101">
        <f t="shared" si="38"/>
        <v>2.4813974999999999E-2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8.5245737499999988E-2</v>
      </c>
      <c r="M101">
        <f>Q25+M25+I25+E25</f>
        <v>32.034409000000004</v>
      </c>
      <c r="N101" s="26"/>
      <c r="O101" s="22"/>
      <c r="P101" s="23"/>
      <c r="Q101" t="s">
        <v>36</v>
      </c>
      <c r="R101">
        <f t="shared" si="41"/>
        <v>8.4760099999999991E-2</v>
      </c>
      <c r="S101">
        <f t="shared" si="42"/>
        <v>8.5817099999999993E-2</v>
      </c>
      <c r="U101">
        <f t="shared" si="43"/>
        <v>4.0188800000000011E-2</v>
      </c>
      <c r="V101">
        <f t="shared" si="44"/>
        <v>5.6828E-3</v>
      </c>
      <c r="X101">
        <f>3*0.1*(1-0.1)*(1-0.1)*F25+3*0.1*0.1*(1-0.1)*J25+0.1*0.1*0.1*N25+(1-3*0.1*(1-0.1)*(1-0.1)-3*0.1*0.1*(1-0.1)-0.1*0.1*0.1)*B25</f>
        <v>8.55929E-2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6"/>
      <c r="O106" s="22"/>
      <c r="P106" s="23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5"/>
        <v>8.5420799999999991E-2</v>
      </c>
      <c r="G107">
        <f t="shared" si="46"/>
        <v>8.6528799999999989E-2</v>
      </c>
      <c r="I107">
        <f t="shared" si="47"/>
        <v>6.0398400000000026E-2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8.6291199999999985E-2</v>
      </c>
      <c r="N107" s="26"/>
      <c r="O107" s="22"/>
      <c r="P107" s="23"/>
      <c r="Q107" t="s">
        <v>36</v>
      </c>
      <c r="R107">
        <f t="shared" si="49"/>
        <v>8.6082699999999998E-2</v>
      </c>
      <c r="S107">
        <f t="shared" si="50"/>
        <v>8.7235699999999999E-2</v>
      </c>
      <c r="U107">
        <f t="shared" si="51"/>
        <v>6.8683599999999984E-2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8.6994299999999997E-2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23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24"/>
      <c r="D113" s="23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23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24"/>
      <c r="D114" s="23"/>
      <c r="E114" t="s">
        <v>36</v>
      </c>
      <c r="F114">
        <f t="shared" si="53"/>
        <v>5.9764999999999999E-2</v>
      </c>
      <c r="G114">
        <f t="shared" si="54"/>
        <v>7.5704999999999995E-2</v>
      </c>
      <c r="H114">
        <f t="shared" si="55"/>
        <v>17.701506000000002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7.0984999999999993E-2</v>
      </c>
      <c r="M114">
        <f>AA25+W25</f>
        <v>16.367381999999999</v>
      </c>
      <c r="P114" s="23"/>
      <c r="Q114" t="s">
        <v>36</v>
      </c>
      <c r="R114">
        <f t="shared" si="59"/>
        <v>5.9830000000000008E-2</v>
      </c>
      <c r="S114">
        <f t="shared" si="60"/>
        <v>7.5810000000000002E-2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7.1070000000000008E-2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23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24"/>
      <c r="D119" s="23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23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24"/>
      <c r="D120" s="23"/>
      <c r="E120" t="s">
        <v>36</v>
      </c>
      <c r="F120">
        <f t="shared" si="63"/>
        <v>5.9960000000000006E-2</v>
      </c>
      <c r="G120">
        <f t="shared" si="64"/>
        <v>7.6020000000000004E-2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7.1240000000000012E-2</v>
      </c>
      <c r="P120" s="23"/>
      <c r="Q120" t="s">
        <v>36</v>
      </c>
      <c r="R120">
        <f t="shared" si="67"/>
        <v>6.0090000000000005E-2</v>
      </c>
      <c r="S120">
        <f t="shared" si="68"/>
        <v>7.6229999999999992E-2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7.1410000000000001E-2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2"/>
      <c r="P126" s="23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24"/>
      <c r="C127" s="22"/>
      <c r="D127" s="23"/>
      <c r="E127" t="s">
        <v>36</v>
      </c>
      <c r="F127">
        <f t="shared" si="71"/>
        <v>5.9830000000000008E-2</v>
      </c>
      <c r="G127">
        <f t="shared" si="72"/>
        <v>7.5809750000000009E-2</v>
      </c>
      <c r="H127">
        <f t="shared" si="73"/>
        <v>27.078880000000002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7.1070500000000009E-2</v>
      </c>
      <c r="M127">
        <f>AE25+AA25+W25</f>
        <v>24.55847</v>
      </c>
      <c r="O127" s="22"/>
      <c r="P127" s="23"/>
      <c r="Q127" t="s">
        <v>36</v>
      </c>
      <c r="R127">
        <f t="shared" si="77"/>
        <v>5.9960000000000006E-2</v>
      </c>
      <c r="S127">
        <f t="shared" si="78"/>
        <v>7.6019000000000003E-2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7.1242000000000014E-2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2"/>
      <c r="P132" s="23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24"/>
      <c r="C133" s="22"/>
      <c r="D133" s="23"/>
      <c r="E133" t="s">
        <v>36</v>
      </c>
      <c r="F133">
        <f t="shared" si="81"/>
        <v>6.0220000000000003E-2</v>
      </c>
      <c r="G133">
        <f t="shared" si="82"/>
        <v>7.6436000000000004E-2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7.1587999999999999E-2</v>
      </c>
      <c r="O133" s="22"/>
      <c r="P133" s="23"/>
      <c r="Q133" t="s">
        <v>36</v>
      </c>
      <c r="R133">
        <f t="shared" si="85"/>
        <v>6.0480000000000006E-2</v>
      </c>
      <c r="S133">
        <f t="shared" si="86"/>
        <v>7.6851000000000003E-2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7.1938000000000002E-2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6"/>
      <c r="O139" s="22"/>
      <c r="P139" s="23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5.2435837499999999E-2</v>
      </c>
      <c r="G140">
        <f>3*0.05*(1-0.05)*(1-0.05)*Z20+3*0.05*0.05*(1-0.05)*AD13+0.05*0.05*0.05*AH13+(1-3*0.05*(1-0.05)*(1-0.05)-3*0.05*0.05*(1-0.05)-0.05*0.05*0.05)*V13</f>
        <v>6.6194337499999992E-2</v>
      </c>
      <c r="H140">
        <f>AI13+AE13+AA20+W13</f>
        <v>27.632405000000002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7.1156474999999997E-2</v>
      </c>
      <c r="M140">
        <f>AI25+AE25+AA25+W25</f>
        <v>31.565942</v>
      </c>
      <c r="N140" s="26"/>
      <c r="O140" s="22"/>
      <c r="P140" s="23"/>
      <c r="Q140" t="s">
        <v>36</v>
      </c>
      <c r="R140">
        <f t="shared" si="92"/>
        <v>6.0089999999999998E-2</v>
      </c>
      <c r="S140">
        <f t="shared" si="93"/>
        <v>7.6227100000000006E-2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7.1415800000000002E-2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6"/>
      <c r="O145" s="22"/>
      <c r="P145" s="23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3.9321599999999991E-2</v>
      </c>
      <c r="G146">
        <f>3*0.2*(1-0.2)*(1-0.2)*Z20+3*0.2*0.2*(1-0.2)*AD13+0.2*0.2*0.2*AH13+(1-3*0.2*(1-0.2)*(1-0.2)-3*0.2*0.2*(1-0.2)-0.2*0.2*0.2)*V13</f>
        <v>4.9277599999999991E-2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7.194239999999999E-2</v>
      </c>
      <c r="N146" s="26"/>
      <c r="O146" s="22"/>
      <c r="P146" s="23"/>
      <c r="Q146" t="s">
        <v>36</v>
      </c>
      <c r="R146">
        <f t="shared" si="98"/>
        <v>6.0870000000000007E-2</v>
      </c>
      <c r="S146">
        <f t="shared" si="99"/>
        <v>7.7465699999999998E-2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7.2478600000000004E-2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23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24"/>
      <c r="D152" s="23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23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24"/>
      <c r="D153" s="23"/>
      <c r="E153" t="s">
        <v>36</v>
      </c>
      <c r="F153">
        <f t="shared" si="102"/>
        <v>3.3239999999999999E-2</v>
      </c>
      <c r="G153">
        <f t="shared" si="103"/>
        <v>6.5789999999999987E-2</v>
      </c>
      <c r="H153">
        <f t="shared" si="104"/>
        <v>17.240617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5.3370000000000001E-2</v>
      </c>
      <c r="M153">
        <f>I46+E46</f>
        <v>16.647912999999999</v>
      </c>
      <c r="P153" s="23"/>
      <c r="Q153" t="s">
        <v>36</v>
      </c>
      <c r="R153">
        <f t="shared" si="108"/>
        <v>3.3280000000000004E-2</v>
      </c>
      <c r="S153">
        <f t="shared" si="109"/>
        <v>6.5879999999999994E-2</v>
      </c>
      <c r="U153">
        <f t="shared" si="110"/>
        <v>4.7600000000000003E-3</v>
      </c>
      <c r="V153">
        <f t="shared" si="111"/>
        <v>4.96E-3</v>
      </c>
      <c r="X153">
        <f>0.1*F46+(1-0.1)*B46</f>
        <v>5.3440000000000001E-2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23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24"/>
      <c r="D158" s="23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23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24"/>
      <c r="D159" s="23"/>
      <c r="E159" t="s">
        <v>36</v>
      </c>
      <c r="F159">
        <f t="shared" si="112"/>
        <v>3.3360000000000001E-2</v>
      </c>
      <c r="G159">
        <f t="shared" si="113"/>
        <v>6.6059999999999994E-2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5.3580000000000003E-2</v>
      </c>
      <c r="P159" s="23"/>
      <c r="Q159" t="s">
        <v>36</v>
      </c>
      <c r="R159">
        <f t="shared" si="116"/>
        <v>3.3439999999999998E-2</v>
      </c>
      <c r="S159">
        <f t="shared" si="117"/>
        <v>6.6239999999999993E-2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5.371999999999999E-2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2"/>
      <c r="P165" s="23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24"/>
      <c r="C166" s="22"/>
      <c r="D166" s="23"/>
      <c r="E166" t="s">
        <v>36</v>
      </c>
      <c r="F166">
        <f t="shared" si="120"/>
        <v>3.3279750000000004E-2</v>
      </c>
      <c r="G166">
        <f t="shared" si="121"/>
        <v>6.5879999999999994E-2</v>
      </c>
      <c r="H166">
        <f t="shared" si="122"/>
        <v>26.012642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5.3440000000000008E-2</v>
      </c>
      <c r="M166">
        <f>M46+I46+E46</f>
        <v>24.973869000000001</v>
      </c>
      <c r="O166" s="22"/>
      <c r="P166" s="23"/>
      <c r="Q166" t="s">
        <v>36</v>
      </c>
      <c r="R166">
        <f t="shared" si="126"/>
        <v>3.3359000000000007E-2</v>
      </c>
      <c r="S166">
        <f t="shared" si="127"/>
        <v>6.6060000000000008E-2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5.3580000000000003E-2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2"/>
      <c r="P171" s="23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24"/>
      <c r="C172" s="22"/>
      <c r="D172" s="23"/>
      <c r="E172" t="s">
        <v>36</v>
      </c>
      <c r="F172">
        <f t="shared" si="130"/>
        <v>3.3515999999999997E-2</v>
      </c>
      <c r="G172">
        <f t="shared" si="131"/>
        <v>6.6419999999999993E-2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5.3859999999999998E-2</v>
      </c>
      <c r="O172" s="22"/>
      <c r="P172" s="23"/>
      <c r="Q172" t="s">
        <v>36</v>
      </c>
      <c r="R172">
        <f t="shared" si="134"/>
        <v>3.3671000000000006E-2</v>
      </c>
      <c r="S172">
        <f t="shared" si="135"/>
        <v>6.6780000000000006E-2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5.4140000000000008E-2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6"/>
      <c r="O178" s="22"/>
      <c r="P178" s="23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8"/>
        <v>3.3319274999999995E-2</v>
      </c>
      <c r="G179">
        <f t="shared" si="139"/>
        <v>6.596998749999998E-2</v>
      </c>
      <c r="H179">
        <f t="shared" si="140"/>
        <v>33.211467999999996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5.3509974999999987E-2</v>
      </c>
      <c r="M179">
        <f>Q46+M46+I46+E46</f>
        <v>33.298763999999998</v>
      </c>
      <c r="N179" s="26"/>
      <c r="O179" s="22"/>
      <c r="P179" s="23"/>
      <c r="Q179" t="s">
        <v>36</v>
      </c>
      <c r="R179">
        <f t="shared" si="144"/>
        <v>3.34372E-2</v>
      </c>
      <c r="S179">
        <f t="shared" si="145"/>
        <v>6.623989999999999E-2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5.3719799999999998E-2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6"/>
      <c r="O184" s="22"/>
      <c r="P184" s="23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8"/>
        <v>3.3669599999999994E-2</v>
      </c>
      <c r="G185">
        <f t="shared" si="149"/>
        <v>6.6779199999999997E-2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5.4138400000000003E-2</v>
      </c>
      <c r="N185" s="26"/>
      <c r="O185" s="22"/>
      <c r="P185" s="23"/>
      <c r="Q185" t="s">
        <v>36</v>
      </c>
      <c r="R185">
        <f t="shared" si="152"/>
        <v>3.3898400000000002E-2</v>
      </c>
      <c r="S185">
        <f t="shared" si="153"/>
        <v>6.7317299999999997E-2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5.4554600000000009E-2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23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24"/>
      <c r="D191" s="23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23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24"/>
      <c r="D192" s="23"/>
      <c r="E192" t="s">
        <v>36</v>
      </c>
      <c r="F192">
        <f t="shared" si="156"/>
        <v>1.8224999999999998E-2</v>
      </c>
      <c r="G192">
        <f t="shared" si="157"/>
        <v>5.2675E-2</v>
      </c>
      <c r="H192">
        <f t="shared" si="158"/>
        <v>13.028366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3.474E-2</v>
      </c>
      <c r="M192">
        <f>AA46+W46</f>
        <v>16.057450000000003</v>
      </c>
      <c r="P192" s="23"/>
      <c r="Q192" t="s">
        <v>36</v>
      </c>
      <c r="R192">
        <f t="shared" si="162"/>
        <v>1.8250000000000002E-2</v>
      </c>
      <c r="S192">
        <f t="shared" si="163"/>
        <v>5.2749999999999998E-2</v>
      </c>
      <c r="U192">
        <f t="shared" si="164"/>
        <v>3.46E-3</v>
      </c>
      <c r="V192">
        <f t="shared" si="165"/>
        <v>4.1500000000000009E-3</v>
      </c>
      <c r="X192">
        <f>0.1*X46+(1-0.1)*T46</f>
        <v>3.4779999999999998E-2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23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24"/>
      <c r="D197" s="23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23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24"/>
      <c r="D198" s="23"/>
      <c r="E198" t="s">
        <v>36</v>
      </c>
      <c r="F198">
        <f t="shared" si="166"/>
        <v>1.8300000000000004E-2</v>
      </c>
      <c r="G198">
        <f t="shared" si="167"/>
        <v>5.290000000000001E-2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3.4860000000000002E-2</v>
      </c>
      <c r="P198" s="23"/>
      <c r="Q198" t="s">
        <v>36</v>
      </c>
      <c r="R198">
        <f t="shared" si="170"/>
        <v>1.8349999999999998E-2</v>
      </c>
      <c r="S198">
        <f t="shared" si="171"/>
        <v>5.305E-2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3.4939999999999999E-2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2"/>
      <c r="P204" s="23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24"/>
      <c r="C205" s="22"/>
      <c r="D205" s="23"/>
      <c r="E205" t="s">
        <v>36</v>
      </c>
      <c r="F205">
        <f t="shared" si="174"/>
        <v>1.8250000000000002E-2</v>
      </c>
      <c r="G205">
        <f t="shared" si="175"/>
        <v>5.2750000000000005E-2</v>
      </c>
      <c r="H205">
        <f t="shared" si="176"/>
        <v>20.556777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3.4780750000000006E-2</v>
      </c>
      <c r="M205">
        <f>AE46+AA46+W46</f>
        <v>16.094050000000003</v>
      </c>
      <c r="O205" s="22"/>
      <c r="P205" s="23"/>
      <c r="Q205" t="s">
        <v>36</v>
      </c>
      <c r="R205">
        <f t="shared" si="180"/>
        <v>1.8300000000000004E-2</v>
      </c>
      <c r="S205">
        <f t="shared" si="181"/>
        <v>5.2900000000000003E-2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3.4863000000000005E-2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2"/>
      <c r="P210" s="23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24"/>
      <c r="C211" s="22"/>
      <c r="D211" s="23"/>
      <c r="E211" t="s">
        <v>36</v>
      </c>
      <c r="F211">
        <f t="shared" si="184"/>
        <v>1.84E-2</v>
      </c>
      <c r="G211">
        <f t="shared" si="185"/>
        <v>5.3199999999999997E-2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3.5032000000000001E-2</v>
      </c>
      <c r="O211" s="22"/>
      <c r="P211" s="23"/>
      <c r="Q211" t="s">
        <v>36</v>
      </c>
      <c r="R211">
        <f t="shared" si="188"/>
        <v>1.8500000000000003E-2</v>
      </c>
      <c r="S211">
        <f t="shared" si="189"/>
        <v>5.3500000000000006E-2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3.5207000000000002E-2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6"/>
      <c r="O217" s="22"/>
      <c r="P217" s="23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92"/>
        <v>1.8275E-2</v>
      </c>
      <c r="G218">
        <f t="shared" si="193"/>
        <v>5.2824987499999997E-2</v>
      </c>
      <c r="H218">
        <f t="shared" si="194"/>
        <v>28.313552999999999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3.4822187499999997E-2</v>
      </c>
      <c r="M218">
        <f>AI46+AE46+AA46+W46</f>
        <v>23.598359000000002</v>
      </c>
      <c r="N218" s="26"/>
      <c r="O218" s="22"/>
      <c r="P218" s="23"/>
      <c r="Q218" t="s">
        <v>36</v>
      </c>
      <c r="R218">
        <f t="shared" si="198"/>
        <v>1.8349999999999998E-2</v>
      </c>
      <c r="S218">
        <f t="shared" si="199"/>
        <v>5.3049899999999997E-2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3.49485E-2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6"/>
      <c r="O223" s="22"/>
      <c r="P223" s="23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202"/>
        <v>1.8499999999999999E-2</v>
      </c>
      <c r="G224">
        <f t="shared" si="203"/>
        <v>5.3499199999999997E-2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3.5212E-2</v>
      </c>
      <c r="N224" s="26"/>
      <c r="O224" s="22"/>
      <c r="P224" s="23"/>
      <c r="Q224" t="s">
        <v>36</v>
      </c>
      <c r="R224">
        <f t="shared" si="206"/>
        <v>1.8650000000000003E-2</v>
      </c>
      <c r="S224">
        <f t="shared" si="207"/>
        <v>5.3947300000000004E-2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3.5487499999999998E-2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23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24"/>
      <c r="D230" s="23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23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24"/>
      <c r="D231" s="23"/>
      <c r="E231" t="s">
        <v>36</v>
      </c>
      <c r="F231">
        <f t="shared" si="210"/>
        <v>8.9149999999999993E-3</v>
      </c>
      <c r="G231">
        <f t="shared" si="211"/>
        <v>3.1754999999999999E-2</v>
      </c>
      <c r="H231">
        <f t="shared" si="212"/>
        <v>11.615279000000001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1.5925000000000002E-2</v>
      </c>
      <c r="M231">
        <f>I66+E66</f>
        <v>15.286163999999999</v>
      </c>
      <c r="P231" s="23"/>
      <c r="Q231" t="s">
        <v>36</v>
      </c>
      <c r="R231">
        <f t="shared" si="216"/>
        <v>8.9300000000000004E-3</v>
      </c>
      <c r="S231">
        <f t="shared" si="217"/>
        <v>3.1809999999999998E-2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1.5950000000000002E-2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23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24"/>
      <c r="D236" s="23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23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24"/>
      <c r="D237" s="23"/>
      <c r="E237" t="s">
        <v>36</v>
      </c>
      <c r="F237">
        <f t="shared" si="220"/>
        <v>8.9600000000000009E-3</v>
      </c>
      <c r="G237">
        <f t="shared" si="221"/>
        <v>3.1920000000000004E-2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1.6000000000000004E-2</v>
      </c>
      <c r="P237" s="23"/>
      <c r="Q237" t="s">
        <v>36</v>
      </c>
      <c r="R237">
        <f t="shared" si="224"/>
        <v>8.9899999999999997E-3</v>
      </c>
      <c r="S237">
        <f t="shared" si="225"/>
        <v>3.2029999999999996E-2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1.6049999999999998E-2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2"/>
      <c r="P243" s="23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24"/>
      <c r="C244" s="22"/>
      <c r="D244" s="23"/>
      <c r="E244" t="s">
        <v>36</v>
      </c>
      <c r="F244">
        <f t="shared" si="228"/>
        <v>8.9300000000000004E-3</v>
      </c>
      <c r="G244">
        <f t="shared" si="229"/>
        <v>3.1809750000000005E-2</v>
      </c>
      <c r="H244">
        <f t="shared" si="230"/>
        <v>17.345669999999998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1.5950250000000003E-2</v>
      </c>
      <c r="M244">
        <f>M66+I66+E66</f>
        <v>23.397841999999997</v>
      </c>
      <c r="O244" s="22"/>
      <c r="P244" s="23"/>
      <c r="Q244" t="s">
        <v>36</v>
      </c>
      <c r="R244">
        <f t="shared" si="234"/>
        <v>8.9600000000000009E-3</v>
      </c>
      <c r="S244">
        <f t="shared" si="235"/>
        <v>3.1919000000000003E-2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1.6001000000000001E-2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2"/>
      <c r="P249" s="23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24"/>
      <c r="C250" s="22"/>
      <c r="D250" s="23"/>
      <c r="E250" t="s">
        <v>36</v>
      </c>
      <c r="F250">
        <f t="shared" si="238"/>
        <v>9.0200000000000002E-3</v>
      </c>
      <c r="G250">
        <f t="shared" si="239"/>
        <v>3.2135999999999998E-2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1.6104E-2</v>
      </c>
      <c r="O250" s="22"/>
      <c r="P250" s="23"/>
      <c r="Q250" t="s">
        <v>36</v>
      </c>
      <c r="R250">
        <f t="shared" si="242"/>
        <v>9.0800000000000013E-3</v>
      </c>
      <c r="S250">
        <f t="shared" si="243"/>
        <v>3.2351000000000005E-2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1.6209000000000001E-2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6"/>
      <c r="O256" s="22"/>
      <c r="P256" s="23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6"/>
        <v>8.9449874999999995E-3</v>
      </c>
      <c r="G257">
        <f t="shared" si="247"/>
        <v>3.1864262499999997E-2</v>
      </c>
      <c r="H257">
        <f t="shared" si="248"/>
        <v>23.063746999999999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1.597575E-2</v>
      </c>
      <c r="M257">
        <f>Q66+M66+I66+E66</f>
        <v>31.297013999999997</v>
      </c>
      <c r="N257" s="26"/>
      <c r="O257" s="22"/>
      <c r="P257" s="23"/>
      <c r="Q257" t="s">
        <v>36</v>
      </c>
      <c r="R257">
        <f t="shared" si="252"/>
        <v>8.9898999999999986E-3</v>
      </c>
      <c r="S257">
        <f t="shared" si="253"/>
        <v>3.2027099999999996E-2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1.6052999999999998E-2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6"/>
      <c r="O262" s="22"/>
      <c r="P262" s="23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6"/>
        <v>9.0791999999999991E-3</v>
      </c>
      <c r="G263">
        <f t="shared" si="257"/>
        <v>3.2348799999999997E-2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1.6211999999999997E-2</v>
      </c>
      <c r="N263" s="26"/>
      <c r="O263" s="22"/>
      <c r="P263" s="23"/>
      <c r="Q263" t="s">
        <v>36</v>
      </c>
      <c r="R263">
        <f t="shared" si="260"/>
        <v>9.1672999999999998E-3</v>
      </c>
      <c r="S263">
        <f t="shared" si="261"/>
        <v>3.2665699999999999E-2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1.6377000000000003E-2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15">
        <v>7.2900000000000006E-2</v>
      </c>
      <c r="D13" s="15">
        <v>7.3499999999999996E-2</v>
      </c>
      <c r="E13" s="16">
        <v>3.7188940000000001</v>
      </c>
      <c r="F13" t="s">
        <v>22</v>
      </c>
      <c r="G13" s="15">
        <v>7.5200000000000003E-2</v>
      </c>
      <c r="H13" s="15">
        <v>7.5899999999999995E-2</v>
      </c>
      <c r="I13" s="16">
        <v>3.706089</v>
      </c>
      <c r="J13" t="s">
        <v>22</v>
      </c>
      <c r="K13" s="16">
        <v>7.7499999999999999E-2</v>
      </c>
      <c r="L13" s="16">
        <v>7.8200000000000006E-2</v>
      </c>
      <c r="M13" s="16">
        <v>4.3173009999999996</v>
      </c>
      <c r="N13" t="s">
        <v>22</v>
      </c>
      <c r="O13" s="16">
        <v>7.9799999999999996E-2</v>
      </c>
      <c r="P13" s="16">
        <v>8.0600000000000005E-2</v>
      </c>
      <c r="Q13" s="16">
        <v>4.1776099999999996</v>
      </c>
      <c r="S13" s="24"/>
      <c r="T13" t="s">
        <v>22</v>
      </c>
      <c r="U13" s="3">
        <v>5.5300000000000002E-2</v>
      </c>
      <c r="V13" s="3">
        <v>6.5500000000000003E-2</v>
      </c>
      <c r="W13">
        <v>3.6013670000000002</v>
      </c>
      <c r="X13" t="s">
        <v>22</v>
      </c>
      <c r="Y13" s="3">
        <v>5.6800000000000003E-2</v>
      </c>
      <c r="Z13" s="3">
        <v>6.7599999999999993E-2</v>
      </c>
      <c r="AA13">
        <v>4.16723</v>
      </c>
      <c r="AB13" t="s">
        <v>22</v>
      </c>
      <c r="AC13">
        <v>5.8400000000000001E-2</v>
      </c>
      <c r="AD13">
        <v>6.9699999999999998E-2</v>
      </c>
      <c r="AE13">
        <v>4.1870399999999997</v>
      </c>
      <c r="AF13" t="s">
        <v>22</v>
      </c>
      <c r="AG13">
        <v>5.9900000000000002E-2</v>
      </c>
      <c r="AH13">
        <v>7.1800000000000003E-2</v>
      </c>
      <c r="AI13">
        <v>4.1724079999999999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0.14810000000000001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20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7.3499999999999996E-2</v>
      </c>
      <c r="C25" s="4"/>
      <c r="D25" s="4"/>
      <c r="E25">
        <v>6.3614680000000003</v>
      </c>
      <c r="F25" s="3">
        <v>7.5899999999999995E-2</v>
      </c>
      <c r="G25" s="4"/>
      <c r="H25" s="4"/>
      <c r="I25">
        <v>6.8710019999999998</v>
      </c>
      <c r="J25" s="9">
        <v>7.8200000000000006E-2</v>
      </c>
      <c r="K25" s="9"/>
      <c r="L25" s="9"/>
      <c r="M25">
        <v>6.5011299999999999</v>
      </c>
      <c r="N25" s="9">
        <v>8.0500000000000002E-2</v>
      </c>
      <c r="O25" s="9"/>
      <c r="P25" s="9"/>
      <c r="Q25">
        <v>6.7537969999999996</v>
      </c>
      <c r="S25" s="25"/>
      <c r="T25" s="4">
        <v>6.2399999999999997E-2</v>
      </c>
      <c r="U25" s="4"/>
      <c r="V25" s="4"/>
      <c r="W25">
        <v>6.9748960000000002</v>
      </c>
      <c r="X25" s="4">
        <v>6.4299999999999996E-2</v>
      </c>
      <c r="Y25" s="4"/>
      <c r="Z25" s="4"/>
      <c r="AA25">
        <v>6.85853</v>
      </c>
      <c r="AB25" s="9">
        <v>6.6100000000000006E-2</v>
      </c>
      <c r="AC25" s="9"/>
      <c r="AD25" s="9"/>
      <c r="AE25">
        <v>6.5414029999999999</v>
      </c>
      <c r="AF25" s="9">
        <v>6.8099999999999994E-2</v>
      </c>
      <c r="AG25" s="9"/>
      <c r="AH25" s="9"/>
      <c r="AI25">
        <v>6.8424360000000002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3.2000000000000001E-2</v>
      </c>
      <c r="D34" s="3">
        <v>5.6899999999999999E-2</v>
      </c>
      <c r="E34">
        <v>3.1567099999999999</v>
      </c>
      <c r="F34" t="s">
        <v>22</v>
      </c>
      <c r="G34" s="3">
        <v>3.3000000000000002E-2</v>
      </c>
      <c r="H34" s="3">
        <v>5.8700000000000002E-2</v>
      </c>
      <c r="I34">
        <v>3.4866410000000001</v>
      </c>
      <c r="J34" t="s">
        <v>22</v>
      </c>
      <c r="K34">
        <v>3.39E-2</v>
      </c>
      <c r="L34">
        <v>6.0600000000000001E-2</v>
      </c>
      <c r="M34">
        <v>3.450485</v>
      </c>
      <c r="N34" t="s">
        <v>22</v>
      </c>
      <c r="O34">
        <v>3.4799999999999998E-2</v>
      </c>
      <c r="P34">
        <v>6.2399999999999997E-2</v>
      </c>
      <c r="Q34">
        <v>6.2399999999999997E-2</v>
      </c>
      <c r="S34" s="24"/>
      <c r="T34" t="s">
        <v>22</v>
      </c>
      <c r="U34" s="3">
        <v>1.78E-2</v>
      </c>
      <c r="V34" s="3">
        <v>4.5600000000000002E-2</v>
      </c>
      <c r="W34">
        <v>3.3532829999999998</v>
      </c>
      <c r="X34" t="s">
        <v>22</v>
      </c>
      <c r="Y34" s="3">
        <v>1.84E-2</v>
      </c>
      <c r="Z34" s="3">
        <v>4.7100000000000003E-2</v>
      </c>
      <c r="AA34">
        <v>3.7004199999999998</v>
      </c>
      <c r="AB34" t="s">
        <v>22</v>
      </c>
      <c r="AC34" s="3">
        <v>1.9E-2</v>
      </c>
      <c r="AD34" s="3">
        <v>4.8599999999999997E-2</v>
      </c>
      <c r="AE34">
        <v>3.6013820000000001</v>
      </c>
      <c r="AF34" t="s">
        <v>22</v>
      </c>
      <c r="AG34" s="3">
        <v>1.95E-2</v>
      </c>
      <c r="AH34" s="3">
        <v>5.0099999999999999E-2</v>
      </c>
      <c r="AI34">
        <v>3.422437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20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4.7800000000000002E-2</v>
      </c>
      <c r="C46" s="4"/>
      <c r="D46" s="4"/>
      <c r="E46">
        <v>6.9469149999999997</v>
      </c>
      <c r="F46" s="4">
        <v>4.9200000000000001E-2</v>
      </c>
      <c r="G46" s="4"/>
      <c r="H46" s="4"/>
      <c r="I46">
        <v>6.3284599999999998</v>
      </c>
      <c r="J46" s="9">
        <v>5.0799999999999998E-2</v>
      </c>
      <c r="K46" s="9"/>
      <c r="L46" s="9"/>
      <c r="M46">
        <v>6.4090109999999996</v>
      </c>
      <c r="N46" s="9">
        <v>5.2200000000000003E-2</v>
      </c>
      <c r="O46" s="9"/>
      <c r="P46" s="9"/>
      <c r="Q46">
        <v>6.7629760000000001</v>
      </c>
      <c r="S46" s="25"/>
      <c r="T46" s="4">
        <v>3.1800000000000002E-2</v>
      </c>
      <c r="U46" s="4"/>
      <c r="V46" s="4"/>
      <c r="W46">
        <v>6.6476550000000003</v>
      </c>
      <c r="X46" s="4">
        <v>3.2899999999999999E-2</v>
      </c>
      <c r="Y46" s="4"/>
      <c r="Z46" s="4"/>
      <c r="AA46">
        <v>7.0610590000000002</v>
      </c>
      <c r="AB46" s="4">
        <v>3.3799999999999997E-2</v>
      </c>
      <c r="AC46" s="4"/>
      <c r="AD46" s="4"/>
      <c r="AE46">
        <v>6.3269419999999998</v>
      </c>
      <c r="AF46" s="4">
        <v>3.5000000000000003E-2</v>
      </c>
      <c r="AG46" s="4"/>
      <c r="AH46" s="4"/>
      <c r="AI46">
        <v>6.6722260000000002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8.8000000000000005E-3</v>
      </c>
      <c r="D54" s="3">
        <v>2.76E-2</v>
      </c>
      <c r="E54">
        <v>3.016327</v>
      </c>
      <c r="F54" t="s">
        <v>22</v>
      </c>
      <c r="G54" s="3">
        <v>9.1000000000000004E-3</v>
      </c>
      <c r="H54" s="3">
        <v>2.87E-2</v>
      </c>
      <c r="I54">
        <v>2.4442529999999998</v>
      </c>
      <c r="J54" t="s">
        <v>22</v>
      </c>
      <c r="K54" s="3">
        <v>9.4999999999999998E-3</v>
      </c>
      <c r="L54" s="3">
        <v>2.9700000000000001E-2</v>
      </c>
      <c r="M54">
        <v>2.7737400000000001</v>
      </c>
      <c r="N54" t="s">
        <v>22</v>
      </c>
      <c r="O54" s="3">
        <v>9.7999999999999997E-3</v>
      </c>
      <c r="P54" s="3">
        <v>3.0700000000000002E-2</v>
      </c>
      <c r="Q54">
        <v>2.3401489999999998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1.4999999999999999E-2</v>
      </c>
      <c r="C66" s="4"/>
      <c r="D66" s="4"/>
      <c r="E66">
        <v>6.0392489999999999</v>
      </c>
      <c r="F66" s="4">
        <v>1.5699999999999999E-2</v>
      </c>
      <c r="G66" s="4"/>
      <c r="H66" s="4"/>
      <c r="I66">
        <v>6.9519060000000001</v>
      </c>
      <c r="J66" s="4">
        <v>1.6400000000000001E-2</v>
      </c>
      <c r="K66" s="4"/>
      <c r="L66" s="4"/>
      <c r="M66">
        <v>6.5867990000000001</v>
      </c>
      <c r="N66" s="4">
        <v>1.7000000000000001E-2</v>
      </c>
      <c r="O66" s="4"/>
      <c r="P66" s="4"/>
      <c r="Q66">
        <v>6.7940139999999998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7.3014999999999997E-2</v>
      </c>
      <c r="G75">
        <f t="shared" si="1"/>
        <v>7.3619999999999991E-2</v>
      </c>
      <c r="H75">
        <f t="shared" si="2"/>
        <v>7.4249830000000001</v>
      </c>
      <c r="I75">
        <f t="shared" si="3"/>
        <v>1.2630000000000001E-2</v>
      </c>
      <c r="J75">
        <f t="shared" si="4"/>
        <v>5.5299999999999993E-3</v>
      </c>
      <c r="K75">
        <f t="shared" si="5"/>
        <v>2.2851509999999999</v>
      </c>
      <c r="L75">
        <f>0.05*F25+(1-0.05)*B25</f>
        <v>7.3619999999999991E-2</v>
      </c>
      <c r="M75">
        <f>I25+E25</f>
        <v>13.232469999999999</v>
      </c>
      <c r="P75" s="23"/>
      <c r="Q75" t="s">
        <v>36</v>
      </c>
      <c r="R75">
        <f t="shared" si="6"/>
        <v>7.3130000000000001E-2</v>
      </c>
      <c r="S75">
        <f t="shared" si="7"/>
        <v>7.374E-2</v>
      </c>
      <c r="U75">
        <f t="shared" si="8"/>
        <v>1.976E-2</v>
      </c>
      <c r="V75">
        <f t="shared" si="9"/>
        <v>5.5599999999999998E-3</v>
      </c>
      <c r="X75">
        <f>0.1*F25+(1-0.1)*B25</f>
        <v>7.374E-2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3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3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4"/>
      <c r="D81" s="23"/>
      <c r="E81" t="s">
        <v>36</v>
      </c>
      <c r="F81">
        <f t="shared" si="10"/>
        <v>7.3360000000000009E-2</v>
      </c>
      <c r="G81">
        <f t="shared" si="11"/>
        <v>7.397999999999999E-2</v>
      </c>
      <c r="I81">
        <f t="shared" si="12"/>
        <v>3.4020000000000002E-2</v>
      </c>
      <c r="J81">
        <f t="shared" si="13"/>
        <v>5.62E-3</v>
      </c>
      <c r="L81">
        <f>0.2*F25+(1-0.2)*B25</f>
        <v>7.397999999999999E-2</v>
      </c>
      <c r="P81" s="23"/>
      <c r="Q81" t="s">
        <v>36</v>
      </c>
      <c r="R81">
        <f t="shared" si="14"/>
        <v>7.3590000000000003E-2</v>
      </c>
      <c r="S81">
        <f t="shared" si="15"/>
        <v>7.4219999999999994E-2</v>
      </c>
      <c r="U81">
        <f t="shared" si="16"/>
        <v>4.8280000000000003E-2</v>
      </c>
      <c r="V81">
        <f t="shared" si="17"/>
        <v>5.6799999999999993E-3</v>
      </c>
      <c r="X81">
        <f>0.3*F25+(1-0.3)*B25</f>
        <v>7.4219999999999994E-2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2" t="s">
        <v>40</v>
      </c>
      <c r="P86" s="23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2"/>
      <c r="P87" s="23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4"/>
      <c r="C88" s="22"/>
      <c r="D88" s="23"/>
      <c r="E88" t="s">
        <v>36</v>
      </c>
      <c r="F88">
        <f t="shared" si="18"/>
        <v>7.3130000000000014E-2</v>
      </c>
      <c r="G88">
        <f t="shared" si="19"/>
        <v>7.3739749999999993E-2</v>
      </c>
      <c r="H88">
        <f t="shared" si="20"/>
        <v>11.742284</v>
      </c>
      <c r="I88">
        <f t="shared" si="21"/>
        <v>1.9050250000000001E-2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7.3739749999999993E-2</v>
      </c>
      <c r="M88">
        <f>M25+I25+E25</f>
        <v>19.733600000000003</v>
      </c>
      <c r="O88" s="22"/>
      <c r="P88" s="23"/>
      <c r="Q88" t="s">
        <v>36</v>
      </c>
      <c r="R88">
        <f t="shared" si="24"/>
        <v>7.3360000000000009E-2</v>
      </c>
      <c r="S88">
        <f t="shared" si="25"/>
        <v>7.3979000000000003E-2</v>
      </c>
      <c r="U88">
        <f t="shared" si="26"/>
        <v>3.1181000000000004E-2</v>
      </c>
      <c r="V88">
        <f t="shared" si="27"/>
        <v>5.6210000000000001E-3</v>
      </c>
      <c r="X88">
        <f>(0.1*0.9+0.1*0.9)*F25+0.1*0.1*J25+(1-0.1*0.9-0.1*0.9-0.1*0.1)*B25</f>
        <v>7.3979000000000003E-2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2"/>
      <c r="P93" s="23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4"/>
      <c r="C94" s="22"/>
      <c r="D94" s="23"/>
      <c r="E94" t="s">
        <v>36</v>
      </c>
      <c r="F94">
        <f t="shared" si="28"/>
        <v>7.3819999999999997E-2</v>
      </c>
      <c r="G94">
        <f t="shared" si="29"/>
        <v>7.4455999999999994E-2</v>
      </c>
      <c r="I94">
        <f t="shared" si="30"/>
        <v>5.1184000000000014E-2</v>
      </c>
      <c r="J94">
        <f t="shared" si="31"/>
        <v>5.744E-3</v>
      </c>
      <c r="L94">
        <f>(0.2*0.8+0.2*0.8)*F25+0.2*0.2*J25+(1-0.2*0.8-0.2*0.8-0.2*0.2)*B25</f>
        <v>7.4455999999999994E-2</v>
      </c>
      <c r="O94" s="22"/>
      <c r="P94" s="23"/>
      <c r="Q94" t="s">
        <v>36</v>
      </c>
      <c r="R94">
        <f t="shared" si="32"/>
        <v>7.4280000000000013E-2</v>
      </c>
      <c r="S94">
        <f t="shared" si="33"/>
        <v>7.4930999999999998E-2</v>
      </c>
      <c r="U94">
        <f t="shared" si="34"/>
        <v>6.5508999999999998E-2</v>
      </c>
      <c r="V94">
        <f t="shared" si="35"/>
        <v>5.8690000000000001E-3</v>
      </c>
      <c r="X94">
        <f>(0.3*0.7+0.3*0.7)*F25+0.3*0.3*J25+(1-0.3*0.7-0.3*0.7-0.3*0.3)*B25</f>
        <v>7.4930999999999998E-2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6"/>
      <c r="O100" s="22"/>
      <c r="P100" s="23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6"/>
        <v>7.3245000000000005E-2</v>
      </c>
      <c r="G101">
        <f t="shared" si="37"/>
        <v>7.3859274999999988E-2</v>
      </c>
      <c r="H101">
        <f>Q13+M13+I11+E13</f>
        <v>12.213804999999999</v>
      </c>
      <c r="I101">
        <f t="shared" si="38"/>
        <v>2.4813974999999999E-2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7.3859262499999981E-2</v>
      </c>
      <c r="M101">
        <f>Q25+M25+I25+E25</f>
        <v>26.487397000000001</v>
      </c>
      <c r="N101" s="26"/>
      <c r="O101" s="22"/>
      <c r="P101" s="23"/>
      <c r="Q101" t="s">
        <v>36</v>
      </c>
      <c r="R101">
        <f t="shared" si="41"/>
        <v>7.3590000000000003E-2</v>
      </c>
      <c r="S101">
        <f t="shared" si="42"/>
        <v>7.4217199999999997E-2</v>
      </c>
      <c r="U101">
        <f t="shared" si="43"/>
        <v>4.0188800000000011E-2</v>
      </c>
      <c r="V101">
        <f t="shared" si="44"/>
        <v>5.6828E-3</v>
      </c>
      <c r="X101">
        <f>3*0.1*(1-0.1)*(1-0.1)*F25+3*0.1*0.1*(1-0.1)*J25+0.1*0.1*0.1*N25+(1-3*0.1*(1-0.1)*(1-0.1)-3*0.1*0.1*(1-0.1)-0.1*0.1*0.1)*B25</f>
        <v>7.4217099999999994E-2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6"/>
      <c r="O106" s="22"/>
      <c r="P106" s="23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5"/>
        <v>7.4279999999999999E-2</v>
      </c>
      <c r="G107">
        <f t="shared" si="46"/>
        <v>7.4929599999999999E-2</v>
      </c>
      <c r="I107">
        <f t="shared" si="47"/>
        <v>6.0398400000000026E-2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7.492879999999999E-2</v>
      </c>
      <c r="N107" s="26"/>
      <c r="O107" s="22"/>
      <c r="P107" s="23"/>
      <c r="Q107" t="s">
        <v>36</v>
      </c>
      <c r="R107">
        <f t="shared" si="49"/>
        <v>7.4969999999999995E-2</v>
      </c>
      <c r="S107">
        <f t="shared" si="50"/>
        <v>7.5638400000000008E-2</v>
      </c>
      <c r="U107">
        <f t="shared" si="51"/>
        <v>6.8683599999999984E-2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7.5635700000000014E-2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23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24"/>
      <c r="D113" s="23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23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24"/>
      <c r="D114" s="23"/>
      <c r="E114" t="s">
        <v>36</v>
      </c>
      <c r="F114">
        <f t="shared" si="53"/>
        <v>5.5375000000000001E-2</v>
      </c>
      <c r="G114">
        <f t="shared" si="54"/>
        <v>6.5604999999999997E-2</v>
      </c>
      <c r="H114">
        <f t="shared" si="55"/>
        <v>7.7685969999999998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6.2494999999999995E-2</v>
      </c>
      <c r="M114">
        <f>AA25+W25</f>
        <v>13.833425999999999</v>
      </c>
      <c r="P114" s="23"/>
      <c r="Q114" t="s">
        <v>36</v>
      </c>
      <c r="R114">
        <f t="shared" si="59"/>
        <v>5.5449999999999999E-2</v>
      </c>
      <c r="S114">
        <f t="shared" si="60"/>
        <v>6.5710000000000005E-2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6.2590000000000007E-2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23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24"/>
      <c r="D119" s="23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23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24"/>
      <c r="D120" s="23"/>
      <c r="E120" t="s">
        <v>36</v>
      </c>
      <c r="F120">
        <f t="shared" si="63"/>
        <v>5.5600000000000004E-2</v>
      </c>
      <c r="G120">
        <f t="shared" si="64"/>
        <v>6.5920000000000006E-2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6.2780000000000002E-2</v>
      </c>
      <c r="P120" s="23"/>
      <c r="Q120" t="s">
        <v>36</v>
      </c>
      <c r="R120">
        <f t="shared" si="67"/>
        <v>5.5750000000000001E-2</v>
      </c>
      <c r="S120">
        <f t="shared" si="68"/>
        <v>6.6129999999999994E-2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6.2969999999999998E-2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2"/>
      <c r="P126" s="23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24"/>
      <c r="C127" s="22"/>
      <c r="D127" s="23"/>
      <c r="E127" t="s">
        <v>36</v>
      </c>
      <c r="F127">
        <f t="shared" si="71"/>
        <v>5.5450250000000006E-2</v>
      </c>
      <c r="G127">
        <f t="shared" si="72"/>
        <v>6.5710000000000005E-2</v>
      </c>
      <c r="H127">
        <f t="shared" si="73"/>
        <v>11.955636999999999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6.258975E-2</v>
      </c>
      <c r="M127">
        <f>AE25+AA25+W25</f>
        <v>20.374829000000002</v>
      </c>
      <c r="O127" s="22"/>
      <c r="P127" s="23"/>
      <c r="Q127" t="s">
        <v>36</v>
      </c>
      <c r="R127">
        <f t="shared" si="77"/>
        <v>5.5601000000000012E-2</v>
      </c>
      <c r="S127">
        <f t="shared" si="78"/>
        <v>6.5920000000000006E-2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6.2779000000000001E-2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2"/>
      <c r="P132" s="23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24"/>
      <c r="C133" s="22"/>
      <c r="D133" s="23"/>
      <c r="E133" t="s">
        <v>36</v>
      </c>
      <c r="F133">
        <f t="shared" si="81"/>
        <v>5.5903999999999995E-2</v>
      </c>
      <c r="G133">
        <f t="shared" si="82"/>
        <v>6.6339999999999996E-2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6.315599999999999E-2</v>
      </c>
      <c r="O133" s="22"/>
      <c r="P133" s="23"/>
      <c r="Q133" t="s">
        <v>36</v>
      </c>
      <c r="R133">
        <f t="shared" si="85"/>
        <v>5.6209000000000009E-2</v>
      </c>
      <c r="S133">
        <f t="shared" si="86"/>
        <v>6.676E-2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6.3531000000000004E-2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6"/>
      <c r="O139" s="22"/>
      <c r="P139" s="23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4.8635137499999995E-2</v>
      </c>
      <c r="G140">
        <f>3*0.05*(1-0.05)*(1-0.05)*Z20+3*0.05*0.05*(1-0.05)*AD13+0.05*0.05*0.05*AH13+(1-3*0.05*(1-0.05)*(1-0.05)-3*0.05*0.05*(1-0.05)-0.05*0.05*0.05)*V13</f>
        <v>5.7462362499999996E-2</v>
      </c>
      <c r="H140">
        <f>AI13+AE13+AA20+W13</f>
        <v>13.083884000000001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6.2684287499999991E-2</v>
      </c>
      <c r="M140">
        <f>AI25+AE25+AA25+W25</f>
        <v>27.217265000000001</v>
      </c>
      <c r="N140" s="26"/>
      <c r="O140" s="22"/>
      <c r="P140" s="23"/>
      <c r="Q140" t="s">
        <v>36</v>
      </c>
      <c r="R140">
        <f t="shared" si="92"/>
        <v>5.5752799999999998E-2</v>
      </c>
      <c r="S140">
        <f t="shared" si="93"/>
        <v>6.6129999999999994E-2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6.2967300000000004E-2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6"/>
      <c r="O145" s="22"/>
      <c r="P145" s="23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3.6664799999999997E-2</v>
      </c>
      <c r="G146">
        <f>3*0.2*(1-0.2)*(1-0.2)*Z20+3*0.2*0.2*(1-0.2)*AD13+0.2*0.2*0.2*AH13+(1-3*0.2*(1-0.2)*(1-0.2)-3*0.2*0.2*(1-0.2)-0.2*0.2*0.2)*V13</f>
        <v>4.3067199999999993E-2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6.3530399999999987E-2</v>
      </c>
      <c r="N146" s="26"/>
      <c r="O146" s="22"/>
      <c r="P146" s="23"/>
      <c r="Q146" t="s">
        <v>36</v>
      </c>
      <c r="R146">
        <f t="shared" si="98"/>
        <v>5.6671600000000003E-2</v>
      </c>
      <c r="S146">
        <f t="shared" si="99"/>
        <v>6.7390000000000005E-2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6.4091099999999998E-2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23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24"/>
      <c r="D152" s="23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23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24"/>
      <c r="D153" s="23"/>
      <c r="E153" t="s">
        <v>36</v>
      </c>
      <c r="F153">
        <f t="shared" si="102"/>
        <v>3.2050000000000002E-2</v>
      </c>
      <c r="G153">
        <f t="shared" si="103"/>
        <v>5.6989999999999999E-2</v>
      </c>
      <c r="H153">
        <f t="shared" si="104"/>
        <v>6.643351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4.7869999999999996E-2</v>
      </c>
      <c r="M153">
        <f>I46+E46</f>
        <v>13.275375</v>
      </c>
      <c r="P153" s="23"/>
      <c r="Q153" t="s">
        <v>36</v>
      </c>
      <c r="R153">
        <f t="shared" si="108"/>
        <v>3.2100000000000004E-2</v>
      </c>
      <c r="S153">
        <f t="shared" si="109"/>
        <v>5.7079999999999999E-2</v>
      </c>
      <c r="U153">
        <f t="shared" si="110"/>
        <v>4.7600000000000003E-3</v>
      </c>
      <c r="V153">
        <f t="shared" si="111"/>
        <v>4.96E-3</v>
      </c>
      <c r="X153">
        <f>0.1*F46+(1-0.1)*B46</f>
        <v>4.7940000000000003E-2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23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24"/>
      <c r="D158" s="23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23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24"/>
      <c r="D159" s="23"/>
      <c r="E159" t="s">
        <v>36</v>
      </c>
      <c r="F159">
        <f t="shared" si="112"/>
        <v>3.2199999999999999E-2</v>
      </c>
      <c r="G159">
        <f t="shared" si="113"/>
        <v>5.7260000000000005E-2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4.8080000000000005E-2</v>
      </c>
      <c r="P159" s="23"/>
      <c r="Q159" t="s">
        <v>36</v>
      </c>
      <c r="R159">
        <f t="shared" si="116"/>
        <v>3.2300000000000002E-2</v>
      </c>
      <c r="S159">
        <f t="shared" si="117"/>
        <v>5.7439999999999998E-2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4.8219999999999999E-2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2"/>
      <c r="P165" s="23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24"/>
      <c r="C166" s="22"/>
      <c r="D166" s="23"/>
      <c r="E166" t="s">
        <v>36</v>
      </c>
      <c r="F166">
        <f t="shared" si="120"/>
        <v>3.2099750000000003E-2</v>
      </c>
      <c r="G166">
        <f t="shared" si="121"/>
        <v>5.7080249999999999E-2</v>
      </c>
      <c r="H166">
        <f t="shared" si="122"/>
        <v>10.093836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4.7940500000000004E-2</v>
      </c>
      <c r="M166">
        <f>M46+I46+E46</f>
        <v>19.684386</v>
      </c>
      <c r="O166" s="22"/>
      <c r="P166" s="23"/>
      <c r="Q166" t="s">
        <v>36</v>
      </c>
      <c r="R166">
        <f t="shared" si="126"/>
        <v>3.2199000000000005E-2</v>
      </c>
      <c r="S166">
        <f t="shared" si="127"/>
        <v>5.7261000000000006E-2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4.8082E-2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2"/>
      <c r="P171" s="23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24"/>
      <c r="C172" s="22"/>
      <c r="D172" s="23"/>
      <c r="E172" t="s">
        <v>36</v>
      </c>
      <c r="F172">
        <f t="shared" si="130"/>
        <v>3.2396000000000001E-2</v>
      </c>
      <c r="G172">
        <f t="shared" si="131"/>
        <v>5.7624000000000002E-2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4.8368000000000001E-2</v>
      </c>
      <c r="O172" s="22"/>
      <c r="P172" s="23"/>
      <c r="Q172" t="s">
        <v>36</v>
      </c>
      <c r="R172">
        <f t="shared" si="134"/>
        <v>3.2591000000000009E-2</v>
      </c>
      <c r="S172">
        <f t="shared" si="135"/>
        <v>5.7989000000000006E-2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4.8658000000000007E-2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6"/>
      <c r="O178" s="22"/>
      <c r="P178" s="23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8"/>
        <v>3.2149262499999998E-2</v>
      </c>
      <c r="G179">
        <f t="shared" si="139"/>
        <v>5.7170724999999992E-2</v>
      </c>
      <c r="H179">
        <f t="shared" si="140"/>
        <v>10.156236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4.8011449999999997E-2</v>
      </c>
      <c r="M179">
        <f>Q46+M46+I46+E46</f>
        <v>26.447362000000002</v>
      </c>
      <c r="N179" s="26"/>
      <c r="O179" s="22"/>
      <c r="P179" s="23"/>
      <c r="Q179" t="s">
        <v>36</v>
      </c>
      <c r="R179">
        <f t="shared" si="144"/>
        <v>3.2297100000000002E-2</v>
      </c>
      <c r="S179">
        <f t="shared" si="145"/>
        <v>5.7442800000000002E-2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4.82256E-2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6"/>
      <c r="O184" s="22"/>
      <c r="P184" s="23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8"/>
        <v>3.2588800000000001E-2</v>
      </c>
      <c r="G185">
        <f t="shared" si="149"/>
        <v>5.7990399999999998E-2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4.8660799999999997E-2</v>
      </c>
      <c r="N185" s="26"/>
      <c r="O185" s="22"/>
      <c r="P185" s="23"/>
      <c r="Q185" t="s">
        <v>36</v>
      </c>
      <c r="R185">
        <f t="shared" si="152"/>
        <v>3.2875700000000001E-2</v>
      </c>
      <c r="S185">
        <f t="shared" si="153"/>
        <v>5.8541600000000006E-2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4.9103200000000007E-2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1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23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24"/>
      <c r="D191" s="23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23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24"/>
      <c r="D192" s="23"/>
      <c r="E192" t="s">
        <v>36</v>
      </c>
      <c r="F192">
        <f>0.05*Y34+(1-0.05)*U34</f>
        <v>1.7829999999999999E-2</v>
      </c>
      <c r="G192">
        <f t="shared" si="157"/>
        <v>4.5675E-2</v>
      </c>
      <c r="H192">
        <f t="shared" si="158"/>
        <v>7.0537029999999996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3.1855000000000001E-2</v>
      </c>
      <c r="M192">
        <f>AA46+W46</f>
        <v>13.708714000000001</v>
      </c>
      <c r="P192" s="23"/>
      <c r="Q192" t="s">
        <v>36</v>
      </c>
      <c r="R192">
        <f t="shared" si="162"/>
        <v>1.7860000000000001E-2</v>
      </c>
      <c r="S192">
        <f t="shared" si="163"/>
        <v>4.5749999999999999E-2</v>
      </c>
      <c r="U192">
        <f t="shared" si="164"/>
        <v>3.46E-3</v>
      </c>
      <c r="V192">
        <f t="shared" si="165"/>
        <v>4.1500000000000009E-3</v>
      </c>
      <c r="X192">
        <f>0.1*X46+(1-0.1)*T46</f>
        <v>3.1910000000000001E-2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23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24"/>
      <c r="D197" s="23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23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24"/>
      <c r="D198" s="23"/>
      <c r="E198" t="s">
        <v>36</v>
      </c>
      <c r="F198">
        <f t="shared" si="166"/>
        <v>1.7920000000000002E-2</v>
      </c>
      <c r="G198">
        <f t="shared" si="167"/>
        <v>4.590000000000001E-2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3.2020000000000007E-2</v>
      </c>
      <c r="P198" s="23"/>
      <c r="Q198" t="s">
        <v>36</v>
      </c>
      <c r="R198">
        <f t="shared" si="170"/>
        <v>1.7979999999999999E-2</v>
      </c>
      <c r="S198">
        <f t="shared" si="171"/>
        <v>4.6049999999999994E-2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3.2129999999999999E-2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2"/>
      <c r="P204" s="23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24"/>
      <c r="C205" s="22"/>
      <c r="D205" s="23"/>
      <c r="E205" t="s">
        <v>36</v>
      </c>
      <c r="F205">
        <f t="shared" si="174"/>
        <v>1.7860000000000001E-2</v>
      </c>
      <c r="G205">
        <f t="shared" si="175"/>
        <v>4.5750000000000006E-2</v>
      </c>
      <c r="H205">
        <f t="shared" si="176"/>
        <v>10.655085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3.19095E-2</v>
      </c>
      <c r="M205">
        <f>AE46+AA46+W46</f>
        <v>20.035655999999999</v>
      </c>
      <c r="O205" s="22"/>
      <c r="P205" s="23"/>
      <c r="Q205" t="s">
        <v>36</v>
      </c>
      <c r="R205">
        <f t="shared" si="180"/>
        <v>1.7920000000000002E-2</v>
      </c>
      <c r="S205">
        <f t="shared" si="181"/>
        <v>4.5900000000000003E-2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3.2018000000000005E-2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2"/>
      <c r="P210" s="23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24"/>
      <c r="C211" s="22"/>
      <c r="D211" s="23"/>
      <c r="E211" t="s">
        <v>36</v>
      </c>
      <c r="F211">
        <f t="shared" si="184"/>
        <v>1.804E-2</v>
      </c>
      <c r="G211">
        <f t="shared" si="185"/>
        <v>4.6200000000000005E-2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3.2231999999999997E-2</v>
      </c>
      <c r="O211" s="22"/>
      <c r="P211" s="23"/>
      <c r="Q211" t="s">
        <v>36</v>
      </c>
      <c r="R211">
        <f t="shared" si="188"/>
        <v>1.8160000000000003E-2</v>
      </c>
      <c r="S211">
        <f t="shared" si="189"/>
        <v>4.6500000000000007E-2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3.2442000000000006E-2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6"/>
      <c r="O217" s="22"/>
      <c r="P217" s="23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92"/>
        <v>1.7889987499999996E-2</v>
      </c>
      <c r="G218">
        <f t="shared" si="193"/>
        <v>4.5824999999999991E-2</v>
      </c>
      <c r="H218">
        <f t="shared" si="194"/>
        <v>14.077521999999998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3.1963562500000001E-2</v>
      </c>
      <c r="M218">
        <f>AI46+AE46+AA46+W46</f>
        <v>26.707882000000001</v>
      </c>
      <c r="N218" s="26"/>
      <c r="O218" s="22"/>
      <c r="P218" s="23"/>
      <c r="Q218" t="s">
        <v>36</v>
      </c>
      <c r="R218">
        <f t="shared" si="198"/>
        <v>1.79799E-2</v>
      </c>
      <c r="S218">
        <f t="shared" si="199"/>
        <v>4.6050000000000008E-2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3.21245E-2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6"/>
      <c r="O223" s="22"/>
      <c r="P223" s="23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202"/>
        <v>1.81592E-2</v>
      </c>
      <c r="G224">
        <f t="shared" si="203"/>
        <v>4.65E-2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3.2439999999999997E-2</v>
      </c>
      <c r="N224" s="26"/>
      <c r="O224" s="22"/>
      <c r="P224" s="23"/>
      <c r="Q224" t="s">
        <v>36</v>
      </c>
      <c r="R224">
        <f t="shared" si="206"/>
        <v>1.8337300000000001E-2</v>
      </c>
      <c r="S224">
        <f t="shared" si="207"/>
        <v>4.6950000000000006E-2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3.2749500000000001E-2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23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24"/>
      <c r="D230" s="23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23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24"/>
      <c r="D231" s="23"/>
      <c r="E231" t="s">
        <v>36</v>
      </c>
      <c r="F231">
        <f t="shared" si="210"/>
        <v>8.8149999999999999E-3</v>
      </c>
      <c r="G231">
        <f t="shared" si="211"/>
        <v>2.7654999999999996E-2</v>
      </c>
      <c r="H231">
        <f t="shared" si="212"/>
        <v>5.4605800000000002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1.5034999999999998E-2</v>
      </c>
      <c r="M231">
        <f>I66+E66</f>
        <v>12.991154999999999</v>
      </c>
      <c r="P231" s="23"/>
      <c r="Q231" t="s">
        <v>36</v>
      </c>
      <c r="R231">
        <f t="shared" si="216"/>
        <v>8.8299999999999993E-3</v>
      </c>
      <c r="S231">
        <f t="shared" si="217"/>
        <v>2.7710000000000002E-2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1.507E-2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23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24"/>
      <c r="D236" s="23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23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24"/>
      <c r="D237" s="23"/>
      <c r="E237" t="s">
        <v>36</v>
      </c>
      <c r="F237">
        <f t="shared" si="220"/>
        <v>8.8600000000000016E-3</v>
      </c>
      <c r="G237">
        <f t="shared" si="221"/>
        <v>2.7820000000000004E-2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1.5140000000000001E-2</v>
      </c>
      <c r="P237" s="23"/>
      <c r="Q237" t="s">
        <v>36</v>
      </c>
      <c r="R237">
        <f t="shared" si="224"/>
        <v>8.8900000000000003E-3</v>
      </c>
      <c r="S237">
        <f t="shared" si="225"/>
        <v>2.7929999999999996E-2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1.5209999999999998E-2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2"/>
      <c r="P243" s="23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24"/>
      <c r="C244" s="22"/>
      <c r="D244" s="23"/>
      <c r="E244" t="s">
        <v>36</v>
      </c>
      <c r="F244">
        <f t="shared" si="228"/>
        <v>8.8302500000000013E-3</v>
      </c>
      <c r="G244">
        <f t="shared" si="229"/>
        <v>2.7709750000000002E-2</v>
      </c>
      <c r="H244">
        <f t="shared" si="230"/>
        <v>8.2343200000000003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1.507E-2</v>
      </c>
      <c r="M244">
        <f>M66+I66+E66</f>
        <v>19.577953999999998</v>
      </c>
      <c r="O244" s="22"/>
      <c r="P244" s="23"/>
      <c r="Q244" t="s">
        <v>36</v>
      </c>
      <c r="R244">
        <f t="shared" si="234"/>
        <v>8.8610000000000008E-3</v>
      </c>
      <c r="S244">
        <f t="shared" si="235"/>
        <v>2.7819000000000003E-2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1.5140000000000001E-2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2"/>
      <c r="P249" s="23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24"/>
      <c r="C250" s="22"/>
      <c r="D250" s="23"/>
      <c r="E250" t="s">
        <v>36</v>
      </c>
      <c r="F250">
        <f t="shared" si="238"/>
        <v>8.9240000000000014E-3</v>
      </c>
      <c r="G250">
        <f t="shared" si="239"/>
        <v>2.8035999999999998E-2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1.5279999999999998E-2</v>
      </c>
      <c r="O250" s="22"/>
      <c r="P250" s="23"/>
      <c r="Q250" t="s">
        <v>36</v>
      </c>
      <c r="R250">
        <f t="shared" si="242"/>
        <v>8.9890000000000005E-3</v>
      </c>
      <c r="S250">
        <f t="shared" si="243"/>
        <v>2.8251000000000002E-2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1.542E-2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6"/>
      <c r="O256" s="22"/>
      <c r="P256" s="23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6"/>
        <v>8.8457249999999987E-3</v>
      </c>
      <c r="G257">
        <f t="shared" si="247"/>
        <v>2.7764262499999994E-2</v>
      </c>
      <c r="H257">
        <f t="shared" si="248"/>
        <v>10.574469000000001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1.5104987499999997E-2</v>
      </c>
      <c r="M257">
        <f>Q66+M66+I66+E66</f>
        <v>26.371968000000003</v>
      </c>
      <c r="N257" s="26"/>
      <c r="O257" s="22"/>
      <c r="P257" s="23"/>
      <c r="Q257" t="s">
        <v>36</v>
      </c>
      <c r="R257">
        <f t="shared" si="252"/>
        <v>8.8927999999999993E-3</v>
      </c>
      <c r="S257">
        <f t="shared" si="253"/>
        <v>2.79271E-2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1.5209899999999998E-2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6"/>
      <c r="O262" s="22"/>
      <c r="P262" s="23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6"/>
        <v>8.9903999999999991E-3</v>
      </c>
      <c r="G263">
        <f t="shared" si="257"/>
        <v>2.8248799999999998E-2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1.5419199999999999E-2</v>
      </c>
      <c r="N263" s="26"/>
      <c r="O263" s="22"/>
      <c r="P263" s="23"/>
      <c r="Q263" t="s">
        <v>36</v>
      </c>
      <c r="R263">
        <f t="shared" si="260"/>
        <v>9.0916000000000018E-3</v>
      </c>
      <c r="S263">
        <f t="shared" si="261"/>
        <v>2.8565699999999999E-2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1.56273E-2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10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15">
        <v>6.1199999999999997E-2</v>
      </c>
      <c r="D13" s="15">
        <v>6.1600000000000002E-2</v>
      </c>
      <c r="E13" s="16">
        <v>1.698952</v>
      </c>
      <c r="F13" t="s">
        <v>22</v>
      </c>
      <c r="G13" s="15">
        <v>6.3600000000000004E-2</v>
      </c>
      <c r="H13" s="15">
        <v>6.4000000000000001E-2</v>
      </c>
      <c r="I13" s="16">
        <v>1.737717</v>
      </c>
      <c r="J13" t="s">
        <v>22</v>
      </c>
      <c r="K13" s="16">
        <v>6.6000000000000003E-2</v>
      </c>
      <c r="L13" s="16">
        <v>6.6400000000000001E-2</v>
      </c>
      <c r="M13" s="16">
        <v>2.020416</v>
      </c>
      <c r="N13" t="s">
        <v>22</v>
      </c>
      <c r="O13" s="16">
        <v>6.8400000000000002E-2</v>
      </c>
      <c r="P13" s="16">
        <v>6.88E-2</v>
      </c>
      <c r="Q13" s="16">
        <v>2.0554359999999998</v>
      </c>
      <c r="S13" s="24"/>
      <c r="T13" t="s">
        <v>22</v>
      </c>
      <c r="U13" s="3">
        <v>4.9299999999999997E-2</v>
      </c>
      <c r="V13" s="3">
        <v>5.5199999999999999E-2</v>
      </c>
      <c r="W13">
        <v>0.96830000000000005</v>
      </c>
      <c r="X13" t="s">
        <v>22</v>
      </c>
      <c r="Y13" s="3">
        <v>5.11E-2</v>
      </c>
      <c r="Z13" s="3">
        <v>5.74E-2</v>
      </c>
      <c r="AA13">
        <v>1.047809</v>
      </c>
      <c r="AB13" t="s">
        <v>22</v>
      </c>
      <c r="AC13">
        <v>5.28E-2</v>
      </c>
      <c r="AD13">
        <v>5.9499999999999997E-2</v>
      </c>
      <c r="AE13">
        <v>0.912632</v>
      </c>
      <c r="AF13" t="s">
        <v>22</v>
      </c>
      <c r="AG13">
        <v>5.45E-2</v>
      </c>
      <c r="AH13">
        <v>6.1600000000000002E-2</v>
      </c>
      <c r="AI13">
        <v>2.0862029999999998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0.14810000000000001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20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6.1499999999999999E-2</v>
      </c>
      <c r="C25" s="4"/>
      <c r="D25" s="4"/>
      <c r="E25">
        <v>5.3904860000000001</v>
      </c>
      <c r="F25" s="3">
        <v>6.3899999999999998E-2</v>
      </c>
      <c r="G25" s="4"/>
      <c r="H25" s="4"/>
      <c r="I25">
        <v>5.6636519999999999</v>
      </c>
      <c r="J25" s="9">
        <v>6.6199999999999995E-2</v>
      </c>
      <c r="K25" s="9"/>
      <c r="L25" s="9"/>
      <c r="M25">
        <v>5.3607930000000001</v>
      </c>
      <c r="N25" s="9">
        <v>6.8699999999999997E-2</v>
      </c>
      <c r="O25" s="9"/>
      <c r="P25" s="9"/>
      <c r="Q25">
        <v>5.6691000000000003</v>
      </c>
      <c r="S25" s="25"/>
      <c r="T25" s="17">
        <v>5.3499999999999999E-2</v>
      </c>
      <c r="U25" s="4"/>
      <c r="V25" s="4"/>
      <c r="W25">
        <v>5.2880570000000002</v>
      </c>
      <c r="X25" s="4">
        <v>5.5399999999999998E-2</v>
      </c>
      <c r="Y25" s="4"/>
      <c r="Z25" s="4"/>
      <c r="AA25">
        <v>5.2498040000000001</v>
      </c>
      <c r="AB25" s="9">
        <v>5.74E-2</v>
      </c>
      <c r="AC25" s="9"/>
      <c r="AD25" s="9"/>
      <c r="AE25">
        <v>5.1287830000000003</v>
      </c>
      <c r="AF25" s="9">
        <v>5.9299999999999999E-2</v>
      </c>
      <c r="AG25" s="9"/>
      <c r="AH25" s="9"/>
      <c r="AI25">
        <v>5.642792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2.9600000000000001E-2</v>
      </c>
      <c r="D34" s="3">
        <v>4.8099999999999997E-2</v>
      </c>
      <c r="E34">
        <v>1.9564109999999999</v>
      </c>
      <c r="F34" t="s">
        <v>22</v>
      </c>
      <c r="G34" s="3">
        <v>3.0700000000000002E-2</v>
      </c>
      <c r="H34" s="3">
        <v>4.99E-2</v>
      </c>
      <c r="I34">
        <v>1.9759</v>
      </c>
      <c r="J34" t="s">
        <v>22</v>
      </c>
      <c r="K34">
        <v>3.1800000000000002E-2</v>
      </c>
      <c r="L34">
        <v>5.1799999999999999E-2</v>
      </c>
      <c r="M34">
        <v>1.9372510000000001</v>
      </c>
      <c r="N34" t="s">
        <v>22</v>
      </c>
      <c r="O34">
        <v>3.2899999999999999E-2</v>
      </c>
      <c r="P34">
        <v>5.3699999999999998E-2</v>
      </c>
      <c r="Q34">
        <v>1.971158</v>
      </c>
      <c r="S34" s="24"/>
      <c r="T34" t="s">
        <v>22</v>
      </c>
      <c r="U34" s="3">
        <v>1.7299999999999999E-2</v>
      </c>
      <c r="V34" s="3">
        <v>3.8600000000000002E-2</v>
      </c>
      <c r="W34">
        <v>1.7469030000000001</v>
      </c>
      <c r="X34" t="s">
        <v>22</v>
      </c>
      <c r="Y34" s="3">
        <v>1.7999999999999999E-2</v>
      </c>
      <c r="Z34" s="3">
        <v>1.7999999999999999E-2</v>
      </c>
      <c r="AA34">
        <v>1.86443</v>
      </c>
      <c r="AB34" t="s">
        <v>22</v>
      </c>
      <c r="AC34" s="3">
        <v>1.8700000000000001E-2</v>
      </c>
      <c r="AD34" s="3">
        <v>4.1599999999999998E-2</v>
      </c>
      <c r="AE34">
        <v>1.866555</v>
      </c>
      <c r="AF34" t="s">
        <v>22</v>
      </c>
      <c r="AG34" s="3">
        <v>1.9300000000000001E-2</v>
      </c>
      <c r="AH34" s="3">
        <v>4.3099999999999999E-2</v>
      </c>
      <c r="AI34">
        <v>1.911834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20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4.2000000000000003E-2</v>
      </c>
      <c r="C46" s="4"/>
      <c r="D46" s="4"/>
      <c r="E46">
        <v>5.7827840000000004</v>
      </c>
      <c r="F46" s="4">
        <v>4.3499999999999997E-2</v>
      </c>
      <c r="G46" s="4"/>
      <c r="H46" s="4"/>
      <c r="I46">
        <v>5.8317480000000002</v>
      </c>
      <c r="J46" s="9">
        <v>4.4999999999999998E-2</v>
      </c>
      <c r="K46" s="9"/>
      <c r="L46" s="9"/>
      <c r="M46">
        <v>5.7209859999999999</v>
      </c>
      <c r="N46" s="9">
        <v>4.6600000000000003E-2</v>
      </c>
      <c r="O46" s="9"/>
      <c r="P46" s="9"/>
      <c r="Q46">
        <v>5.6913200000000002</v>
      </c>
      <c r="S46" s="25"/>
      <c r="T46" s="4">
        <v>2.87E-2</v>
      </c>
      <c r="U46" s="4"/>
      <c r="V46" s="4"/>
      <c r="W46">
        <v>5.2643420000000001</v>
      </c>
      <c r="X46" s="4">
        <v>2.98E-2</v>
      </c>
      <c r="Y46" s="4"/>
      <c r="Z46" s="4"/>
      <c r="AA46">
        <v>5.6832609999999999</v>
      </c>
      <c r="AB46" s="4">
        <v>3.1E-2</v>
      </c>
      <c r="AC46" s="4"/>
      <c r="AD46" s="4"/>
      <c r="AE46">
        <v>5.6283960000000004</v>
      </c>
      <c r="AF46" s="4">
        <v>3.2099999999999997E-2</v>
      </c>
      <c r="AG46" s="4"/>
      <c r="AH46" s="4"/>
      <c r="AI46">
        <v>5.6963200000000001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8.6999999999999994E-3</v>
      </c>
      <c r="D54" s="3">
        <v>2.35E-2</v>
      </c>
      <c r="E54">
        <v>1.7245509999999999</v>
      </c>
      <c r="F54" t="s">
        <v>22</v>
      </c>
      <c r="G54" s="3">
        <v>9.1000000000000004E-3</v>
      </c>
      <c r="H54" s="3">
        <v>2.46E-2</v>
      </c>
      <c r="I54">
        <v>1.6368609999999999</v>
      </c>
      <c r="J54" t="s">
        <v>22</v>
      </c>
      <c r="K54" s="3">
        <v>9.4999999999999998E-3</v>
      </c>
      <c r="L54" s="3">
        <v>2.5700000000000001E-2</v>
      </c>
      <c r="M54">
        <v>1.667292</v>
      </c>
      <c r="N54" t="s">
        <v>22</v>
      </c>
      <c r="O54" s="3">
        <v>9.9000000000000008E-3</v>
      </c>
      <c r="P54" s="3">
        <v>2.6700000000000002E-2</v>
      </c>
      <c r="Q54">
        <v>1.6282890000000001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1.4E-2</v>
      </c>
      <c r="C66" s="4"/>
      <c r="D66" s="4"/>
      <c r="E66">
        <v>5.6746590000000001</v>
      </c>
      <c r="F66" s="4">
        <v>1.4800000000000001E-2</v>
      </c>
      <c r="G66" s="4"/>
      <c r="H66" s="4"/>
      <c r="I66">
        <v>5.693416</v>
      </c>
      <c r="J66" s="4">
        <v>1.55E-2</v>
      </c>
      <c r="K66" s="4"/>
      <c r="L66" s="4"/>
      <c r="M66">
        <v>5.5498789999999998</v>
      </c>
      <c r="N66" s="4">
        <v>1.6199999999999999E-2</v>
      </c>
      <c r="O66" s="4"/>
      <c r="P66" s="4"/>
      <c r="Q66">
        <v>5.5910500000000001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6.132E-2</v>
      </c>
      <c r="G75">
        <f t="shared" si="1"/>
        <v>6.1720000000000004E-2</v>
      </c>
      <c r="H75">
        <f t="shared" si="2"/>
        <v>3.4366690000000002</v>
      </c>
      <c r="I75">
        <f t="shared" si="3"/>
        <v>1.2630000000000001E-2</v>
      </c>
      <c r="J75">
        <f t="shared" si="4"/>
        <v>5.5299999999999993E-3</v>
      </c>
      <c r="K75">
        <f t="shared" si="5"/>
        <v>2.2851509999999999</v>
      </c>
      <c r="L75">
        <f>0.05*F25+(1-0.05)*B25</f>
        <v>6.1619999999999994E-2</v>
      </c>
      <c r="M75">
        <f>I25+E25</f>
        <v>11.054138</v>
      </c>
      <c r="P75" s="23"/>
      <c r="Q75" t="s">
        <v>36</v>
      </c>
      <c r="R75">
        <f t="shared" si="6"/>
        <v>6.1439999999999995E-2</v>
      </c>
      <c r="S75">
        <f t="shared" si="7"/>
        <v>6.1840000000000006E-2</v>
      </c>
      <c r="U75">
        <f t="shared" si="8"/>
        <v>1.976E-2</v>
      </c>
      <c r="V75">
        <f t="shared" si="9"/>
        <v>5.5599999999999998E-3</v>
      </c>
      <c r="X75">
        <f>0.1*F25+(1-0.1)*B25</f>
        <v>6.1740000000000003E-2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3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3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4"/>
      <c r="D81" s="23"/>
      <c r="E81" t="s">
        <v>36</v>
      </c>
      <c r="F81">
        <f t="shared" si="10"/>
        <v>6.1680000000000006E-2</v>
      </c>
      <c r="G81">
        <f t="shared" si="11"/>
        <v>6.2080000000000003E-2</v>
      </c>
      <c r="I81">
        <f t="shared" si="12"/>
        <v>3.4020000000000002E-2</v>
      </c>
      <c r="J81">
        <f t="shared" si="13"/>
        <v>5.62E-3</v>
      </c>
      <c r="L81">
        <f>0.2*F25+(1-0.2)*B25</f>
        <v>6.198E-2</v>
      </c>
      <c r="P81" s="23"/>
      <c r="Q81" t="s">
        <v>36</v>
      </c>
      <c r="R81">
        <f t="shared" si="14"/>
        <v>6.1919999999999996E-2</v>
      </c>
      <c r="S81">
        <f t="shared" si="15"/>
        <v>6.232E-2</v>
      </c>
      <c r="U81">
        <f t="shared" si="16"/>
        <v>4.8280000000000003E-2</v>
      </c>
      <c r="V81">
        <f t="shared" si="17"/>
        <v>5.6799999999999993E-3</v>
      </c>
      <c r="X81">
        <f>0.3*F25+(1-0.3)*B25</f>
        <v>6.2219999999999998E-2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2" t="s">
        <v>40</v>
      </c>
      <c r="P86" s="23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2"/>
      <c r="P87" s="23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4"/>
      <c r="C88" s="22"/>
      <c r="D88" s="23"/>
      <c r="E88" t="s">
        <v>36</v>
      </c>
      <c r="F88">
        <f t="shared" si="18"/>
        <v>6.1440000000000008E-2</v>
      </c>
      <c r="G88">
        <f t="shared" si="19"/>
        <v>6.1840000000000006E-2</v>
      </c>
      <c r="H88">
        <f t="shared" si="20"/>
        <v>5.4570850000000002</v>
      </c>
      <c r="I88">
        <f t="shared" si="21"/>
        <v>1.9050250000000001E-2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6.1739750000000003E-2</v>
      </c>
      <c r="M88">
        <f>M25+I25+E25</f>
        <v>16.414930999999999</v>
      </c>
      <c r="O88" s="22"/>
      <c r="P88" s="23"/>
      <c r="Q88" t="s">
        <v>36</v>
      </c>
      <c r="R88">
        <f t="shared" si="24"/>
        <v>6.1679999999999999E-2</v>
      </c>
      <c r="S88">
        <f t="shared" si="25"/>
        <v>6.2080000000000003E-2</v>
      </c>
      <c r="U88">
        <f t="shared" si="26"/>
        <v>3.1181000000000004E-2</v>
      </c>
      <c r="V88">
        <f t="shared" si="27"/>
        <v>5.6210000000000001E-3</v>
      </c>
      <c r="X88">
        <f>(0.1*0.9+0.1*0.9)*F25+0.1*0.1*J25+(1-0.1*0.9-0.1*0.9-0.1*0.1)*B25</f>
        <v>6.1979000000000006E-2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2"/>
      <c r="P93" s="23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4"/>
      <c r="C94" s="22"/>
      <c r="D94" s="23"/>
      <c r="E94" t="s">
        <v>36</v>
      </c>
      <c r="F94">
        <f t="shared" si="28"/>
        <v>6.216E-2</v>
      </c>
      <c r="G94">
        <f t="shared" si="29"/>
        <v>6.2560000000000004E-2</v>
      </c>
      <c r="I94">
        <f t="shared" si="30"/>
        <v>5.1184000000000014E-2</v>
      </c>
      <c r="J94">
        <f t="shared" si="31"/>
        <v>5.744E-3</v>
      </c>
      <c r="L94">
        <f>(0.2*0.8+0.2*0.8)*F25+0.2*0.2*J25+(1-0.2*0.8-0.2*0.8-0.2*0.2)*B25</f>
        <v>6.2455999999999998E-2</v>
      </c>
      <c r="O94" s="22"/>
      <c r="P94" s="23"/>
      <c r="Q94" t="s">
        <v>36</v>
      </c>
      <c r="R94">
        <f t="shared" si="32"/>
        <v>6.2640000000000001E-2</v>
      </c>
      <c r="S94">
        <f t="shared" si="33"/>
        <v>6.3040000000000013E-2</v>
      </c>
      <c r="U94">
        <f t="shared" si="34"/>
        <v>6.5508999999999998E-2</v>
      </c>
      <c r="V94">
        <f t="shared" si="35"/>
        <v>5.8690000000000001E-3</v>
      </c>
      <c r="X94">
        <f>(0.3*0.7+0.3*0.7)*F25+0.3*0.3*J25+(1-0.3*0.7-0.3*0.7-0.3*0.3)*B25</f>
        <v>6.2931000000000001E-2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6"/>
      <c r="O100" s="22"/>
      <c r="P100" s="23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6"/>
        <v>6.155999999999999E-2</v>
      </c>
      <c r="G101">
        <f t="shared" si="37"/>
        <v>6.1959999999999994E-2</v>
      </c>
      <c r="H101">
        <f>Q13+M13+I11+E13</f>
        <v>5.7748039999999996</v>
      </c>
      <c r="I101">
        <f t="shared" si="38"/>
        <v>2.4813974999999999E-2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6.1859287499999992E-2</v>
      </c>
      <c r="M101">
        <f>Q25+M25+I25+E25</f>
        <v>22.084031</v>
      </c>
      <c r="N101" s="26"/>
      <c r="O101" s="22"/>
      <c r="P101" s="23"/>
      <c r="Q101" t="s">
        <v>36</v>
      </c>
      <c r="R101">
        <f t="shared" si="41"/>
        <v>6.1919999999999996E-2</v>
      </c>
      <c r="S101">
        <f t="shared" si="42"/>
        <v>6.232E-2</v>
      </c>
      <c r="U101">
        <f t="shared" si="43"/>
        <v>4.0188800000000011E-2</v>
      </c>
      <c r="V101">
        <f t="shared" si="44"/>
        <v>5.6828E-3</v>
      </c>
      <c r="X101">
        <f>3*0.1*(1-0.1)*(1-0.1)*F25+3*0.1*0.1*(1-0.1)*J25+0.1*0.1*0.1*N25+(1-3*0.1*(1-0.1)*(1-0.1)-3*0.1*0.1*(1-0.1)-0.1*0.1*0.1)*B25</f>
        <v>6.2217300000000003E-2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6"/>
      <c r="O106" s="22"/>
      <c r="P106" s="23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5"/>
        <v>6.2640000000000001E-2</v>
      </c>
      <c r="G107">
        <f t="shared" si="46"/>
        <v>6.3039999999999999E-2</v>
      </c>
      <c r="I107">
        <f t="shared" si="47"/>
        <v>6.0398400000000026E-2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6.2930399999999997E-2</v>
      </c>
      <c r="N107" s="26"/>
      <c r="O107" s="22"/>
      <c r="P107" s="23"/>
      <c r="Q107" t="s">
        <v>36</v>
      </c>
      <c r="R107">
        <f t="shared" si="49"/>
        <v>6.336E-2</v>
      </c>
      <c r="S107">
        <f t="shared" si="50"/>
        <v>6.3760000000000011E-2</v>
      </c>
      <c r="U107">
        <f t="shared" si="51"/>
        <v>6.8683599999999984E-2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6.3641100000000006E-2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23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24"/>
      <c r="D113" s="23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23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24"/>
      <c r="D114" s="23"/>
      <c r="E114" t="s">
        <v>36</v>
      </c>
      <c r="F114">
        <f t="shared" si="53"/>
        <v>4.9389999999999996E-2</v>
      </c>
      <c r="G114">
        <f t="shared" si="54"/>
        <v>5.5309999999999991E-2</v>
      </c>
      <c r="H114">
        <f t="shared" si="55"/>
        <v>2.0161090000000002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5.3594999999999997E-2</v>
      </c>
      <c r="M114">
        <f>AA25+W25</f>
        <v>10.537860999999999</v>
      </c>
      <c r="P114" s="23"/>
      <c r="Q114" t="s">
        <v>36</v>
      </c>
      <c r="R114">
        <f t="shared" si="59"/>
        <v>4.9479999999999996E-2</v>
      </c>
      <c r="S114">
        <f t="shared" si="60"/>
        <v>5.5420000000000004E-2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5.3690000000000002E-2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23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24"/>
      <c r="D119" s="23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23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24"/>
      <c r="D120" s="23"/>
      <c r="E120" t="s">
        <v>36</v>
      </c>
      <c r="F120">
        <f t="shared" si="63"/>
        <v>4.9660000000000003E-2</v>
      </c>
      <c r="G120">
        <f t="shared" si="64"/>
        <v>5.5640000000000009E-2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5.3880000000000004E-2</v>
      </c>
      <c r="P120" s="23"/>
      <c r="Q120" t="s">
        <v>36</v>
      </c>
      <c r="R120">
        <f t="shared" si="67"/>
        <v>4.9839999999999995E-2</v>
      </c>
      <c r="S120">
        <f t="shared" si="68"/>
        <v>5.5859999999999993E-2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5.4069999999999993E-2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2"/>
      <c r="P126" s="23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24"/>
      <c r="C127" s="22"/>
      <c r="D127" s="23"/>
      <c r="E127" t="s">
        <v>36</v>
      </c>
      <c r="F127">
        <f t="shared" si="71"/>
        <v>4.9479749999999996E-2</v>
      </c>
      <c r="G127">
        <f t="shared" si="72"/>
        <v>5.5419750000000004E-2</v>
      </c>
      <c r="H127">
        <f t="shared" si="73"/>
        <v>2.928741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5.3690250000000002E-2</v>
      </c>
      <c r="M127">
        <f>AE25+AA25+W25</f>
        <v>15.666644</v>
      </c>
      <c r="O127" s="22"/>
      <c r="P127" s="23"/>
      <c r="Q127" t="s">
        <v>36</v>
      </c>
      <c r="R127">
        <f t="shared" si="77"/>
        <v>4.9659000000000009E-2</v>
      </c>
      <c r="S127">
        <f t="shared" si="78"/>
        <v>5.5639000000000001E-2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5.3881000000000005E-2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2"/>
      <c r="P132" s="23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24"/>
      <c r="C133" s="22"/>
      <c r="D133" s="23"/>
      <c r="E133" t="s">
        <v>36</v>
      </c>
      <c r="F133">
        <f t="shared" si="81"/>
        <v>5.0015999999999991E-2</v>
      </c>
      <c r="G133">
        <f t="shared" si="82"/>
        <v>5.6075999999999994E-2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5.4263999999999993E-2</v>
      </c>
      <c r="O133" s="22"/>
      <c r="P133" s="23"/>
      <c r="Q133" t="s">
        <v>36</v>
      </c>
      <c r="R133">
        <f t="shared" si="85"/>
        <v>5.0370999999999999E-2</v>
      </c>
      <c r="S133">
        <f t="shared" si="86"/>
        <v>5.6511000000000006E-2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5.4649000000000003E-2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6"/>
      <c r="O139" s="22"/>
      <c r="P139" s="23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4.3450312499999991E-2</v>
      </c>
      <c r="G140">
        <f>3*0.05*(1-0.05)*(1-0.05)*Z20+3*0.05*0.05*(1-0.05)*AD13+0.05*0.05*0.05*AH13+(1-3*0.05*(1-0.05)*(1-0.05)-3*0.05*0.05*(1-0.05)-0.05*0.05*0.05)*V13</f>
        <v>4.8557449999999988E-2</v>
      </c>
      <c r="H140">
        <f>AI13+AE13+AA20+W13</f>
        <v>5.090204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5.3785724999999993E-2</v>
      </c>
      <c r="M140">
        <f>AI25+AE25+AA25+W25</f>
        <v>21.309435999999998</v>
      </c>
      <c r="N140" s="26"/>
      <c r="O140" s="22"/>
      <c r="P140" s="23"/>
      <c r="Q140" t="s">
        <v>36</v>
      </c>
      <c r="R140">
        <f t="shared" si="92"/>
        <v>4.9837099999999995E-2</v>
      </c>
      <c r="S140">
        <f t="shared" si="93"/>
        <v>5.58571E-2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5.4072799999999997E-2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6"/>
      <c r="O145" s="22"/>
      <c r="P145" s="23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3.3011999999999993E-2</v>
      </c>
      <c r="G146">
        <f>3*0.2*(1-0.2)*(1-0.2)*Z20+3*0.2*0.2*(1-0.2)*AD13+0.2*0.2*0.2*AH13+(1-3*0.2*(1-0.2)*(1-0.2)-3*0.2*0.2*(1-0.2)-0.2*0.2*0.2)*V13</f>
        <v>3.6732799999999989E-2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5.4650400000000002E-2</v>
      </c>
      <c r="N146" s="26"/>
      <c r="O146" s="22"/>
      <c r="P146" s="23"/>
      <c r="Q146" t="s">
        <v>36</v>
      </c>
      <c r="R146">
        <f t="shared" si="98"/>
        <v>5.0895700000000002E-2</v>
      </c>
      <c r="S146">
        <f t="shared" si="99"/>
        <v>5.7155700000000004E-2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5.5231600000000006E-2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23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24"/>
      <c r="D152" s="23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23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24"/>
      <c r="D153" s="23"/>
      <c r="E153" t="s">
        <v>36</v>
      </c>
      <c r="F153">
        <f t="shared" si="102"/>
        <v>2.9655000000000001E-2</v>
      </c>
      <c r="G153">
        <f t="shared" si="103"/>
        <v>4.818999999999999E-2</v>
      </c>
      <c r="H153">
        <f t="shared" si="104"/>
        <v>3.9323109999999999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4.2075000000000001E-2</v>
      </c>
      <c r="M153">
        <f>I46+E46</f>
        <v>11.614532000000001</v>
      </c>
      <c r="P153" s="23"/>
      <c r="Q153" t="s">
        <v>36</v>
      </c>
      <c r="R153">
        <f t="shared" si="108"/>
        <v>2.971E-2</v>
      </c>
      <c r="S153">
        <f t="shared" si="109"/>
        <v>4.8279999999999997E-2</v>
      </c>
      <c r="U153">
        <f t="shared" si="110"/>
        <v>4.7600000000000003E-3</v>
      </c>
      <c r="V153">
        <f t="shared" si="111"/>
        <v>4.96E-3</v>
      </c>
      <c r="X153">
        <f>0.1*F46+(1-0.1)*B46</f>
        <v>4.215E-2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23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24"/>
      <c r="D158" s="23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23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24"/>
      <c r="D159" s="23"/>
      <c r="E159" t="s">
        <v>36</v>
      </c>
      <c r="F159">
        <f t="shared" si="112"/>
        <v>2.9820000000000003E-2</v>
      </c>
      <c r="G159">
        <f t="shared" si="113"/>
        <v>4.8460000000000003E-2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4.2300000000000004E-2</v>
      </c>
      <c r="P159" s="23"/>
      <c r="Q159" t="s">
        <v>36</v>
      </c>
      <c r="R159">
        <f t="shared" si="116"/>
        <v>2.9929999999999998E-2</v>
      </c>
      <c r="S159">
        <f t="shared" si="117"/>
        <v>4.8639999999999996E-2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4.2450000000000002E-2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2"/>
      <c r="P165" s="23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24"/>
      <c r="C166" s="22"/>
      <c r="D166" s="23"/>
      <c r="E166" t="s">
        <v>36</v>
      </c>
      <c r="F166">
        <f t="shared" si="120"/>
        <v>2.9710000000000007E-2</v>
      </c>
      <c r="G166">
        <f t="shared" si="121"/>
        <v>4.8280250000000004E-2</v>
      </c>
      <c r="H166">
        <f t="shared" si="122"/>
        <v>5.8695620000000002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4.2150000000000007E-2</v>
      </c>
      <c r="M166">
        <f>M46+I46+E46</f>
        <v>17.335518</v>
      </c>
      <c r="O166" s="22"/>
      <c r="P166" s="23"/>
      <c r="Q166" t="s">
        <v>36</v>
      </c>
      <c r="R166">
        <f t="shared" si="126"/>
        <v>2.9820000000000006E-2</v>
      </c>
      <c r="S166">
        <f t="shared" si="127"/>
        <v>4.8461000000000004E-2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4.2300000000000004E-2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2"/>
      <c r="P171" s="23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24"/>
      <c r="C172" s="22"/>
      <c r="D172" s="23"/>
      <c r="E172" t="s">
        <v>36</v>
      </c>
      <c r="F172">
        <f t="shared" si="130"/>
        <v>3.0040000000000004E-2</v>
      </c>
      <c r="G172">
        <f t="shared" si="131"/>
        <v>4.8823999999999992E-2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4.2599999999999999E-2</v>
      </c>
      <c r="O172" s="22"/>
      <c r="P172" s="23"/>
      <c r="Q172" t="s">
        <v>36</v>
      </c>
      <c r="R172">
        <f t="shared" si="134"/>
        <v>3.0260000000000002E-2</v>
      </c>
      <c r="S172">
        <f t="shared" si="135"/>
        <v>4.9188999999999997E-2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4.2900000000000008E-2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6"/>
      <c r="O178" s="22"/>
      <c r="P178" s="23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8"/>
        <v>2.9765E-2</v>
      </c>
      <c r="G179">
        <f t="shared" si="139"/>
        <v>4.837073749999999E-2</v>
      </c>
      <c r="H179">
        <f t="shared" si="140"/>
        <v>7.8407200000000001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4.2225012499999999E-2</v>
      </c>
      <c r="M179">
        <f>Q46+M46+I46+E46</f>
        <v>23.026838000000001</v>
      </c>
      <c r="N179" s="26"/>
      <c r="O179" s="22"/>
      <c r="P179" s="23"/>
      <c r="Q179" t="s">
        <v>36</v>
      </c>
      <c r="R179">
        <f t="shared" si="144"/>
        <v>2.9930000000000002E-2</v>
      </c>
      <c r="S179">
        <f t="shared" si="145"/>
        <v>4.8642899999999989E-2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4.2450099999999998E-2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6"/>
      <c r="O184" s="22"/>
      <c r="P184" s="23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8"/>
        <v>3.0259999999999999E-2</v>
      </c>
      <c r="G185">
        <f t="shared" si="149"/>
        <v>4.919119999999999E-2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4.2900799999999996E-2</v>
      </c>
      <c r="N185" s="26"/>
      <c r="O185" s="22"/>
      <c r="P185" s="23"/>
      <c r="Q185" t="s">
        <v>36</v>
      </c>
      <c r="R185">
        <f t="shared" si="152"/>
        <v>3.0590000000000006E-2</v>
      </c>
      <c r="S185">
        <f t="shared" si="153"/>
        <v>4.9744299999999998E-2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4.3352700000000008E-2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1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23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24"/>
      <c r="D191" s="23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23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24"/>
      <c r="D192" s="23"/>
      <c r="E192" t="s">
        <v>36</v>
      </c>
      <c r="F192">
        <f>0.05*Y34+(1-0.05)*U34</f>
        <v>1.7335E-2</v>
      </c>
      <c r="G192">
        <f t="shared" si="157"/>
        <v>3.7569999999999999E-2</v>
      </c>
      <c r="H192">
        <f t="shared" si="158"/>
        <v>3.6113330000000001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2.8754999999999996E-2</v>
      </c>
      <c r="M192">
        <f>AA46+W46</f>
        <v>10.947603000000001</v>
      </c>
      <c r="P192" s="23"/>
      <c r="Q192" t="s">
        <v>36</v>
      </c>
      <c r="R192">
        <f t="shared" si="162"/>
        <v>1.737E-2</v>
      </c>
      <c r="S192">
        <f t="shared" si="163"/>
        <v>3.6540000000000003E-2</v>
      </c>
      <c r="U192">
        <f t="shared" si="164"/>
        <v>3.46E-3</v>
      </c>
      <c r="V192">
        <f t="shared" si="165"/>
        <v>4.1500000000000009E-3</v>
      </c>
      <c r="X192">
        <f>0.1*X46+(1-0.1)*T46</f>
        <v>2.8809999999999999E-2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23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24"/>
      <c r="D197" s="23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23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24"/>
      <c r="D198" s="23"/>
      <c r="E198" t="s">
        <v>36</v>
      </c>
      <c r="F198">
        <f t="shared" si="166"/>
        <v>1.7440000000000001E-2</v>
      </c>
      <c r="G198">
        <f t="shared" si="167"/>
        <v>3.4480000000000004E-2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2.8920000000000001E-2</v>
      </c>
      <c r="P198" s="23"/>
      <c r="Q198" t="s">
        <v>36</v>
      </c>
      <c r="R198">
        <f t="shared" si="170"/>
        <v>1.7509999999999998E-2</v>
      </c>
      <c r="S198">
        <f t="shared" si="171"/>
        <v>3.2419999999999997E-2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2.903E-2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2"/>
      <c r="P204" s="23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24"/>
      <c r="C205" s="22"/>
      <c r="D205" s="23"/>
      <c r="E205" t="s">
        <v>36</v>
      </c>
      <c r="F205">
        <f t="shared" si="174"/>
        <v>1.737E-2</v>
      </c>
      <c r="G205">
        <f t="shared" si="175"/>
        <v>3.6650500000000009E-2</v>
      </c>
      <c r="H205">
        <f t="shared" si="176"/>
        <v>5.4778880000000001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2.8810250000000003E-2</v>
      </c>
      <c r="M205">
        <f>AE46+AA46+W46</f>
        <v>16.575998999999999</v>
      </c>
      <c r="O205" s="22"/>
      <c r="P205" s="23"/>
      <c r="Q205" t="s">
        <v>36</v>
      </c>
      <c r="R205">
        <f t="shared" si="180"/>
        <v>1.7440000000000001E-2</v>
      </c>
      <c r="S205">
        <f t="shared" si="181"/>
        <v>3.4922000000000002E-2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2.8921000000000002E-2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2"/>
      <c r="P210" s="23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24"/>
      <c r="C211" s="22"/>
      <c r="D211" s="23"/>
      <c r="E211" t="s">
        <v>36</v>
      </c>
      <c r="F211">
        <f t="shared" si="184"/>
        <v>1.7579999999999998E-2</v>
      </c>
      <c r="G211">
        <f t="shared" si="185"/>
        <v>3.2127999999999997E-2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2.9143999999999996E-2</v>
      </c>
      <c r="O211" s="22"/>
      <c r="P211" s="23"/>
      <c r="Q211" t="s">
        <v>36</v>
      </c>
      <c r="R211">
        <f t="shared" si="188"/>
        <v>1.772E-2</v>
      </c>
      <c r="S211">
        <f t="shared" si="189"/>
        <v>3.0218000000000002E-2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2.9369000000000003E-2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6"/>
      <c r="O217" s="22"/>
      <c r="P217" s="23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92"/>
        <v>1.7404987499999997E-2</v>
      </c>
      <c r="G218">
        <f t="shared" si="193"/>
        <v>3.5833212499999996E-2</v>
      </c>
      <c r="H218">
        <f t="shared" si="194"/>
        <v>7.389721999999999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2.8865724999999998E-2</v>
      </c>
      <c r="M218">
        <f>AI46+AE46+AA46+W46</f>
        <v>22.272319</v>
      </c>
      <c r="N218" s="26"/>
      <c r="O218" s="22"/>
      <c r="P218" s="23"/>
      <c r="Q218" t="s">
        <v>36</v>
      </c>
      <c r="R218">
        <f t="shared" si="198"/>
        <v>1.7509899999999998E-2</v>
      </c>
      <c r="S218">
        <f t="shared" si="199"/>
        <v>3.36797E-2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2.9032800000000001E-2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6"/>
      <c r="O223" s="22"/>
      <c r="P223" s="23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202"/>
        <v>1.7719199999999997E-2</v>
      </c>
      <c r="G224">
        <f t="shared" si="203"/>
        <v>3.1013599999999995E-2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2.9370399999999998E-2</v>
      </c>
      <c r="N224" s="26"/>
      <c r="O224" s="22"/>
      <c r="P224" s="23"/>
      <c r="Q224" t="s">
        <v>36</v>
      </c>
      <c r="R224">
        <f t="shared" si="206"/>
        <v>1.79273E-2</v>
      </c>
      <c r="S224">
        <f t="shared" si="207"/>
        <v>3.0203900000000006E-2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2.9711600000000001E-2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23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24"/>
      <c r="D230" s="23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23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24"/>
      <c r="D231" s="23"/>
      <c r="E231" t="s">
        <v>36</v>
      </c>
      <c r="F231">
        <f t="shared" si="210"/>
        <v>8.7200000000000003E-3</v>
      </c>
      <c r="G231">
        <f t="shared" si="211"/>
        <v>2.3555E-2</v>
      </c>
      <c r="H231">
        <f t="shared" si="212"/>
        <v>3.3614119999999996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1.4039999999999999E-2</v>
      </c>
      <c r="M231">
        <f>I66+E66</f>
        <v>11.368075000000001</v>
      </c>
      <c r="P231" s="23"/>
      <c r="Q231" t="s">
        <v>36</v>
      </c>
      <c r="R231">
        <f t="shared" si="216"/>
        <v>8.7399999999999995E-3</v>
      </c>
      <c r="S231">
        <f t="shared" si="217"/>
        <v>2.3610000000000003E-2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1.4080000000000001E-2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23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24"/>
      <c r="D236" s="23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23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24"/>
      <c r="D237" s="23"/>
      <c r="E237" t="s">
        <v>36</v>
      </c>
      <c r="F237">
        <f t="shared" si="220"/>
        <v>8.7799999999999996E-3</v>
      </c>
      <c r="G237">
        <f t="shared" si="221"/>
        <v>2.3720000000000001E-2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1.4160000000000002E-2</v>
      </c>
      <c r="P237" s="23"/>
      <c r="Q237" t="s">
        <v>36</v>
      </c>
      <c r="R237">
        <f t="shared" si="224"/>
        <v>8.8199999999999997E-3</v>
      </c>
      <c r="S237">
        <f t="shared" si="225"/>
        <v>2.3829999999999997E-2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1.4239999999999999E-2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2"/>
      <c r="P243" s="23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24"/>
      <c r="C244" s="22"/>
      <c r="D244" s="23"/>
      <c r="E244" t="s">
        <v>36</v>
      </c>
      <c r="F244">
        <f t="shared" si="228"/>
        <v>8.7399999999999995E-3</v>
      </c>
      <c r="G244">
        <f t="shared" si="229"/>
        <v>2.3610000000000003E-2</v>
      </c>
      <c r="H244">
        <f t="shared" si="230"/>
        <v>5.0287039999999994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1.4079750000000002E-2</v>
      </c>
      <c r="M244">
        <f>M66+I66+E66</f>
        <v>16.917954000000002</v>
      </c>
      <c r="O244" s="22"/>
      <c r="P244" s="23"/>
      <c r="Q244" t="s">
        <v>36</v>
      </c>
      <c r="R244">
        <f t="shared" si="234"/>
        <v>8.7800000000000013E-3</v>
      </c>
      <c r="S244">
        <f t="shared" si="235"/>
        <v>2.3720000000000001E-2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1.4159000000000001E-2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2"/>
      <c r="P249" s="23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24"/>
      <c r="C250" s="22"/>
      <c r="D250" s="23"/>
      <c r="E250" t="s">
        <v>36</v>
      </c>
      <c r="F250">
        <f t="shared" si="238"/>
        <v>8.8599999999999998E-3</v>
      </c>
      <c r="G250">
        <f t="shared" si="239"/>
        <v>2.3939999999999999E-2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1.4316000000000001E-2</v>
      </c>
      <c r="O250" s="22"/>
      <c r="P250" s="23"/>
      <c r="Q250" t="s">
        <v>36</v>
      </c>
      <c r="R250">
        <f t="shared" si="242"/>
        <v>8.94E-3</v>
      </c>
      <c r="S250">
        <f t="shared" si="243"/>
        <v>2.4160000000000001E-2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1.4471000000000001E-2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6"/>
      <c r="O256" s="22"/>
      <c r="P256" s="23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6"/>
        <v>8.7599999999999987E-3</v>
      </c>
      <c r="G257">
        <f t="shared" si="247"/>
        <v>2.3664987499999998E-2</v>
      </c>
      <c r="H257">
        <f t="shared" si="248"/>
        <v>6.6569929999999999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1.4119262499999998E-2</v>
      </c>
      <c r="M257">
        <f>Q66+M66+I66+E66</f>
        <v>22.509003999999997</v>
      </c>
      <c r="N257" s="26"/>
      <c r="O257" s="22"/>
      <c r="P257" s="23"/>
      <c r="Q257" t="s">
        <v>36</v>
      </c>
      <c r="R257">
        <f t="shared" si="252"/>
        <v>8.8199999999999997E-3</v>
      </c>
      <c r="S257">
        <f t="shared" si="253"/>
        <v>2.3829900000000001E-2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1.4237099999999999E-2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6"/>
      <c r="O262" s="22"/>
      <c r="P262" s="23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6"/>
        <v>8.94E-3</v>
      </c>
      <c r="G263">
        <f t="shared" si="257"/>
        <v>2.4159199999999999E-2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1.44688E-2</v>
      </c>
      <c r="N263" s="26"/>
      <c r="O263" s="22"/>
      <c r="P263" s="23"/>
      <c r="Q263" t="s">
        <v>36</v>
      </c>
      <c r="R263">
        <f t="shared" si="260"/>
        <v>9.0600000000000003E-3</v>
      </c>
      <c r="S263">
        <f t="shared" si="261"/>
        <v>2.4487300000000004E-2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1.4695699999999999E-2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17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3">
        <v>4.9099999999999998E-2</v>
      </c>
      <c r="D13" s="3">
        <v>4.9299999999999997E-2</v>
      </c>
      <c r="E13">
        <v>1.3602449999999999</v>
      </c>
      <c r="F13" t="s">
        <v>22</v>
      </c>
      <c r="G13" s="3">
        <v>5.16E-2</v>
      </c>
      <c r="H13" s="3">
        <v>5.1799999999999999E-2</v>
      </c>
      <c r="I13">
        <v>1.2914559999999999</v>
      </c>
      <c r="J13" t="s">
        <v>22</v>
      </c>
      <c r="K13">
        <v>5.4100000000000002E-2</v>
      </c>
      <c r="L13">
        <v>5.4300000000000001E-2</v>
      </c>
      <c r="M13">
        <v>1.351588</v>
      </c>
      <c r="N13" t="s">
        <v>22</v>
      </c>
      <c r="O13">
        <v>5.6500000000000002E-2</v>
      </c>
      <c r="P13">
        <v>5.67E-2</v>
      </c>
      <c r="Q13">
        <v>1.352805</v>
      </c>
      <c r="S13" s="24"/>
      <c r="T13" t="s">
        <v>22</v>
      </c>
      <c r="U13" s="3">
        <v>4.1799999999999997E-2</v>
      </c>
      <c r="V13" s="3">
        <v>4.4900000000000002E-2</v>
      </c>
      <c r="W13">
        <v>1.353143</v>
      </c>
      <c r="X13" t="s">
        <v>22</v>
      </c>
      <c r="Y13" s="3">
        <v>4.3799999999999999E-2</v>
      </c>
      <c r="Z13" s="3">
        <v>4.7100000000000003E-2</v>
      </c>
      <c r="AA13">
        <v>1.3603890000000001</v>
      </c>
      <c r="AB13" t="s">
        <v>22</v>
      </c>
      <c r="AC13">
        <v>4.58E-2</v>
      </c>
      <c r="AD13">
        <v>4.9299999999999997E-2</v>
      </c>
      <c r="AE13">
        <v>1.283798</v>
      </c>
      <c r="AF13" t="s">
        <v>22</v>
      </c>
      <c r="AG13">
        <v>4.7699999999999999E-2</v>
      </c>
      <c r="AH13">
        <v>5.1499999999999997E-2</v>
      </c>
      <c r="AI13">
        <v>1.3242400000000001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s="12" t="s">
        <v>22</v>
      </c>
      <c r="C20" s="13">
        <v>4.9099999999999998E-2</v>
      </c>
      <c r="D20" s="13">
        <v>4.9299999999999997E-2</v>
      </c>
      <c r="E20" s="12">
        <v>496.486221</v>
      </c>
      <c r="F20" t="s">
        <v>22</v>
      </c>
      <c r="G20" s="3">
        <v>5.16E-2</v>
      </c>
      <c r="H20" s="3">
        <v>5.1799999999999999E-2</v>
      </c>
      <c r="I20">
        <v>705.90328499999998</v>
      </c>
      <c r="J20" t="s">
        <v>22</v>
      </c>
      <c r="K20">
        <v>5.4100000000000002E-2</v>
      </c>
      <c r="L20">
        <v>5.4300000000000001E-2</v>
      </c>
      <c r="M20">
        <v>379.18828300000001</v>
      </c>
      <c r="N20" t="s">
        <v>22</v>
      </c>
      <c r="O20">
        <v>5.6500000000000002E-2</v>
      </c>
      <c r="P20">
        <v>5.67E-2</v>
      </c>
      <c r="Q20">
        <v>455.67273299999999</v>
      </c>
      <c r="S20" s="20"/>
      <c r="T20" t="s">
        <v>22</v>
      </c>
      <c r="U20" s="27">
        <v>9.4999999999999998E-3</v>
      </c>
      <c r="V20" s="27">
        <v>9.5999999999999992E-3</v>
      </c>
      <c r="W20" s="28">
        <v>500.27729399999998</v>
      </c>
      <c r="X20" t="s">
        <v>22</v>
      </c>
      <c r="Y20" s="3">
        <v>4.41E-2</v>
      </c>
      <c r="Z20" s="3">
        <v>4.7100000000000003E-2</v>
      </c>
      <c r="AA20">
        <v>389.25094799999999</v>
      </c>
      <c r="AB20" t="s">
        <v>22</v>
      </c>
      <c r="AC20">
        <v>4.5999999999999999E-2</v>
      </c>
      <c r="AD20">
        <v>4.9299999999999997E-2</v>
      </c>
      <c r="AE20">
        <v>472.09335800000002</v>
      </c>
      <c r="AF20" t="s">
        <v>22</v>
      </c>
      <c r="AG20">
        <v>4.7899999999999998E-2</v>
      </c>
      <c r="AH20">
        <v>5.1499999999999997E-2</v>
      </c>
      <c r="AI20">
        <v>476.46832000000001</v>
      </c>
    </row>
    <row r="21" spans="1:35" x14ac:dyDescent="0.25">
      <c r="U21" t="s">
        <v>47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4.9399999999999999E-2</v>
      </c>
      <c r="C25" s="4"/>
      <c r="D25" s="4"/>
      <c r="E25">
        <v>4.3682499999999997</v>
      </c>
      <c r="F25" s="4">
        <v>5.1799999999999999E-2</v>
      </c>
      <c r="G25" s="4"/>
      <c r="H25" s="4"/>
      <c r="I25">
        <v>4.3668310000000004</v>
      </c>
      <c r="J25" s="9">
        <v>5.4300000000000001E-2</v>
      </c>
      <c r="K25" s="9"/>
      <c r="L25" s="9"/>
      <c r="M25">
        <v>4.348236</v>
      </c>
      <c r="N25" s="9">
        <v>5.6800000000000003E-2</v>
      </c>
      <c r="O25" s="9"/>
      <c r="P25" s="9"/>
      <c r="Q25">
        <v>4.4097340000000003</v>
      </c>
      <c r="S25" s="25"/>
      <c r="T25" s="4">
        <v>4.3900000000000002E-2</v>
      </c>
      <c r="U25" s="4"/>
      <c r="V25" s="4"/>
      <c r="W25">
        <v>4.4606630000000003</v>
      </c>
      <c r="X25" s="4">
        <v>4.5999999999999999E-2</v>
      </c>
      <c r="Y25" s="4"/>
      <c r="Z25" s="4"/>
      <c r="AA25">
        <v>4.4273210000000001</v>
      </c>
      <c r="AB25" s="9">
        <v>4.8099999999999997E-2</v>
      </c>
      <c r="AC25" s="9"/>
      <c r="AD25" s="9"/>
      <c r="AE25">
        <v>4.4337730000000004</v>
      </c>
      <c r="AF25" s="9">
        <v>5.0200000000000002E-2</v>
      </c>
      <c r="AG25" s="9"/>
      <c r="AH25" s="9"/>
      <c r="AI25">
        <v>4.3742169999999998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2.6599999999999999E-2</v>
      </c>
      <c r="D34" s="3">
        <v>3.9100000000000003E-2</v>
      </c>
      <c r="E34">
        <v>1.3445480000000001</v>
      </c>
      <c r="F34" t="s">
        <v>22</v>
      </c>
      <c r="G34" s="3">
        <v>2.7900000000000001E-2</v>
      </c>
      <c r="H34" s="3">
        <v>4.1000000000000002E-2</v>
      </c>
      <c r="I34">
        <v>1.408093</v>
      </c>
      <c r="J34" t="s">
        <v>22</v>
      </c>
      <c r="K34">
        <v>2.9000000000000001E-2</v>
      </c>
      <c r="L34">
        <v>4.2999999999999997E-2</v>
      </c>
      <c r="M34">
        <v>1.382952</v>
      </c>
      <c r="N34" t="s">
        <v>22</v>
      </c>
      <c r="O34">
        <v>3.0200000000000001E-2</v>
      </c>
      <c r="P34">
        <v>4.4900000000000002E-2</v>
      </c>
      <c r="Q34">
        <v>1.3529340000000001</v>
      </c>
      <c r="S34" s="24"/>
      <c r="T34" t="s">
        <v>22</v>
      </c>
      <c r="U34" s="3">
        <v>1.6199999999999999E-2</v>
      </c>
      <c r="V34" s="3">
        <v>3.1399999999999997E-2</v>
      </c>
      <c r="W34">
        <v>1.318765</v>
      </c>
      <c r="X34" t="s">
        <v>22</v>
      </c>
      <c r="Y34" s="3">
        <v>1.7000000000000001E-2</v>
      </c>
      <c r="Z34" s="3">
        <v>3.3000000000000002E-2</v>
      </c>
      <c r="AA34">
        <v>1.334697</v>
      </c>
      <c r="AB34" t="s">
        <v>22</v>
      </c>
      <c r="AC34" s="3">
        <v>1.7899999999999999E-2</v>
      </c>
      <c r="AD34" s="3">
        <v>3.4599999999999999E-2</v>
      </c>
      <c r="AE34">
        <v>1.32972</v>
      </c>
      <c r="AF34" t="s">
        <v>22</v>
      </c>
      <c r="AG34" s="3">
        <v>1.8700000000000001E-2</v>
      </c>
      <c r="AH34" s="3">
        <v>3.61E-2</v>
      </c>
      <c r="AI34">
        <v>1.3267990000000001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2.6599999999999999E-2</v>
      </c>
      <c r="D41" s="3">
        <v>3.9100000000000003E-2</v>
      </c>
      <c r="E41">
        <v>495.60463199999998</v>
      </c>
      <c r="F41" t="s">
        <v>22</v>
      </c>
      <c r="G41" s="3">
        <v>2.9399999999999999E-2</v>
      </c>
      <c r="H41" s="3">
        <v>4.1000000000000002E-2</v>
      </c>
      <c r="I41">
        <v>662.66430100000002</v>
      </c>
      <c r="J41" t="s">
        <v>22</v>
      </c>
      <c r="K41">
        <v>3.0499999999999999E-2</v>
      </c>
      <c r="L41">
        <v>4.2900000000000001E-2</v>
      </c>
      <c r="M41">
        <v>671.14619000000005</v>
      </c>
      <c r="N41" t="s">
        <v>22</v>
      </c>
      <c r="O41">
        <v>3.15E-2</v>
      </c>
      <c r="P41">
        <v>4.48E-2</v>
      </c>
      <c r="Q41">
        <v>615.17974800000002</v>
      </c>
      <c r="S41" s="20"/>
      <c r="T41" t="s">
        <v>22</v>
      </c>
      <c r="U41" s="3">
        <v>1.6199999999999999E-2</v>
      </c>
      <c r="V41" s="3">
        <v>3.1399999999999997E-2</v>
      </c>
      <c r="W41">
        <v>496.92159199999998</v>
      </c>
      <c r="X41" t="s">
        <v>22</v>
      </c>
      <c r="Y41" s="3">
        <v>1.8599999999999998E-2</v>
      </c>
      <c r="Z41" s="3">
        <v>3.2899999999999999E-2</v>
      </c>
      <c r="AA41">
        <v>399.948936</v>
      </c>
      <c r="AB41" t="s">
        <v>22</v>
      </c>
      <c r="AC41" s="3">
        <v>1.9300000000000001E-2</v>
      </c>
      <c r="AD41" s="3">
        <v>3.4299999999999997E-2</v>
      </c>
      <c r="AE41">
        <v>403.51999799999999</v>
      </c>
      <c r="AF41" t="s">
        <v>22</v>
      </c>
      <c r="AG41" s="3">
        <v>2.0299999999999999E-2</v>
      </c>
      <c r="AH41" s="3">
        <v>3.5700000000000003E-2</v>
      </c>
      <c r="AI41">
        <v>465.48550999999998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3.5400000000000001E-2</v>
      </c>
      <c r="C46" s="4"/>
      <c r="D46" s="4"/>
      <c r="E46">
        <v>4.333901</v>
      </c>
      <c r="F46" s="4">
        <v>3.7199999999999997E-2</v>
      </c>
      <c r="G46" s="4"/>
      <c r="H46" s="4"/>
      <c r="I46">
        <v>4.3480220000000003</v>
      </c>
      <c r="J46" s="9">
        <v>3.8899999999999997E-2</v>
      </c>
      <c r="K46" s="9"/>
      <c r="L46" s="9"/>
      <c r="M46">
        <v>4.4365769999999998</v>
      </c>
      <c r="N46" s="9">
        <v>4.0599999999999997E-2</v>
      </c>
      <c r="O46" s="9"/>
      <c r="P46" s="9"/>
      <c r="Q46">
        <v>4.3677979999999996</v>
      </c>
      <c r="S46" s="25"/>
      <c r="T46" s="4">
        <v>2.5000000000000001E-2</v>
      </c>
      <c r="U46" s="4"/>
      <c r="V46" s="4"/>
      <c r="W46">
        <v>4.3586280000000004</v>
      </c>
      <c r="X46" s="4">
        <v>2.64E-2</v>
      </c>
      <c r="Y46" s="4"/>
      <c r="Z46" s="4"/>
      <c r="AA46">
        <v>4.4073580000000003</v>
      </c>
      <c r="AB46" s="4">
        <v>2.76E-2</v>
      </c>
      <c r="AC46" s="4"/>
      <c r="AD46" s="4"/>
      <c r="AE46">
        <v>4.4458380000000002</v>
      </c>
      <c r="AF46" s="4">
        <v>2.8799999999999999E-2</v>
      </c>
      <c r="AG46" s="4"/>
      <c r="AH46" s="4"/>
      <c r="AI46">
        <v>4.3572819999999997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8.5000000000000006E-3</v>
      </c>
      <c r="D54" s="3">
        <v>1.9400000000000001E-2</v>
      </c>
      <c r="E54">
        <v>1.292246</v>
      </c>
      <c r="F54" t="s">
        <v>22</v>
      </c>
      <c r="G54" s="3">
        <v>8.9999999999999993E-3</v>
      </c>
      <c r="H54" s="3">
        <v>2.0500000000000001E-2</v>
      </c>
      <c r="I54">
        <v>1.308878</v>
      </c>
      <c r="J54" t="s">
        <v>22</v>
      </c>
      <c r="K54" s="3">
        <v>9.4999999999999998E-3</v>
      </c>
      <c r="L54" s="3">
        <v>2.1600000000000001E-2</v>
      </c>
      <c r="M54">
        <v>1.304656</v>
      </c>
      <c r="N54" t="s">
        <v>22</v>
      </c>
      <c r="O54" s="3">
        <v>0.01</v>
      </c>
      <c r="P54" s="3">
        <v>2.2700000000000001E-2</v>
      </c>
      <c r="Q54">
        <v>1.2960929999999999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8.5000000000000006E-3</v>
      </c>
      <c r="D61" s="3">
        <v>1.9400000000000001E-2</v>
      </c>
      <c r="E61">
        <v>364.93248999999997</v>
      </c>
      <c r="F61" t="s">
        <v>22</v>
      </c>
      <c r="G61" s="3">
        <v>1.04E-2</v>
      </c>
      <c r="H61" s="3">
        <v>1.8800000000000001E-2</v>
      </c>
      <c r="I61">
        <v>458.78609</v>
      </c>
      <c r="J61" t="s">
        <v>22</v>
      </c>
      <c r="K61" s="3">
        <v>1.0999999999999999E-2</v>
      </c>
      <c r="L61" s="3">
        <v>1.7600000000000001E-2</v>
      </c>
      <c r="M61">
        <v>414.27226200000001</v>
      </c>
      <c r="N61" t="s">
        <v>22</v>
      </c>
      <c r="O61" s="3">
        <v>1.1599999999999999E-2</v>
      </c>
      <c r="P61" s="3">
        <v>1.9E-2</v>
      </c>
      <c r="Q61">
        <v>341.30388299999998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1.29E-2</v>
      </c>
      <c r="C66" s="4"/>
      <c r="D66" s="4"/>
      <c r="E66">
        <v>4.3606769999999999</v>
      </c>
      <c r="F66" s="4">
        <v>1.38E-2</v>
      </c>
      <c r="G66" s="4"/>
      <c r="H66" s="4"/>
      <c r="I66">
        <v>4.3728280000000002</v>
      </c>
      <c r="J66" s="4">
        <v>1.46E-2</v>
      </c>
      <c r="K66" s="4"/>
      <c r="L66" s="4"/>
      <c r="M66">
        <v>4.4192790000000004</v>
      </c>
      <c r="N66" s="4">
        <v>1.52E-2</v>
      </c>
      <c r="O66" s="4"/>
      <c r="P66" s="4"/>
      <c r="Q66">
        <v>4.4086679999999996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4.9224999999999998E-2</v>
      </c>
      <c r="G75">
        <f t="shared" si="1"/>
        <v>4.9424999999999997E-2</v>
      </c>
      <c r="H75">
        <f t="shared" si="2"/>
        <v>2.6517010000000001</v>
      </c>
      <c r="I75">
        <f t="shared" si="3"/>
        <v>4.9224999999999998E-2</v>
      </c>
      <c r="J75">
        <f t="shared" si="4"/>
        <v>4.9424999999999997E-2</v>
      </c>
      <c r="K75">
        <f t="shared" si="5"/>
        <v>1202.389506</v>
      </c>
      <c r="L75">
        <f>0.05*F25+(1-0.05)*B25</f>
        <v>4.9520000000000002E-2</v>
      </c>
      <c r="M75">
        <f>I25+E25</f>
        <v>8.735081000000001</v>
      </c>
      <c r="P75" s="23"/>
      <c r="Q75" t="s">
        <v>36</v>
      </c>
      <c r="R75">
        <f t="shared" si="6"/>
        <v>4.9349999999999998E-2</v>
      </c>
      <c r="S75">
        <f t="shared" si="7"/>
        <v>4.9549999999999997E-2</v>
      </c>
      <c r="U75">
        <f t="shared" si="8"/>
        <v>4.9349999999999998E-2</v>
      </c>
      <c r="V75">
        <f t="shared" si="9"/>
        <v>4.9549999999999997E-2</v>
      </c>
      <c r="X75">
        <f>0.1*F25+(1-0.1)*B25</f>
        <v>4.9640000000000004E-2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23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23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24"/>
      <c r="D81" s="23"/>
      <c r="E81" t="s">
        <v>36</v>
      </c>
      <c r="F81">
        <f t="shared" si="10"/>
        <v>4.9600000000000005E-2</v>
      </c>
      <c r="G81">
        <f>0.2*H13+(1-0.2)*D13</f>
        <v>4.9800000000000004E-2</v>
      </c>
      <c r="I81">
        <f t="shared" si="11"/>
        <v>4.9600000000000005E-2</v>
      </c>
      <c r="J81">
        <f t="shared" si="12"/>
        <v>4.9800000000000004E-2</v>
      </c>
      <c r="L81">
        <f>0.2*F25+(1-0.2)*B25</f>
        <v>4.9880000000000001E-2</v>
      </c>
      <c r="P81" s="23"/>
      <c r="Q81" t="s">
        <v>36</v>
      </c>
      <c r="R81">
        <f t="shared" si="13"/>
        <v>4.9849999999999998E-2</v>
      </c>
      <c r="S81">
        <f t="shared" si="14"/>
        <v>5.004999999999999E-2</v>
      </c>
      <c r="U81">
        <f t="shared" si="15"/>
        <v>4.9849999999999998E-2</v>
      </c>
      <c r="V81">
        <f t="shared" si="16"/>
        <v>5.004999999999999E-2</v>
      </c>
      <c r="X81">
        <f>0.3*F25+(1-0.3)*B25</f>
        <v>5.0119999999999998E-2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2" t="s">
        <v>40</v>
      </c>
      <c r="P86" s="23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2"/>
      <c r="P87" s="23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24"/>
      <c r="C88" s="22"/>
      <c r="D88" s="23"/>
      <c r="E88" t="s">
        <v>36</v>
      </c>
      <c r="F88">
        <f t="shared" si="17"/>
        <v>4.9350000000000005E-2</v>
      </c>
      <c r="G88">
        <f t="shared" si="18"/>
        <v>4.9549999999999997E-2</v>
      </c>
      <c r="H88">
        <f t="shared" si="19"/>
        <v>4.0032889999999997</v>
      </c>
      <c r="I88">
        <f t="shared" si="20"/>
        <v>4.9350000000000005E-2</v>
      </c>
      <c r="J88">
        <f t="shared" si="21"/>
        <v>4.9549999999999997E-2</v>
      </c>
      <c r="K88">
        <f t="shared" si="22"/>
        <v>1581.5777889999999</v>
      </c>
      <c r="L88">
        <f>(0.05*(1-0.05)+0.05*(1-0.05))*F25+0.05*0.05*J25+(1-0.05*(1-0.05)-0.05*(1-0.05)-0.05*0.05)*B25</f>
        <v>4.9640250000000004E-2</v>
      </c>
      <c r="M88">
        <f>M25+I25+E25</f>
        <v>13.083317000000001</v>
      </c>
      <c r="O88" s="22"/>
      <c r="P88" s="23"/>
      <c r="Q88" t="s">
        <v>36</v>
      </c>
      <c r="R88">
        <f t="shared" si="23"/>
        <v>4.9600000000000005E-2</v>
      </c>
      <c r="S88">
        <f t="shared" si="24"/>
        <v>4.9800000000000004E-2</v>
      </c>
      <c r="U88">
        <f t="shared" si="25"/>
        <v>4.9600000000000005E-2</v>
      </c>
      <c r="V88">
        <f t="shared" si="26"/>
        <v>4.9800000000000004E-2</v>
      </c>
      <c r="X88">
        <f>(0.1*0.9+0.1*0.9)*F25+0.1*0.1*J25+(1-0.1*0.9-0.1*0.9-0.1*0.1)*B25</f>
        <v>4.9881000000000002E-2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2"/>
      <c r="P93" s="23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24"/>
      <c r="C94" s="22"/>
      <c r="D94" s="23"/>
      <c r="E94" t="s">
        <v>36</v>
      </c>
      <c r="F94">
        <f t="shared" si="27"/>
        <v>5.0099999999999992E-2</v>
      </c>
      <c r="G94">
        <f t="shared" si="28"/>
        <v>5.0299999999999997E-2</v>
      </c>
      <c r="I94">
        <f t="shared" si="29"/>
        <v>5.0099999999999992E-2</v>
      </c>
      <c r="J94">
        <f t="shared" si="30"/>
        <v>5.0299999999999997E-2</v>
      </c>
      <c r="L94">
        <f>(0.2*0.8+0.2*0.8)*F25+0.2*0.2*J25+(1-0.2*0.8-0.2*0.8-0.2*0.2)*B25</f>
        <v>5.0364000000000006E-2</v>
      </c>
      <c r="O94" s="22"/>
      <c r="P94" s="23"/>
      <c r="Q94" t="s">
        <v>36</v>
      </c>
      <c r="R94">
        <f t="shared" si="31"/>
        <v>5.0600000000000006E-2</v>
      </c>
      <c r="S94">
        <f t="shared" si="32"/>
        <v>5.0799999999999998E-2</v>
      </c>
      <c r="U94">
        <f t="shared" si="33"/>
        <v>5.0600000000000006E-2</v>
      </c>
      <c r="V94">
        <f t="shared" si="34"/>
        <v>5.0799999999999998E-2</v>
      </c>
      <c r="X94">
        <f>(0.3*0.7+0.3*0.7)*F25+0.3*0.3*J25+(1-0.3*0.7-0.3*0.7-0.3*0.3)*B25</f>
        <v>5.0849000000000005E-2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6"/>
      <c r="O100" s="22"/>
      <c r="P100" s="23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5"/>
        <v>4.9474987499999991E-2</v>
      </c>
      <c r="G101">
        <f t="shared" si="36"/>
        <v>4.967498749999999E-2</v>
      </c>
      <c r="H101">
        <f>Q13+M13+I11+E13</f>
        <v>4.0646380000000004</v>
      </c>
      <c r="I101">
        <f t="shared" si="37"/>
        <v>4.9474987499999991E-2</v>
      </c>
      <c r="J101">
        <f t="shared" si="38"/>
        <v>4.967498749999999E-2</v>
      </c>
      <c r="K101">
        <f t="shared" si="39"/>
        <v>2037.2505219999998</v>
      </c>
      <c r="L101">
        <f>3*0.05*(1-0.05)*(1-0.05)*F25+3*0.05*0.05*(1-0.05)*J25+0.05*0.05*0.05*N25+(1-3*0.05*(1-0.05)*(1-0.05)-3*0.05*0.05*(1-0.05)-0.05*0.05*0.05)*B25</f>
        <v>4.9760737499999992E-2</v>
      </c>
      <c r="M101">
        <f>Q25+M25+I25+E25</f>
        <v>17.493051000000001</v>
      </c>
      <c r="N101" s="26"/>
      <c r="O101" s="22"/>
      <c r="P101" s="23"/>
      <c r="Q101" t="s">
        <v>36</v>
      </c>
      <c r="R101">
        <f t="shared" si="40"/>
        <v>4.9849899999999996E-2</v>
      </c>
      <c r="S101">
        <f t="shared" si="41"/>
        <v>5.0049899999999994E-2</v>
      </c>
      <c r="U101">
        <f t="shared" si="42"/>
        <v>4.9849899999999996E-2</v>
      </c>
      <c r="V101">
        <f t="shared" si="43"/>
        <v>5.0049899999999994E-2</v>
      </c>
      <c r="X101">
        <f>3*0.1*(1-0.1)*(1-0.1)*F25+3*0.1*0.1*(1-0.1)*J25+0.1*0.1*0.1*N25+(1-3*0.1*(1-0.1)*(1-0.1)-3*0.1*0.1*(1-0.1)-0.1*0.1*0.1)*B25</f>
        <v>5.0122899999999998E-2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6"/>
      <c r="O106" s="22"/>
      <c r="P106" s="23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4"/>
        <v>5.0599199999999997E-2</v>
      </c>
      <c r="G107">
        <f t="shared" si="45"/>
        <v>5.0799199999999996E-2</v>
      </c>
      <c r="I107">
        <f t="shared" si="46"/>
        <v>5.0599199999999997E-2</v>
      </c>
      <c r="J107">
        <f t="shared" si="47"/>
        <v>5.0799199999999996E-2</v>
      </c>
      <c r="L107">
        <f>3*0.2*(1-0.2)*(1-0.2)*F25+3*0.2*0.2*(1-0.2)*J25+0.2*0.2*0.2*N25+(1-3*0.2*(1-0.2)*(1-0.2)-3*0.2*0.2*(1-0.2)-0.2*0.2*0.2)*B25</f>
        <v>5.0851199999999999E-2</v>
      </c>
      <c r="N107" s="26"/>
      <c r="O107" s="22"/>
      <c r="P107" s="23"/>
      <c r="Q107" t="s">
        <v>36</v>
      </c>
      <c r="R107">
        <f t="shared" si="48"/>
        <v>5.1347300000000005E-2</v>
      </c>
      <c r="S107">
        <f t="shared" si="49"/>
        <v>5.1547300000000004E-2</v>
      </c>
      <c r="U107">
        <f t="shared" si="50"/>
        <v>5.1347300000000005E-2</v>
      </c>
      <c r="V107">
        <f t="shared" si="51"/>
        <v>5.1547300000000004E-2</v>
      </c>
      <c r="X107">
        <f>3*0.3*(1-0.3)*(1-0.3)*F25+3*0.3*0.3*(1-0.3)*J25+0.3*0.3*0.3*N25+(1-3*0.3*(1-0.3)*(1-0.3)-3*0.3*0.3*(1-0.3)-0.3*0.3*0.3)*B25</f>
        <v>5.1584300000000013E-2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23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24"/>
      <c r="D113" s="23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23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24"/>
      <c r="D114" s="23"/>
      <c r="E114" t="s">
        <v>36</v>
      </c>
      <c r="F114">
        <f t="shared" si="52"/>
        <v>4.1899999999999993E-2</v>
      </c>
      <c r="G114">
        <f t="shared" si="53"/>
        <v>4.5010000000000001E-2</v>
      </c>
      <c r="H114">
        <f t="shared" si="54"/>
        <v>2.7135319999999998</v>
      </c>
      <c r="I114">
        <f t="shared" si="55"/>
        <v>1.123E-2</v>
      </c>
      <c r="J114">
        <f t="shared" si="56"/>
        <v>1.1474999999999999E-2</v>
      </c>
      <c r="K114">
        <f t="shared" si="57"/>
        <v>889.52824199999998</v>
      </c>
      <c r="L114">
        <f>0.05*X25+(1-0.05)*T25</f>
        <v>4.4005000000000002E-2</v>
      </c>
      <c r="M114">
        <f>AA25+W25</f>
        <v>8.8879839999999994</v>
      </c>
      <c r="P114" s="23"/>
      <c r="Q114" t="s">
        <v>36</v>
      </c>
      <c r="R114">
        <f t="shared" si="58"/>
        <v>4.2000000000000003E-2</v>
      </c>
      <c r="S114">
        <f t="shared" si="58"/>
        <v>4.512E-2</v>
      </c>
      <c r="U114">
        <f t="shared" si="59"/>
        <v>1.2959999999999999E-2</v>
      </c>
      <c r="V114">
        <f t="shared" si="60"/>
        <v>1.3350000000000001E-2</v>
      </c>
      <c r="X114">
        <f>0.1*X25+(1-0.1)*T25</f>
        <v>4.4110000000000003E-2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23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24"/>
      <c r="D119" s="23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23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24"/>
      <c r="D120" s="23"/>
      <c r="E120" t="s">
        <v>36</v>
      </c>
      <c r="F120">
        <f t="shared" si="61"/>
        <v>4.2200000000000001E-2</v>
      </c>
      <c r="G120">
        <f t="shared" si="62"/>
        <v>4.5340000000000005E-2</v>
      </c>
      <c r="I120">
        <f t="shared" si="63"/>
        <v>1.6420000000000001E-2</v>
      </c>
      <c r="J120">
        <f t="shared" si="64"/>
        <v>1.7100000000000001E-2</v>
      </c>
      <c r="L120">
        <f>0.2*X25+(1-0.2)*T25</f>
        <v>4.4320000000000005E-2</v>
      </c>
      <c r="P120" s="23"/>
      <c r="Q120" t="s">
        <v>36</v>
      </c>
      <c r="R120">
        <f t="shared" si="65"/>
        <v>4.2399999999999993E-2</v>
      </c>
      <c r="S120">
        <f t="shared" si="65"/>
        <v>4.5560000000000003E-2</v>
      </c>
      <c r="U120">
        <f t="shared" si="66"/>
        <v>1.9880000000000002E-2</v>
      </c>
      <c r="V120">
        <f t="shared" si="67"/>
        <v>2.085E-2</v>
      </c>
      <c r="X120">
        <f>0.3*X25+(1-0.3)*T25</f>
        <v>4.453E-2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2"/>
      <c r="P126" s="23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24"/>
      <c r="C127" s="22"/>
      <c r="D127" s="23"/>
      <c r="E127" t="s">
        <v>36</v>
      </c>
      <c r="F127">
        <f t="shared" si="68"/>
        <v>4.2000000000000003E-2</v>
      </c>
      <c r="G127">
        <f t="shared" si="69"/>
        <v>4.512E-2</v>
      </c>
      <c r="H127">
        <f t="shared" si="70"/>
        <v>3.9973299999999998</v>
      </c>
      <c r="I127">
        <f t="shared" si="71"/>
        <v>1.2878249999999999E-2</v>
      </c>
      <c r="J127">
        <f t="shared" si="72"/>
        <v>1.3261749999999999E-2</v>
      </c>
      <c r="K127">
        <f t="shared" si="73"/>
        <v>1361.6215999999999</v>
      </c>
      <c r="L127">
        <f>(0.05*(1-0.05)+0.05*(1-0.05))*X25+0.05*0.05*AB25+(1-0.05*(1-0.05)-0.05*(1-0.05)-0.05*0.05)*T25</f>
        <v>4.4110000000000003E-2</v>
      </c>
      <c r="M127">
        <f>AE25+AA25+W25</f>
        <v>13.321757000000002</v>
      </c>
      <c r="O127" s="22"/>
      <c r="P127" s="23"/>
      <c r="Q127" t="s">
        <v>36</v>
      </c>
      <c r="R127">
        <f t="shared" si="74"/>
        <v>4.2200000000000001E-2</v>
      </c>
      <c r="S127">
        <f t="shared" si="75"/>
        <v>4.5340000000000005E-2</v>
      </c>
      <c r="U127">
        <f t="shared" si="76"/>
        <v>1.6093000000000003E-2</v>
      </c>
      <c r="V127">
        <f t="shared" si="77"/>
        <v>1.6747000000000001E-2</v>
      </c>
      <c r="X127">
        <f>(0.1*0.9+0.1*0.9)*X25+0.1*0.1*AB25+(1-0.1*0.9-0.1*0.9-0.1*0.1)*T25</f>
        <v>4.4319999999999998E-2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2"/>
      <c r="P132" s="23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24"/>
      <c r="C133" s="22"/>
      <c r="D133" s="23"/>
      <c r="E133" t="s">
        <v>36</v>
      </c>
      <c r="F133">
        <f t="shared" si="78"/>
        <v>4.2599999999999999E-2</v>
      </c>
      <c r="G133">
        <f t="shared" si="79"/>
        <v>4.5780000000000001E-2</v>
      </c>
      <c r="I133">
        <f t="shared" si="80"/>
        <v>2.2032000000000003E-2</v>
      </c>
      <c r="J133">
        <f t="shared" si="81"/>
        <v>2.3188E-2</v>
      </c>
      <c r="L133">
        <f>(0.2*0.8+0.2*0.8)*X25+0.2*0.2*AB25+(1-0.2*0.8-0.2*0.8-0.2*0.2)*T25</f>
        <v>4.4740000000000002E-2</v>
      </c>
      <c r="O133" s="22"/>
      <c r="P133" s="23"/>
      <c r="Q133" t="s">
        <v>36</v>
      </c>
      <c r="R133">
        <f t="shared" si="82"/>
        <v>4.3000000000000003E-2</v>
      </c>
      <c r="S133">
        <f t="shared" si="83"/>
        <v>4.6220000000000011E-2</v>
      </c>
      <c r="U133">
        <f t="shared" si="84"/>
        <v>2.7317000000000001E-2</v>
      </c>
      <c r="V133">
        <f t="shared" si="85"/>
        <v>2.8923000000000001E-2</v>
      </c>
      <c r="X133">
        <f>(0.3*0.7+0.3*0.7)*X25+0.3*0.3*AB25+(1-0.3*0.7-0.3*0.7-0.3*0.3)*T25</f>
        <v>4.5160000000000006E-2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6"/>
      <c r="O139" s="22"/>
      <c r="P139" s="23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4.2140599999999993E-2</v>
      </c>
      <c r="G140">
        <f>3*0.05*(1-0.05)*(1-0.05)*Z20+3*0.05*0.05*(1-0.05)*AD13+0.05*0.05*0.05*AH13+(1-3*0.05*(1-0.05)*(1-0.05)-3*0.05*0.05*(1-0.05)-0.05*0.05*0.05)*V13</f>
        <v>4.5229999999999999E-2</v>
      </c>
      <c r="H140">
        <f>AI13+AE13+AA20+W13</f>
        <v>393.212129</v>
      </c>
      <c r="I140">
        <f t="shared" si="86"/>
        <v>1.4448837499999999E-2</v>
      </c>
      <c r="J140">
        <f t="shared" si="87"/>
        <v>1.49646625E-2</v>
      </c>
      <c r="K140">
        <f t="shared" si="88"/>
        <v>1838.0899199999999</v>
      </c>
      <c r="L140">
        <f>3*0.05*(1-0.05)*(1-0.05)*X25+3*0.05*0.05*(1-0.05)*AB25+0.05*0.05*0.05*AF25+(1-3*0.05*(1-0.05)*(1-0.05)-3*0.05*0.05*(1-0.05)-0.05*0.05*0.05)*T25</f>
        <v>4.4214999999999997E-2</v>
      </c>
      <c r="M140">
        <f>AI25+AE25+AA25+W25</f>
        <v>17.695974</v>
      </c>
      <c r="N140" s="26"/>
      <c r="O140" s="22"/>
      <c r="P140" s="23"/>
      <c r="Q140" t="s">
        <v>36</v>
      </c>
      <c r="R140">
        <f t="shared" si="89"/>
        <v>4.239989999999999E-2</v>
      </c>
      <c r="S140">
        <f t="shared" si="90"/>
        <v>4.5559999999999996E-2</v>
      </c>
      <c r="U140">
        <f t="shared" si="91"/>
        <v>1.8931700000000003E-2</v>
      </c>
      <c r="V140">
        <f t="shared" si="92"/>
        <v>1.9826300000000002E-2</v>
      </c>
      <c r="X140">
        <f>3*0.1*(1-0.1)*(1-0.1)*X25+3*0.1*0.1*(1-0.1)*AB25+0.1*0.1*0.1*AF25+(1-3*0.1*(1-0.1)*(1-0.1)-3*0.1*0.1*(1-0.1)-0.1*0.1*0.1)*T25</f>
        <v>4.453E-2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6"/>
      <c r="O145" s="22"/>
      <c r="P145" s="23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4.3114399999999997E-2</v>
      </c>
      <c r="G146">
        <f>3*0.2*(1-0.2)*(1-0.2)*Z20+3*0.2*0.2*(1-0.2)*AD13+0.2*0.2*0.2*AH13+(1-3*0.2*(1-0.2)*(1-0.2)-3*0.2*0.2*(1-0.2)-0.2*0.2*0.2)*V13</f>
        <v>4.6219999999999997E-2</v>
      </c>
      <c r="I146">
        <f t="shared" si="93"/>
        <v>2.6597600000000002E-2</v>
      </c>
      <c r="J146">
        <f t="shared" si="94"/>
        <v>2.8146400000000005E-2</v>
      </c>
      <c r="L146">
        <f>3*0.2*(1-0.2)*(1-0.2)*X25+3*0.2*0.2*(1-0.2)*AB25+0.2*0.2*0.2*AF25+(1-3*0.2*(1-0.2)*(1-0.2)-3*0.2*0.2*(1-0.2)-0.2*0.2*0.2)*T25</f>
        <v>4.5159999999999992E-2</v>
      </c>
      <c r="N146" s="26"/>
      <c r="O146" s="22"/>
      <c r="P146" s="23"/>
      <c r="Q146" t="s">
        <v>36</v>
      </c>
      <c r="R146">
        <f t="shared" si="95"/>
        <v>4.3597300000000005E-2</v>
      </c>
      <c r="S146">
        <f t="shared" si="96"/>
        <v>4.6880000000000005E-2</v>
      </c>
      <c r="U146">
        <f t="shared" si="97"/>
        <v>3.2693899999999998E-2</v>
      </c>
      <c r="V146">
        <f t="shared" si="98"/>
        <v>3.4772099999999993E-2</v>
      </c>
      <c r="X146">
        <f>3*0.3*(1-0.3)*(1-0.3)*X25+3*0.3*0.3*(1-0.3)*AB25+0.3*0.3*0.3*AF25+(1-3*0.3*(1-0.3)*(1-0.3)-3*0.3*0.3*(1-0.3)-0.3*0.3*0.3)*T25</f>
        <v>4.5790000000000004E-2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23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24"/>
      <c r="D152" s="23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23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24"/>
      <c r="D153" s="23"/>
      <c r="E153" t="s">
        <v>36</v>
      </c>
      <c r="F153">
        <f t="shared" si="99"/>
        <v>2.6664999999999998E-2</v>
      </c>
      <c r="G153">
        <f t="shared" si="100"/>
        <v>3.9195000000000001E-2</v>
      </c>
      <c r="H153">
        <f t="shared" si="101"/>
        <v>2.7526410000000001</v>
      </c>
      <c r="I153">
        <f t="shared" si="102"/>
        <v>2.6739999999999996E-2</v>
      </c>
      <c r="J153">
        <f t="shared" si="103"/>
        <v>3.9195000000000001E-2</v>
      </c>
      <c r="K153">
        <f t="shared" si="104"/>
        <v>1158.2689330000001</v>
      </c>
      <c r="L153">
        <f>0.05*F46+(1-0.05)*B46</f>
        <v>3.5490000000000001E-2</v>
      </c>
      <c r="M153">
        <f>I46+E46</f>
        <v>8.6819230000000012</v>
      </c>
      <c r="P153" s="23"/>
      <c r="Q153" t="s">
        <v>36</v>
      </c>
      <c r="R153">
        <f t="shared" si="105"/>
        <v>2.673E-2</v>
      </c>
      <c r="S153">
        <f t="shared" si="106"/>
        <v>3.9290000000000005E-2</v>
      </c>
      <c r="U153">
        <f t="shared" si="107"/>
        <v>2.6880000000000001E-2</v>
      </c>
      <c r="V153">
        <f t="shared" si="108"/>
        <v>3.9290000000000005E-2</v>
      </c>
      <c r="X153">
        <f>0.1*F46+(1-0.1)*B46</f>
        <v>3.5580000000000001E-2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23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24"/>
      <c r="D158" s="23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23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24"/>
      <c r="D159" s="23"/>
      <c r="E159" t="s">
        <v>36</v>
      </c>
      <c r="F159">
        <f t="shared" si="109"/>
        <v>2.6860000000000002E-2</v>
      </c>
      <c r="G159">
        <f t="shared" si="110"/>
        <v>3.9480000000000001E-2</v>
      </c>
      <c r="I159">
        <f t="shared" si="111"/>
        <v>2.716E-2</v>
      </c>
      <c r="J159">
        <f t="shared" si="112"/>
        <v>3.9480000000000001E-2</v>
      </c>
      <c r="L159">
        <f>0.2*F46+(1-0.2)*B46</f>
        <v>3.576E-2</v>
      </c>
      <c r="P159" s="23"/>
      <c r="Q159" t="s">
        <v>36</v>
      </c>
      <c r="R159">
        <f t="shared" si="113"/>
        <v>2.699E-2</v>
      </c>
      <c r="S159">
        <f t="shared" si="114"/>
        <v>3.9669999999999997E-2</v>
      </c>
      <c r="U159">
        <f t="shared" si="115"/>
        <v>2.7439999999999999E-2</v>
      </c>
      <c r="V159">
        <f t="shared" si="116"/>
        <v>3.9669999999999997E-2</v>
      </c>
      <c r="X159">
        <f>0.3*F46+(1-0.3)*B46</f>
        <v>3.594E-2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2"/>
      <c r="P165" s="23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24"/>
      <c r="C166" s="22"/>
      <c r="D166" s="23"/>
      <c r="E166" t="s">
        <v>36</v>
      </c>
      <c r="F166">
        <f t="shared" si="117"/>
        <v>2.67295E-2</v>
      </c>
      <c r="G166">
        <f t="shared" si="118"/>
        <v>3.9290250000000006E-2</v>
      </c>
      <c r="H166">
        <f t="shared" si="119"/>
        <v>4.1355930000000001</v>
      </c>
      <c r="I166">
        <f t="shared" si="120"/>
        <v>2.687575E-2</v>
      </c>
      <c r="J166">
        <f t="shared" si="121"/>
        <v>3.9290000000000005E-2</v>
      </c>
      <c r="K166">
        <f t="shared" si="122"/>
        <v>1829.4151230000002</v>
      </c>
      <c r="L166">
        <f>(0.05*(1-0.05)+0.05*(1-0.05))*F46+0.05*0.05*J46+(1-0.05*(1-0.05)-0.05*(1-0.05)-0.05*0.05)*B46</f>
        <v>3.5579750000000007E-2</v>
      </c>
      <c r="M166">
        <f>M46+I46+E46</f>
        <v>13.118500000000001</v>
      </c>
      <c r="O166" s="22"/>
      <c r="P166" s="23"/>
      <c r="Q166" t="s">
        <v>36</v>
      </c>
      <c r="R166">
        <f t="shared" si="123"/>
        <v>2.6858E-2</v>
      </c>
      <c r="S166">
        <f t="shared" si="124"/>
        <v>3.9481000000000002E-2</v>
      </c>
      <c r="U166">
        <f t="shared" si="125"/>
        <v>2.7143E-2</v>
      </c>
      <c r="V166">
        <f t="shared" si="126"/>
        <v>3.9480000000000008E-2</v>
      </c>
      <c r="X166">
        <f>(0.1*0.9+0.1*0.9)*F46+0.1*0.1*J46+(1-0.1*0.9-0.1*0.9-0.1*0.1)*B46</f>
        <v>3.5758999999999999E-2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2"/>
      <c r="P171" s="23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24"/>
      <c r="C172" s="22"/>
      <c r="D172" s="23"/>
      <c r="E172" t="s">
        <v>36</v>
      </c>
      <c r="F172">
        <f t="shared" si="127"/>
        <v>2.7111999999999997E-2</v>
      </c>
      <c r="G172">
        <f t="shared" si="128"/>
        <v>3.9863999999999997E-2</v>
      </c>
      <c r="I172">
        <f t="shared" si="129"/>
        <v>2.7651999999999999E-2</v>
      </c>
      <c r="J172">
        <f t="shared" si="130"/>
        <v>3.986E-2</v>
      </c>
      <c r="L172">
        <f>(0.2*0.8+0.2*0.8)*F46+0.2*0.2*J46+(1-0.2*0.8-0.2*0.8-0.2*0.2)*B46</f>
        <v>3.6115999999999995E-2</v>
      </c>
      <c r="O172" s="22"/>
      <c r="P172" s="23"/>
      <c r="Q172" t="s">
        <v>36</v>
      </c>
      <c r="R172">
        <f t="shared" si="131"/>
        <v>2.7362000000000001E-2</v>
      </c>
      <c r="S172">
        <f t="shared" si="132"/>
        <v>4.0249000000000007E-2</v>
      </c>
      <c r="U172">
        <f t="shared" si="133"/>
        <v>2.8126999999999999E-2</v>
      </c>
      <c r="V172">
        <f t="shared" si="134"/>
        <v>4.0240000000000005E-2</v>
      </c>
      <c r="X172">
        <f>(0.3*0.7+0.3*0.7)*F46+0.3*0.3*J46+(1-0.3*0.7-0.3*0.7-0.3*0.3)*B46</f>
        <v>3.6471000000000003E-2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6"/>
      <c r="O178" s="22"/>
      <c r="P178" s="23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5"/>
        <v>2.6793537499999995E-2</v>
      </c>
      <c r="G179">
        <f t="shared" si="136"/>
        <v>3.9385725000000003E-2</v>
      </c>
      <c r="H179">
        <f t="shared" si="137"/>
        <v>5.4885269999999995</v>
      </c>
      <c r="I179">
        <f t="shared" si="138"/>
        <v>2.7007449999999995E-2</v>
      </c>
      <c r="J179">
        <f t="shared" si="139"/>
        <v>3.9385000000000003E-2</v>
      </c>
      <c r="K179">
        <f t="shared" si="140"/>
        <v>2444.5948709999998</v>
      </c>
      <c r="L179">
        <f>3*0.05*(1-0.05)*(1-0.05)*F46+3*0.05*0.05*(1-0.05)*J46+0.05*0.05*0.05*N46+(1-3*0.05*(1-0.05)*(1-0.05)-3*0.05*0.05*(1-0.05)-0.05*0.05*0.05)*B46</f>
        <v>3.56692625E-2</v>
      </c>
      <c r="M179">
        <f>Q46+M46+I46+E46</f>
        <v>17.486298000000001</v>
      </c>
      <c r="N179" s="26"/>
      <c r="O179" s="22"/>
      <c r="P179" s="23"/>
      <c r="Q179" t="s">
        <v>36</v>
      </c>
      <c r="R179">
        <f t="shared" si="141"/>
        <v>2.6984299999999999E-2</v>
      </c>
      <c r="S179">
        <f t="shared" si="142"/>
        <v>3.9672800000000001E-2</v>
      </c>
      <c r="U179">
        <f t="shared" si="143"/>
        <v>2.7390600000000001E-2</v>
      </c>
      <c r="V179">
        <f t="shared" si="144"/>
        <v>3.9670000000000004E-2</v>
      </c>
      <c r="X179">
        <f>3*0.1*(1-0.1)*(1-0.1)*F46+3*0.1*0.1*(1-0.1)*J46+0.1*0.1*0.1*N46+(1-3*0.1*(1-0.1)*(1-0.1)-3*0.1*0.1*(1-0.1)-0.1*0.1*0.1)*B46</f>
        <v>3.59371E-2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6"/>
      <c r="O184" s="22"/>
      <c r="P184" s="23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5"/>
        <v>2.7358399999999998E-2</v>
      </c>
      <c r="G185">
        <f t="shared" si="146"/>
        <v>4.0250399999999999E-2</v>
      </c>
      <c r="I185">
        <f t="shared" si="147"/>
        <v>2.8088799999999997E-2</v>
      </c>
      <c r="J185">
        <f t="shared" si="148"/>
        <v>4.0239999999999998E-2</v>
      </c>
      <c r="L185">
        <f>3*0.2*(1-0.2)*(1-0.2)*F46+3*0.2*0.2*(1-0.2)*J46+0.2*0.2*0.2*N46+(1-3*0.2*(1-0.2)*(1-0.2)-3*0.2*0.2*(1-0.2)-0.2*0.2*0.2)*B46</f>
        <v>3.6468799999999996E-2</v>
      </c>
      <c r="N185" s="26"/>
      <c r="O185" s="22"/>
      <c r="P185" s="23"/>
      <c r="Q185" t="s">
        <v>36</v>
      </c>
      <c r="R185">
        <f t="shared" si="149"/>
        <v>2.7724100000000005E-2</v>
      </c>
      <c r="S185">
        <f t="shared" si="150"/>
        <v>4.0831600000000003E-2</v>
      </c>
      <c r="U185">
        <f t="shared" si="151"/>
        <v>2.8704199999999999E-2</v>
      </c>
      <c r="V185">
        <f t="shared" si="152"/>
        <v>4.0809999999999999E-2</v>
      </c>
      <c r="X185">
        <f>3*0.3*(1-0.3)*(1-0.3)*F46+3*0.3*0.3*(1-0.3)*J46+0.3*0.3*0.3*N46+(1-3*0.3*(1-0.3)*(1-0.3)-3*0.3*0.3*(1-0.3)-0.3*0.3*0.3)*B46</f>
        <v>3.6995699999999999E-2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23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24"/>
      <c r="D191" s="23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23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24"/>
      <c r="D192" s="23"/>
      <c r="E192" t="s">
        <v>36</v>
      </c>
      <c r="F192">
        <f t="shared" si="153"/>
        <v>1.6239999999999997E-2</v>
      </c>
      <c r="G192">
        <f t="shared" si="154"/>
        <v>3.1479999999999994E-2</v>
      </c>
      <c r="H192">
        <f t="shared" si="155"/>
        <v>2.6534620000000002</v>
      </c>
      <c r="I192">
        <f t="shared" si="156"/>
        <v>1.6319999999999998E-2</v>
      </c>
      <c r="J192">
        <f t="shared" si="157"/>
        <v>3.1474999999999996E-2</v>
      </c>
      <c r="K192">
        <f t="shared" si="158"/>
        <v>896.87052799999992</v>
      </c>
      <c r="L192">
        <f>0.05*X46+(1-0.05)*T46</f>
        <v>2.5070000000000002E-2</v>
      </c>
      <c r="M192">
        <f>AA46+W46</f>
        <v>8.7659860000000016</v>
      </c>
      <c r="P192" s="23"/>
      <c r="Q192" t="s">
        <v>36</v>
      </c>
      <c r="R192">
        <f t="shared" si="159"/>
        <v>1.6279999999999999E-2</v>
      </c>
      <c r="S192">
        <f t="shared" si="160"/>
        <v>3.1559999999999998E-2</v>
      </c>
      <c r="U192">
        <f t="shared" si="161"/>
        <v>1.644E-2</v>
      </c>
      <c r="V192">
        <f t="shared" si="162"/>
        <v>3.1549999999999995E-2</v>
      </c>
      <c r="X192">
        <f>0.1*X46+(1-0.1)*T46</f>
        <v>2.5140000000000003E-2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23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24"/>
      <c r="D197" s="23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23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24"/>
      <c r="D198" s="23"/>
      <c r="E198" t="s">
        <v>36</v>
      </c>
      <c r="F198">
        <f t="shared" si="163"/>
        <v>1.636E-2</v>
      </c>
      <c r="G198">
        <f t="shared" si="164"/>
        <v>3.1719999999999998E-2</v>
      </c>
      <c r="I198">
        <f t="shared" si="165"/>
        <v>1.668E-2</v>
      </c>
      <c r="J198">
        <f t="shared" si="166"/>
        <v>3.1699999999999999E-2</v>
      </c>
      <c r="L198">
        <f>0.2*X46+(1-0.2)*T46</f>
        <v>2.5280000000000004E-2</v>
      </c>
      <c r="P198" s="23"/>
      <c r="Q198" t="s">
        <v>36</v>
      </c>
      <c r="R198">
        <f t="shared" si="167"/>
        <v>1.644E-2</v>
      </c>
      <c r="S198">
        <f t="shared" si="168"/>
        <v>3.1879999999999999E-2</v>
      </c>
      <c r="U198">
        <f t="shared" si="169"/>
        <v>1.6919999999999998E-2</v>
      </c>
      <c r="V198">
        <f t="shared" si="170"/>
        <v>3.1849999999999996E-2</v>
      </c>
      <c r="X198">
        <f>0.3*X46+(1-0.3)*T46</f>
        <v>2.5419999999999998E-2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2"/>
      <c r="P204" s="23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24"/>
      <c r="C205" s="22"/>
      <c r="D205" s="23"/>
      <c r="E205" t="s">
        <v>36</v>
      </c>
      <c r="F205">
        <f t="shared" si="171"/>
        <v>1.628025E-2</v>
      </c>
      <c r="G205">
        <f t="shared" si="172"/>
        <v>3.1559999999999998E-2</v>
      </c>
      <c r="H205">
        <f t="shared" si="173"/>
        <v>3.9831820000000002</v>
      </c>
      <c r="I205">
        <f t="shared" si="174"/>
        <v>1.6435749999999999E-2</v>
      </c>
      <c r="J205">
        <f t="shared" si="175"/>
        <v>3.1549750000000001E-2</v>
      </c>
      <c r="K205">
        <f t="shared" si="176"/>
        <v>1300.3905259999999</v>
      </c>
      <c r="L205">
        <f>(0.05*(1-0.05)+0.05*(1-0.05))*X46+0.05*0.05*AB46+(1-0.05*(1-0.05)-0.05*(1-0.05)-0.05*0.05)*T46</f>
        <v>2.5139500000000002E-2</v>
      </c>
      <c r="M205">
        <f>AE46+AA46+W46</f>
        <v>13.211824</v>
      </c>
      <c r="O205" s="22"/>
      <c r="P205" s="23"/>
      <c r="Q205" t="s">
        <v>36</v>
      </c>
      <c r="R205">
        <f t="shared" si="177"/>
        <v>1.6361000000000001E-2</v>
      </c>
      <c r="S205">
        <f t="shared" si="178"/>
        <v>3.1719999999999998E-2</v>
      </c>
      <c r="U205">
        <f t="shared" si="179"/>
        <v>1.6663000000000001E-2</v>
      </c>
      <c r="V205">
        <f t="shared" si="180"/>
        <v>3.1698999999999998E-2</v>
      </c>
      <c r="X205">
        <f>(0.1*0.9+0.1*0.9)*X46+0.1*0.1*AB46+(1-0.1*0.9-0.1*0.9-0.1*0.1)*T46</f>
        <v>2.5278000000000005E-2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2"/>
      <c r="P210" s="23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24"/>
      <c r="C211" s="22"/>
      <c r="D211" s="23"/>
      <c r="E211" t="s">
        <v>36</v>
      </c>
      <c r="F211">
        <f t="shared" si="181"/>
        <v>1.6523999999999997E-2</v>
      </c>
      <c r="G211">
        <f t="shared" si="182"/>
        <v>3.2039999999999999E-2</v>
      </c>
      <c r="I211">
        <f t="shared" si="183"/>
        <v>1.7091999999999996E-2</v>
      </c>
      <c r="J211">
        <f t="shared" si="184"/>
        <v>3.1995999999999997E-2</v>
      </c>
      <c r="L211">
        <f>(0.2*0.8+0.2*0.8)*X46+0.2*0.2*AB46+(1-0.2*0.8-0.2*0.8-0.2*0.2)*T46</f>
        <v>2.5551999999999998E-2</v>
      </c>
      <c r="O211" s="22"/>
      <c r="P211" s="23"/>
      <c r="Q211" t="s">
        <v>36</v>
      </c>
      <c r="R211">
        <f t="shared" si="185"/>
        <v>1.6689000000000002E-2</v>
      </c>
      <c r="S211">
        <f t="shared" si="186"/>
        <v>3.236E-2</v>
      </c>
      <c r="U211">
        <f t="shared" si="187"/>
        <v>1.7487000000000003E-2</v>
      </c>
      <c r="V211">
        <f t="shared" si="188"/>
        <v>3.2291E-2</v>
      </c>
      <c r="X211">
        <f>(0.3*0.7+0.3*0.7)*X46+0.3*0.3*AB46+(1-0.3*0.7-0.3*0.7-0.3*0.3)*T46</f>
        <v>2.5822000000000005E-2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6"/>
      <c r="O217" s="22"/>
      <c r="P217" s="23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89"/>
        <v>1.6320724999999998E-2</v>
      </c>
      <c r="G218">
        <f t="shared" si="190"/>
        <v>3.1639987499999994E-2</v>
      </c>
      <c r="H218">
        <f t="shared" si="191"/>
        <v>5.3099810000000005</v>
      </c>
      <c r="I218">
        <f t="shared" si="192"/>
        <v>1.6547499999999996E-2</v>
      </c>
      <c r="J218">
        <f t="shared" si="193"/>
        <v>3.1624262499999993E-2</v>
      </c>
      <c r="K218">
        <f t="shared" si="194"/>
        <v>1765.8760359999999</v>
      </c>
      <c r="L218">
        <f>3*0.05*(1-0.05)*(1-0.05)*X46+3*0.05*0.05*(1-0.05)*AB46+0.05*0.05*0.05*AF46+(1-3*0.05*(1-0.05)*(1-0.05)-3*0.05*0.05*(1-0.05)-0.05*0.05*0.05)*T46</f>
        <v>2.5208524999999999E-2</v>
      </c>
      <c r="M218">
        <f>AI46+AE46+AA46+W46</f>
        <v>17.569106000000001</v>
      </c>
      <c r="N218" s="26"/>
      <c r="O218" s="22"/>
      <c r="P218" s="23"/>
      <c r="Q218" t="s">
        <v>36</v>
      </c>
      <c r="R218">
        <f t="shared" si="195"/>
        <v>1.64428E-2</v>
      </c>
      <c r="S218">
        <f t="shared" si="196"/>
        <v>3.1879899999999996E-2</v>
      </c>
      <c r="U218">
        <f t="shared" si="197"/>
        <v>1.6870999999999997E-2</v>
      </c>
      <c r="V218">
        <f t="shared" si="198"/>
        <v>3.1847099999999996E-2</v>
      </c>
      <c r="X218">
        <f>3*0.1*(1-0.1)*(1-0.1)*X46+3*0.1*0.1*(1-0.1)*AB46+0.1*0.1*0.1*AF46+(1-3*0.1*(1-0.1)*(1-0.1)-3*0.1*0.1*(1-0.1)-0.1*0.1*0.1)*T46</f>
        <v>2.5414200000000001E-2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6"/>
      <c r="O223" s="22"/>
      <c r="P223" s="23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199"/>
        <v>1.6690400000000001E-2</v>
      </c>
      <c r="G224">
        <f t="shared" si="200"/>
        <v>3.2359199999999991E-2</v>
      </c>
      <c r="I224">
        <f t="shared" si="201"/>
        <v>1.7451999999999999E-2</v>
      </c>
      <c r="J224">
        <f t="shared" si="202"/>
        <v>3.2288799999999993E-2</v>
      </c>
      <c r="L224">
        <f>3*0.2*(1-0.2)*(1-0.2)*X46+3*0.2*0.2*(1-0.2)*AB46+0.2*0.2*0.2*AF46+(1-3*0.2*(1-0.2)*(1-0.2)-3*0.2*0.2*(1-0.2)-0.2*0.2*0.2)*T46</f>
        <v>2.58176E-2</v>
      </c>
      <c r="N224" s="26"/>
      <c r="O224" s="22"/>
      <c r="P224" s="23"/>
      <c r="Q224" t="s">
        <v>36</v>
      </c>
      <c r="R224">
        <f t="shared" si="203"/>
        <v>1.6941600000000001E-2</v>
      </c>
      <c r="S224">
        <f t="shared" si="204"/>
        <v>3.28373E-2</v>
      </c>
      <c r="U224">
        <f t="shared" si="205"/>
        <v>1.7954999999999999E-2</v>
      </c>
      <c r="V224">
        <f t="shared" si="206"/>
        <v>3.2725700000000003E-2</v>
      </c>
      <c r="X224">
        <f>3*0.3*(1-0.3)*(1-0.3)*X46+3*0.3*0.3*(1-0.3)*AB46+0.3*0.3*0.3*AF46+(1-3*0.3*(1-0.3)*(1-0.3)-3*0.3*0.3*(1-0.3)-0.3*0.3*0.3)*T46</f>
        <v>2.6211400000000003E-2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23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24"/>
      <c r="D230" s="23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23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24"/>
      <c r="D231" s="23"/>
      <c r="E231" t="s">
        <v>36</v>
      </c>
      <c r="F231">
        <f t="shared" si="207"/>
        <v>8.5250000000000013E-3</v>
      </c>
      <c r="G231">
        <f t="shared" si="208"/>
        <v>1.9455E-2</v>
      </c>
      <c r="H231">
        <f t="shared" si="209"/>
        <v>2.601124</v>
      </c>
      <c r="I231">
        <f t="shared" si="210"/>
        <v>8.5950000000000002E-3</v>
      </c>
      <c r="J231">
        <f t="shared" si="211"/>
        <v>1.9369999999999998E-2</v>
      </c>
      <c r="K231">
        <f t="shared" si="212"/>
        <v>823.71857999999997</v>
      </c>
      <c r="L231">
        <f>0.05*F66+(1-0.05)*B66</f>
        <v>1.2945E-2</v>
      </c>
      <c r="M231">
        <f>I66+E66</f>
        <v>8.733505000000001</v>
      </c>
      <c r="P231" s="23"/>
      <c r="Q231" t="s">
        <v>36</v>
      </c>
      <c r="R231">
        <f>0.1*G54+(1-0.1)*C54</f>
        <v>8.5500000000000003E-3</v>
      </c>
      <c r="S231">
        <f t="shared" si="213"/>
        <v>1.951E-2</v>
      </c>
      <c r="U231">
        <f t="shared" si="214"/>
        <v>8.6899999999999998E-3</v>
      </c>
      <c r="V231">
        <f t="shared" si="215"/>
        <v>1.934E-2</v>
      </c>
      <c r="X231">
        <f>0.1*F66+(1-0.1)*B66</f>
        <v>1.2990000000000002E-2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23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24"/>
      <c r="D236" s="23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23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24"/>
      <c r="D237" s="23"/>
      <c r="E237" t="s">
        <v>36</v>
      </c>
      <c r="F237">
        <f t="shared" si="216"/>
        <v>8.6E-3</v>
      </c>
      <c r="G237">
        <f t="shared" si="217"/>
        <v>1.9620000000000002E-2</v>
      </c>
      <c r="I237">
        <f t="shared" si="218"/>
        <v>8.8800000000000007E-3</v>
      </c>
      <c r="J237">
        <f t="shared" si="219"/>
        <v>1.9280000000000002E-2</v>
      </c>
      <c r="L237">
        <f>0.2*F66+(1-0.2)*B66</f>
        <v>1.3080000000000001E-2</v>
      </c>
      <c r="P237" s="23"/>
      <c r="Q237" t="s">
        <v>36</v>
      </c>
      <c r="R237">
        <f>0.3*G54+(1-0.3)*C54</f>
        <v>8.6499999999999997E-3</v>
      </c>
      <c r="S237">
        <f t="shared" si="220"/>
        <v>1.9730000000000001E-2</v>
      </c>
      <c r="U237">
        <f t="shared" si="221"/>
        <v>9.0699999999999999E-3</v>
      </c>
      <c r="V237">
        <f t="shared" si="222"/>
        <v>1.9220000000000001E-2</v>
      </c>
      <c r="X237">
        <f>0.3*F66+(1-0.3)*B66</f>
        <v>1.3169999999999999E-2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2"/>
      <c r="P243" s="23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24"/>
      <c r="C244" s="22"/>
      <c r="D244" s="23"/>
      <c r="E244" t="s">
        <v>36</v>
      </c>
      <c r="F244">
        <f t="shared" si="223"/>
        <v>8.5500000000000003E-3</v>
      </c>
      <c r="G244">
        <f t="shared" si="224"/>
        <v>1.9510000000000003E-2</v>
      </c>
      <c r="H244">
        <f t="shared" si="225"/>
        <v>3.90578</v>
      </c>
      <c r="I244">
        <f t="shared" si="226"/>
        <v>8.68675E-3</v>
      </c>
      <c r="J244">
        <f t="shared" si="227"/>
        <v>1.9338500000000002E-2</v>
      </c>
      <c r="K244">
        <f t="shared" si="228"/>
        <v>1237.9908419999999</v>
      </c>
      <c r="L244">
        <f>(0.05*(1-0.05)+0.05*(1-0.05))*F66+0.05*0.05*J66+(1-0.05*(1-0.05)-0.05*(1-0.05)-0.05*0.05)*B66</f>
        <v>1.2989750000000001E-2</v>
      </c>
      <c r="M244">
        <f>M66+I66+E66</f>
        <v>13.152784</v>
      </c>
      <c r="O244" s="22"/>
      <c r="P244" s="23"/>
      <c r="Q244" t="s">
        <v>36</v>
      </c>
      <c r="R244">
        <f t="shared" si="229"/>
        <v>8.6000000000000017E-3</v>
      </c>
      <c r="S244">
        <f t="shared" si="230"/>
        <v>1.9620000000000002E-2</v>
      </c>
      <c r="U244">
        <f t="shared" si="231"/>
        <v>8.8670000000000016E-3</v>
      </c>
      <c r="V244">
        <f t="shared" si="232"/>
        <v>1.9274000000000003E-2</v>
      </c>
      <c r="X244">
        <f>(0.1*0.9+0.1*0.9)*F66+0.1*0.1*J66+(1-0.1*0.9-0.1*0.9-0.1*0.1)*B66</f>
        <v>1.3079E-2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2"/>
      <c r="P249" s="23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24"/>
      <c r="C250" s="22"/>
      <c r="D250" s="23"/>
      <c r="E250" t="s">
        <v>36</v>
      </c>
      <c r="F250">
        <f>(0.2*0.8+0.2*0.8)*G54+0.2*0.2*K54+(1-0.2*0.8-0.2*0.8-0.2*0.2)*C54</f>
        <v>8.6999999999999994E-3</v>
      </c>
      <c r="G250">
        <f t="shared" si="233"/>
        <v>1.984E-2</v>
      </c>
      <c r="I250">
        <f t="shared" si="234"/>
        <v>9.2080000000000009E-3</v>
      </c>
      <c r="J250">
        <f t="shared" si="235"/>
        <v>1.9136E-2</v>
      </c>
      <c r="L250">
        <f>(0.2*0.8+0.2*0.8)*F66+0.2*0.2*J66+(1-0.2*0.8-0.2*0.8-0.2*0.2)*B66</f>
        <v>1.3256E-2</v>
      </c>
      <c r="O250" s="22"/>
      <c r="P250" s="23"/>
      <c r="Q250" t="s">
        <v>36</v>
      </c>
      <c r="R250">
        <f t="shared" si="236"/>
        <v>8.8000000000000005E-3</v>
      </c>
      <c r="S250">
        <f t="shared" si="237"/>
        <v>2.0060000000000001E-2</v>
      </c>
      <c r="U250">
        <f t="shared" si="238"/>
        <v>9.5230000000000002E-3</v>
      </c>
      <c r="V250">
        <f t="shared" si="239"/>
        <v>1.8986000000000003E-2</v>
      </c>
      <c r="X250">
        <f>(0.3*0.7+0.3*0.7)*F66+0.3*0.3*J66+(1-0.3*0.7-0.3*0.7-0.3*0.3)*B66</f>
        <v>1.3431000000000002E-2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6"/>
      <c r="O256" s="22"/>
      <c r="P256" s="23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40"/>
        <v>8.5749999999999993E-3</v>
      </c>
      <c r="G257">
        <f t="shared" si="241"/>
        <v>1.9564999999999999E-2</v>
      </c>
      <c r="H257">
        <f t="shared" si="242"/>
        <v>5.201873</v>
      </c>
      <c r="I257">
        <f t="shared" si="243"/>
        <v>8.7754124999999995E-3</v>
      </c>
      <c r="J257">
        <f t="shared" si="244"/>
        <v>1.9305899999999997E-2</v>
      </c>
      <c r="K257">
        <f t="shared" si="245"/>
        <v>1579.294725</v>
      </c>
      <c r="L257">
        <f>3*0.05*(1-0.05)*(1-0.05)*F66+3*0.05*0.05*(1-0.05)*J66+0.05*0.05*0.05*N66+(1-3*0.05*(1-0.05)*(1-0.05)-3*0.05*0.05*(1-0.05)-0.05*0.05*0.05)*B66</f>
        <v>1.3034237499999999E-2</v>
      </c>
      <c r="M257">
        <f>Q66+M66+I66+E66</f>
        <v>17.561451999999999</v>
      </c>
      <c r="N257" s="26"/>
      <c r="O257" s="22"/>
      <c r="P257" s="23"/>
      <c r="Q257" t="s">
        <v>36</v>
      </c>
      <c r="R257">
        <f t="shared" si="246"/>
        <v>8.6500000000000014E-3</v>
      </c>
      <c r="S257">
        <f t="shared" si="247"/>
        <v>1.9729999999999998E-2</v>
      </c>
      <c r="U257">
        <f t="shared" si="248"/>
        <v>9.0323000000000001E-3</v>
      </c>
      <c r="V257">
        <f t="shared" si="249"/>
        <v>1.9205199999999999E-2</v>
      </c>
      <c r="X257">
        <f>3*0.1*(1-0.1)*(1-0.1)*F66+3*0.1*0.1*(1-0.1)*J66+0.1*0.1*0.1*N66+(1-3*0.1*(1-0.1)*(1-0.1)-3*0.1*0.1*(1-0.1)-0.1*0.1*0.1)*B66</f>
        <v>1.3166899999999999E-2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6"/>
      <c r="O262" s="22"/>
      <c r="P262" s="23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50"/>
        <v>8.7999999999999988E-3</v>
      </c>
      <c r="G263">
        <f t="shared" si="251"/>
        <v>2.0060000000000001E-2</v>
      </c>
      <c r="I263">
        <f t="shared" si="252"/>
        <v>9.4944000000000001E-3</v>
      </c>
      <c r="J263">
        <f t="shared" si="253"/>
        <v>1.8993599999999999E-2</v>
      </c>
      <c r="L263">
        <f>3*0.2*(1-0.2)*(1-0.2)*F66+3*0.2*0.2*(1-0.2)*J66+0.2*0.2*0.2*N66+(1-3*0.2*(1-0.2)*(1-0.2)-3*0.2*0.2*(1-0.2)-0.2*0.2*0.2)*B66</f>
        <v>1.34272E-2</v>
      </c>
      <c r="N263" s="26"/>
      <c r="O263" s="22"/>
      <c r="P263" s="23"/>
      <c r="Q263" t="s">
        <v>36</v>
      </c>
      <c r="R263">
        <f t="shared" si="254"/>
        <v>8.9500000000000014E-3</v>
      </c>
      <c r="S263">
        <f t="shared" si="255"/>
        <v>2.0390000000000002E-2</v>
      </c>
      <c r="U263">
        <f t="shared" si="256"/>
        <v>9.8940999999999994E-3</v>
      </c>
      <c r="V263">
        <f t="shared" si="257"/>
        <v>1.87844E-2</v>
      </c>
      <c r="X263">
        <f>3*0.3*(1-0.3)*(1-0.3)*F66+3*0.3*0.3*(1-0.3)*J66+0.3*0.3*0.3*N66+(1-3*0.3*(1-0.3)*(1-0.3)-3*0.3*0.3*(1-0.3)-0.3*0.3*0.3)*B66</f>
        <v>1.3680299999999999E-2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63"/>
  <sheetViews>
    <sheetView topLeftCell="A10" zoomScale="70" zoomScaleNormal="7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13</v>
      </c>
      <c r="C9" s="18"/>
      <c r="D9" s="18"/>
      <c r="E9" s="18"/>
      <c r="F9" s="18" t="s">
        <v>14</v>
      </c>
      <c r="G9" s="18"/>
      <c r="H9" s="18"/>
      <c r="I9" s="18"/>
      <c r="J9" s="18" t="s">
        <v>15</v>
      </c>
      <c r="K9" s="18"/>
      <c r="L9" s="18"/>
      <c r="M9" s="18"/>
      <c r="N9" s="18" t="s">
        <v>16</v>
      </c>
      <c r="O9" s="18"/>
      <c r="P9" s="18"/>
      <c r="Q9" s="18"/>
      <c r="S9" s="24" t="s">
        <v>12</v>
      </c>
      <c r="T9" s="18" t="s">
        <v>13</v>
      </c>
      <c r="U9" s="18"/>
      <c r="V9" s="18"/>
      <c r="W9" s="18"/>
      <c r="X9" s="18" t="s">
        <v>14</v>
      </c>
      <c r="Y9" s="18"/>
      <c r="Z9" s="18"/>
      <c r="AA9" s="18"/>
      <c r="AB9" s="18" t="s">
        <v>15</v>
      </c>
      <c r="AC9" s="18"/>
      <c r="AD9" s="18"/>
      <c r="AE9" s="18"/>
      <c r="AF9" s="18" t="s">
        <v>16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3">
        <v>3.6600000000000001E-2</v>
      </c>
      <c r="D13" s="3">
        <v>3.6700000000000003E-2</v>
      </c>
      <c r="E13">
        <v>1.0945769999999999</v>
      </c>
      <c r="F13" t="s">
        <v>22</v>
      </c>
      <c r="G13" s="3">
        <v>3.9199999999999999E-2</v>
      </c>
      <c r="H13" s="3">
        <v>3.9199999999999999E-2</v>
      </c>
      <c r="I13">
        <v>1.109043</v>
      </c>
      <c r="J13" t="s">
        <v>22</v>
      </c>
      <c r="K13">
        <v>4.1700000000000001E-2</v>
      </c>
      <c r="L13">
        <v>4.1799999999999997E-2</v>
      </c>
      <c r="M13">
        <v>1.1993100000000001</v>
      </c>
      <c r="N13" t="s">
        <v>22</v>
      </c>
      <c r="O13">
        <v>4.4299999999999999E-2</v>
      </c>
      <c r="P13">
        <v>4.4299999999999999E-2</v>
      </c>
      <c r="Q13">
        <v>1.122811</v>
      </c>
      <c r="S13" s="24"/>
      <c r="T13" t="s">
        <v>22</v>
      </c>
      <c r="U13" s="3">
        <v>3.2800000000000003E-2</v>
      </c>
      <c r="V13" s="3">
        <v>3.3799999999999997E-2</v>
      </c>
      <c r="W13">
        <v>1.1123160000000001</v>
      </c>
      <c r="X13" t="s">
        <v>22</v>
      </c>
      <c r="Y13" s="3">
        <v>3.5000000000000003E-2</v>
      </c>
      <c r="Z13" s="3">
        <v>3.6200000000000003E-2</v>
      </c>
      <c r="AA13">
        <v>1.12839</v>
      </c>
      <c r="AB13" t="s">
        <v>22</v>
      </c>
      <c r="AC13">
        <v>3.7100000000000001E-2</v>
      </c>
      <c r="AD13">
        <v>3.85E-2</v>
      </c>
      <c r="AE13">
        <v>1.1792910000000001</v>
      </c>
      <c r="AF13" t="s">
        <v>22</v>
      </c>
      <c r="AG13">
        <v>3.9300000000000002E-2</v>
      </c>
      <c r="AH13">
        <v>4.07E-2</v>
      </c>
      <c r="AI13">
        <v>1.0917079999999999</v>
      </c>
    </row>
    <row r="16" spans="1:35" x14ac:dyDescent="0.25">
      <c r="A16" s="20" t="s">
        <v>23</v>
      </c>
      <c r="B16" s="18" t="s">
        <v>13</v>
      </c>
      <c r="C16" s="18"/>
      <c r="D16" s="18"/>
      <c r="E16" s="18"/>
      <c r="F16" s="18" t="s">
        <v>14</v>
      </c>
      <c r="G16" s="18"/>
      <c r="H16" s="18"/>
      <c r="I16" s="18"/>
      <c r="J16" s="18" t="s">
        <v>15</v>
      </c>
      <c r="K16" s="18"/>
      <c r="L16" s="18"/>
      <c r="M16" s="18"/>
      <c r="N16" s="18" t="s">
        <v>16</v>
      </c>
      <c r="O16" s="18"/>
      <c r="P16" s="18"/>
      <c r="Q16" s="18"/>
      <c r="S16" s="20" t="s">
        <v>23</v>
      </c>
      <c r="T16" s="18" t="s">
        <v>13</v>
      </c>
      <c r="U16" s="18"/>
      <c r="V16" s="18"/>
      <c r="W16" s="18"/>
      <c r="X16" s="18" t="s">
        <v>14</v>
      </c>
      <c r="Y16" s="18"/>
      <c r="Z16" s="18"/>
      <c r="AA16" s="18"/>
      <c r="AB16" s="18" t="s">
        <v>15</v>
      </c>
      <c r="AC16" s="18"/>
      <c r="AD16" s="18"/>
      <c r="AE16" s="18"/>
      <c r="AF16" s="18" t="s">
        <v>16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3.6600000000000001E-2</v>
      </c>
      <c r="D20" s="3">
        <v>3.6700000000000003E-2</v>
      </c>
      <c r="E20">
        <v>2.5586169999999999</v>
      </c>
      <c r="F20" t="s">
        <v>22</v>
      </c>
      <c r="G20" s="3">
        <v>3.9199999999999999E-2</v>
      </c>
      <c r="H20" s="3">
        <v>3.9199999999999999E-2</v>
      </c>
      <c r="I20">
        <v>2.0819640000000001</v>
      </c>
      <c r="J20" t="s">
        <v>22</v>
      </c>
      <c r="K20">
        <v>4.1700000000000001E-2</v>
      </c>
      <c r="L20">
        <v>4.1799999999999997E-2</v>
      </c>
      <c r="M20">
        <v>2.3622359999999998</v>
      </c>
      <c r="N20" t="s">
        <v>22</v>
      </c>
      <c r="O20">
        <v>4.4299999999999999E-2</v>
      </c>
      <c r="P20">
        <v>4.4299999999999999E-2</v>
      </c>
      <c r="Q20">
        <v>2.2560359999999999</v>
      </c>
      <c r="S20" s="20"/>
      <c r="T20" t="s">
        <v>22</v>
      </c>
      <c r="U20" s="3">
        <v>3.2800000000000003E-2</v>
      </c>
      <c r="V20" s="3">
        <v>3.3799999999999997E-2</v>
      </c>
      <c r="W20">
        <v>3.15476</v>
      </c>
      <c r="X20" t="s">
        <v>22</v>
      </c>
      <c r="Y20" s="3">
        <v>3.5099999999999999E-2</v>
      </c>
      <c r="Z20" s="3">
        <v>3.6200000000000003E-2</v>
      </c>
      <c r="AA20">
        <v>2.6195089999999999</v>
      </c>
      <c r="AB20" t="s">
        <v>22</v>
      </c>
      <c r="AC20">
        <v>3.73E-2</v>
      </c>
      <c r="AD20">
        <v>3.85E-2</v>
      </c>
      <c r="AE20">
        <v>2.3861859999999999</v>
      </c>
      <c r="AF20" t="s">
        <v>22</v>
      </c>
      <c r="AG20">
        <v>3.9399999999999998E-2</v>
      </c>
      <c r="AH20">
        <v>4.07E-2</v>
      </c>
      <c r="AI20">
        <v>2.4365869999999998</v>
      </c>
    </row>
    <row r="23" spans="1:35" x14ac:dyDescent="0.25">
      <c r="A23" s="25" t="s">
        <v>24</v>
      </c>
      <c r="B23" s="18" t="s">
        <v>13</v>
      </c>
      <c r="C23" s="18"/>
      <c r="D23" s="18"/>
      <c r="E23" s="18"/>
      <c r="F23" s="18" t="s">
        <v>14</v>
      </c>
      <c r="G23" s="18"/>
      <c r="H23" s="18"/>
      <c r="I23" s="18"/>
      <c r="J23" s="18" t="s">
        <v>15</v>
      </c>
      <c r="K23" s="18"/>
      <c r="L23" s="18"/>
      <c r="M23" s="18"/>
      <c r="N23" s="18" t="s">
        <v>16</v>
      </c>
      <c r="O23" s="18"/>
      <c r="P23" s="18"/>
      <c r="Q23" s="18"/>
      <c r="S23" s="25" t="s">
        <v>24</v>
      </c>
      <c r="T23" s="18" t="s">
        <v>13</v>
      </c>
      <c r="U23" s="18"/>
      <c r="V23" s="18"/>
      <c r="W23" s="18"/>
      <c r="X23" s="18" t="s">
        <v>14</v>
      </c>
      <c r="Y23" s="18"/>
      <c r="Z23" s="18"/>
      <c r="AA23" s="18"/>
      <c r="AB23" s="18" t="s">
        <v>15</v>
      </c>
      <c r="AC23" s="18"/>
      <c r="AD23" s="18"/>
      <c r="AE23" s="18"/>
      <c r="AF23" s="18" t="s">
        <v>16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3.6700000000000003E-2</v>
      </c>
      <c r="C25" s="4"/>
      <c r="D25" s="4"/>
      <c r="E25">
        <v>3.259506</v>
      </c>
      <c r="F25" s="4">
        <v>3.9300000000000002E-2</v>
      </c>
      <c r="G25" s="4"/>
      <c r="H25" s="4"/>
      <c r="I25">
        <v>3.2371370000000002</v>
      </c>
      <c r="J25" s="9">
        <v>4.1700000000000001E-2</v>
      </c>
      <c r="K25" s="9"/>
      <c r="L25" s="9"/>
      <c r="M25">
        <v>3.2410049999999999</v>
      </c>
      <c r="N25" s="9">
        <v>4.4299999999999999E-2</v>
      </c>
      <c r="O25" s="9"/>
      <c r="P25" s="9"/>
      <c r="Q25">
        <v>3.2394229999999999</v>
      </c>
      <c r="S25" s="25"/>
      <c r="T25" s="4">
        <v>3.3500000000000002E-2</v>
      </c>
      <c r="U25" s="4"/>
      <c r="V25" s="4"/>
      <c r="W25">
        <v>3.194833</v>
      </c>
      <c r="X25" s="4">
        <v>3.5799999999999998E-2</v>
      </c>
      <c r="Y25" s="4"/>
      <c r="Z25" s="4"/>
      <c r="AA25">
        <v>3.3008069999999998</v>
      </c>
      <c r="AB25" s="9">
        <v>3.7999999999999999E-2</v>
      </c>
      <c r="AC25" s="9"/>
      <c r="AD25" s="9"/>
      <c r="AE25">
        <v>3.1775799999999998</v>
      </c>
      <c r="AF25" s="9">
        <v>4.02E-2</v>
      </c>
      <c r="AG25" s="9"/>
      <c r="AH25" s="9"/>
      <c r="AI25">
        <v>3.2360199999999999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13</v>
      </c>
      <c r="C30" s="18"/>
      <c r="D30" s="18"/>
      <c r="E30" s="18"/>
      <c r="F30" s="18" t="s">
        <v>14</v>
      </c>
      <c r="G30" s="18"/>
      <c r="H30" s="18"/>
      <c r="I30" s="18"/>
      <c r="J30" s="18" t="s">
        <v>15</v>
      </c>
      <c r="K30" s="18"/>
      <c r="L30" s="18"/>
      <c r="M30" s="18"/>
      <c r="N30" s="18" t="s">
        <v>16</v>
      </c>
      <c r="O30" s="18"/>
      <c r="P30" s="18"/>
      <c r="Q30" s="18"/>
      <c r="S30" s="24" t="s">
        <v>12</v>
      </c>
      <c r="T30" s="18" t="s">
        <v>13</v>
      </c>
      <c r="U30" s="18"/>
      <c r="V30" s="18"/>
      <c r="W30" s="18"/>
      <c r="X30" s="18" t="s">
        <v>14</v>
      </c>
      <c r="Y30" s="18"/>
      <c r="Z30" s="18"/>
      <c r="AA30" s="18"/>
      <c r="AB30" s="18" t="s">
        <v>15</v>
      </c>
      <c r="AC30" s="18"/>
      <c r="AD30" s="18"/>
      <c r="AE30" s="18"/>
      <c r="AF30" s="18" t="s">
        <v>16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2.47E-2</v>
      </c>
      <c r="D34" s="3">
        <v>2.9899999999999999E-2</v>
      </c>
      <c r="E34">
        <v>1.119327</v>
      </c>
      <c r="F34" t="s">
        <v>22</v>
      </c>
      <c r="G34" s="3">
        <v>2.63E-2</v>
      </c>
      <c r="H34" s="3">
        <v>3.2000000000000001E-2</v>
      </c>
      <c r="I34">
        <v>1.0862609999999999</v>
      </c>
      <c r="J34" t="s">
        <v>22</v>
      </c>
      <c r="K34">
        <v>2.7900000000000001E-2</v>
      </c>
      <c r="L34">
        <v>3.4000000000000002E-2</v>
      </c>
      <c r="M34">
        <v>1.1733610000000001</v>
      </c>
      <c r="N34" t="s">
        <v>22</v>
      </c>
      <c r="O34">
        <v>2.9499999999999998E-2</v>
      </c>
      <c r="P34">
        <v>3.5900000000000001E-2</v>
      </c>
      <c r="Q34">
        <v>1.179816</v>
      </c>
      <c r="S34" s="24"/>
      <c r="T34" t="s">
        <v>22</v>
      </c>
      <c r="U34" s="3">
        <v>1.54E-2</v>
      </c>
      <c r="V34" s="3">
        <v>2.4199999999999999E-2</v>
      </c>
      <c r="W34">
        <v>1.161929</v>
      </c>
      <c r="X34" t="s">
        <v>22</v>
      </c>
      <c r="Y34" s="3">
        <v>1.6400000000000001E-2</v>
      </c>
      <c r="Z34" s="3">
        <v>2.5899999999999999E-2</v>
      </c>
      <c r="AA34">
        <v>1.111084</v>
      </c>
      <c r="AB34" t="s">
        <v>22</v>
      </c>
      <c r="AC34" s="3">
        <v>1.7500000000000002E-2</v>
      </c>
      <c r="AD34" s="3">
        <v>2.75E-2</v>
      </c>
      <c r="AE34">
        <v>1.206671</v>
      </c>
      <c r="AF34" t="s">
        <v>22</v>
      </c>
      <c r="AG34" s="3">
        <v>1.8599999999999998E-2</v>
      </c>
      <c r="AH34" s="3">
        <v>2.92E-2</v>
      </c>
      <c r="AI34">
        <v>1.087094</v>
      </c>
    </row>
    <row r="37" spans="1:35" x14ac:dyDescent="0.25">
      <c r="A37" s="20" t="s">
        <v>23</v>
      </c>
      <c r="B37" s="18" t="s">
        <v>13</v>
      </c>
      <c r="C37" s="18"/>
      <c r="D37" s="18"/>
      <c r="E37" s="18"/>
      <c r="F37" s="18" t="s">
        <v>14</v>
      </c>
      <c r="G37" s="18"/>
      <c r="H37" s="18"/>
      <c r="I37" s="18"/>
      <c r="J37" s="18" t="s">
        <v>15</v>
      </c>
      <c r="K37" s="18"/>
      <c r="L37" s="18"/>
      <c r="M37" s="18"/>
      <c r="N37" s="18" t="s">
        <v>16</v>
      </c>
      <c r="O37" s="18"/>
      <c r="P37" s="18"/>
      <c r="Q37" s="18"/>
      <c r="S37" s="20" t="s">
        <v>23</v>
      </c>
      <c r="T37" s="18" t="s">
        <v>13</v>
      </c>
      <c r="U37" s="18"/>
      <c r="V37" s="18"/>
      <c r="W37" s="18"/>
      <c r="X37" s="18" t="s">
        <v>14</v>
      </c>
      <c r="Y37" s="18"/>
      <c r="Z37" s="18"/>
      <c r="AA37" s="18"/>
      <c r="AB37" s="18" t="s">
        <v>15</v>
      </c>
      <c r="AC37" s="18"/>
      <c r="AD37" s="18"/>
      <c r="AE37" s="18"/>
      <c r="AF37" s="18" t="s">
        <v>16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2.47E-2</v>
      </c>
      <c r="D41" s="3">
        <v>2.9899999999999999E-2</v>
      </c>
      <c r="E41">
        <v>3.3207599999999999</v>
      </c>
      <c r="F41" t="s">
        <v>22</v>
      </c>
      <c r="G41" s="3">
        <v>2.7E-2</v>
      </c>
      <c r="H41" s="3">
        <v>3.1899999999999998E-2</v>
      </c>
      <c r="I41">
        <v>2.7960400000000001</v>
      </c>
      <c r="J41" t="s">
        <v>22</v>
      </c>
      <c r="K41">
        <v>2.8500000000000001E-2</v>
      </c>
      <c r="L41">
        <v>3.39E-2</v>
      </c>
      <c r="M41">
        <v>2.930679</v>
      </c>
      <c r="N41" t="s">
        <v>22</v>
      </c>
      <c r="O41">
        <v>0.03</v>
      </c>
      <c r="P41">
        <v>3.5900000000000001E-2</v>
      </c>
      <c r="Q41">
        <v>2.8371390000000001</v>
      </c>
      <c r="S41" s="20"/>
      <c r="T41" t="s">
        <v>22</v>
      </c>
      <c r="U41" s="3">
        <v>1.54E-2</v>
      </c>
      <c r="V41" s="3">
        <v>2.4199999999999999E-2</v>
      </c>
      <c r="W41">
        <v>3.1891980000000002</v>
      </c>
      <c r="X41" t="s">
        <v>22</v>
      </c>
      <c r="Y41" s="3">
        <v>1.7299999999999999E-2</v>
      </c>
      <c r="Z41" s="3">
        <v>2.58E-2</v>
      </c>
      <c r="AA41">
        <v>2.6734460000000002</v>
      </c>
      <c r="AB41" t="s">
        <v>22</v>
      </c>
      <c r="AC41" s="3">
        <v>1.84E-2</v>
      </c>
      <c r="AD41" s="3">
        <v>2.7400000000000001E-2</v>
      </c>
      <c r="AE41">
        <v>2.7344349999999999</v>
      </c>
      <c r="AF41" t="s">
        <v>22</v>
      </c>
      <c r="AG41" s="3">
        <v>1.9300000000000001E-2</v>
      </c>
      <c r="AH41" s="3">
        <v>2.8899999999999999E-2</v>
      </c>
      <c r="AI41">
        <v>2.831693</v>
      </c>
    </row>
    <row r="44" spans="1:35" x14ac:dyDescent="0.25">
      <c r="A44" s="25" t="s">
        <v>24</v>
      </c>
      <c r="B44" s="18" t="s">
        <v>13</v>
      </c>
      <c r="C44" s="18"/>
      <c r="D44" s="18"/>
      <c r="E44" s="18"/>
      <c r="F44" s="18" t="s">
        <v>14</v>
      </c>
      <c r="G44" s="18"/>
      <c r="H44" s="18"/>
      <c r="I44" s="18"/>
      <c r="J44" s="18" t="s">
        <v>15</v>
      </c>
      <c r="K44" s="18"/>
      <c r="L44" s="18"/>
      <c r="M44" s="18"/>
      <c r="N44" s="18" t="s">
        <v>16</v>
      </c>
      <c r="O44" s="18"/>
      <c r="P44" s="18"/>
      <c r="Q44" s="18"/>
      <c r="S44" s="25" t="s">
        <v>24</v>
      </c>
      <c r="T44" s="18" t="s">
        <v>13</v>
      </c>
      <c r="U44" s="18"/>
      <c r="V44" s="18"/>
      <c r="W44" s="18"/>
      <c r="X44" s="18" t="s">
        <v>14</v>
      </c>
      <c r="Y44" s="18"/>
      <c r="Z44" s="18"/>
      <c r="AA44" s="18"/>
      <c r="AB44" s="18" t="s">
        <v>15</v>
      </c>
      <c r="AC44" s="18"/>
      <c r="AD44" s="18"/>
      <c r="AE44" s="18"/>
      <c r="AF44" s="18" t="s">
        <v>16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4">
        <v>2.81E-2</v>
      </c>
      <c r="C46" s="4"/>
      <c r="D46" s="4"/>
      <c r="E46">
        <v>3.2236899999999999</v>
      </c>
      <c r="F46" s="4">
        <v>3.0099999999999998E-2</v>
      </c>
      <c r="G46" s="4"/>
      <c r="H46" s="4"/>
      <c r="I46">
        <v>3.2242060000000001</v>
      </c>
      <c r="J46" s="9">
        <v>3.1899999999999998E-2</v>
      </c>
      <c r="K46" s="9"/>
      <c r="L46" s="9"/>
      <c r="M46">
        <v>3.2214260000000001</v>
      </c>
      <c r="N46" s="9">
        <v>3.3700000000000001E-2</v>
      </c>
      <c r="O46" s="9"/>
      <c r="P46" s="9"/>
      <c r="Q46">
        <v>3.197235</v>
      </c>
      <c r="S46" s="25"/>
      <c r="T46" s="4">
        <v>2.0899999999999998E-2</v>
      </c>
      <c r="U46" s="4"/>
      <c r="V46" s="4"/>
      <c r="W46">
        <v>3.2270020000000001</v>
      </c>
      <c r="X46" s="4">
        <v>2.23E-2</v>
      </c>
      <c r="Y46" s="4"/>
      <c r="Z46" s="4"/>
      <c r="AA46">
        <v>3.1869269999999998</v>
      </c>
      <c r="AB46" s="4">
        <v>2.3699999999999999E-2</v>
      </c>
      <c r="AC46" s="4"/>
      <c r="AD46" s="4"/>
      <c r="AE46">
        <v>3.1755770000000001</v>
      </c>
      <c r="AF46" s="4">
        <v>2.5100000000000001E-2</v>
      </c>
      <c r="AG46" s="4"/>
      <c r="AH46" s="4"/>
      <c r="AI46">
        <v>3.3038989999999999</v>
      </c>
    </row>
    <row r="48" spans="1:35" x14ac:dyDescent="0.25">
      <c r="A48" s="1" t="s">
        <v>28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13</v>
      </c>
      <c r="C50" s="18"/>
      <c r="D50" s="18"/>
      <c r="E50" s="18"/>
      <c r="F50" s="18" t="s">
        <v>14</v>
      </c>
      <c r="G50" s="18"/>
      <c r="H50" s="18"/>
      <c r="I50" s="18"/>
      <c r="J50" s="18" t="s">
        <v>15</v>
      </c>
      <c r="K50" s="18"/>
      <c r="L50" s="18"/>
      <c r="M50" s="18"/>
      <c r="N50" s="18" t="s">
        <v>16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8.3000000000000001E-3</v>
      </c>
      <c r="D54" s="3">
        <v>1.52E-2</v>
      </c>
      <c r="E54">
        <v>1.1128279999999999</v>
      </c>
      <c r="F54" t="s">
        <v>22</v>
      </c>
      <c r="G54" s="3">
        <v>8.9999999999999993E-3</v>
      </c>
      <c r="H54" s="3">
        <v>1.6400000000000001E-2</v>
      </c>
      <c r="I54">
        <v>1.101367</v>
      </c>
      <c r="J54" t="s">
        <v>22</v>
      </c>
      <c r="K54" s="3">
        <v>9.5999999999999992E-3</v>
      </c>
      <c r="L54" s="3">
        <v>1.7600000000000001E-2</v>
      </c>
      <c r="M54">
        <v>1.09032</v>
      </c>
      <c r="N54" t="s">
        <v>22</v>
      </c>
      <c r="O54" s="3">
        <v>1.03E-2</v>
      </c>
      <c r="P54" s="3">
        <v>1.8700000000000001E-2</v>
      </c>
      <c r="Q54">
        <v>1.082392</v>
      </c>
    </row>
    <row r="57" spans="1:17" x14ac:dyDescent="0.25">
      <c r="A57" s="20" t="s">
        <v>23</v>
      </c>
      <c r="B57" s="18" t="s">
        <v>13</v>
      </c>
      <c r="C57" s="18"/>
      <c r="D57" s="18"/>
      <c r="E57" s="18"/>
      <c r="F57" s="18" t="s">
        <v>14</v>
      </c>
      <c r="G57" s="18"/>
      <c r="H57" s="18"/>
      <c r="I57" s="18"/>
      <c r="J57" s="18" t="s">
        <v>15</v>
      </c>
      <c r="K57" s="18"/>
      <c r="L57" s="18"/>
      <c r="M57" s="18"/>
      <c r="N57" s="18" t="s">
        <v>16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8.3000000000000001E-3</v>
      </c>
      <c r="D61" s="3">
        <v>1.52E-2</v>
      </c>
      <c r="E61">
        <v>2.333304</v>
      </c>
      <c r="F61" t="s">
        <v>22</v>
      </c>
      <c r="G61" s="3">
        <v>0.01</v>
      </c>
      <c r="H61" s="3">
        <v>1.52E-2</v>
      </c>
      <c r="I61">
        <v>2.2133430000000001</v>
      </c>
      <c r="J61" t="s">
        <v>22</v>
      </c>
      <c r="K61" s="3">
        <v>1.0800000000000001E-2</v>
      </c>
      <c r="L61" s="3">
        <v>1.4999999999999999E-2</v>
      </c>
      <c r="M61">
        <v>2.3415240000000002</v>
      </c>
      <c r="N61" t="s">
        <v>22</v>
      </c>
      <c r="O61" s="3">
        <v>1.14E-2</v>
      </c>
      <c r="P61" s="3">
        <v>1.6400000000000001E-2</v>
      </c>
      <c r="Q61">
        <v>1.9847539999999999</v>
      </c>
    </row>
    <row r="64" spans="1:17" x14ac:dyDescent="0.25">
      <c r="A64" s="25" t="s">
        <v>24</v>
      </c>
      <c r="B64" s="18" t="s">
        <v>13</v>
      </c>
      <c r="C64" s="18"/>
      <c r="D64" s="18"/>
      <c r="E64" s="18"/>
      <c r="F64" s="18" t="s">
        <v>14</v>
      </c>
      <c r="G64" s="18"/>
      <c r="H64" s="18"/>
      <c r="I64" s="18"/>
      <c r="J64" s="18" t="s">
        <v>15</v>
      </c>
      <c r="K64" s="18"/>
      <c r="L64" s="18"/>
      <c r="M64" s="18"/>
      <c r="N64" s="18" t="s">
        <v>16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1.1599999999999999E-2</v>
      </c>
      <c r="C66" s="4"/>
      <c r="D66" s="4"/>
      <c r="E66">
        <v>3.1995830000000001</v>
      </c>
      <c r="F66" s="4">
        <v>1.2500000000000001E-2</v>
      </c>
      <c r="G66" s="4"/>
      <c r="H66" s="4"/>
      <c r="I66">
        <v>3.1832370000000001</v>
      </c>
      <c r="J66" s="4">
        <v>1.34E-2</v>
      </c>
      <c r="K66" s="4"/>
      <c r="L66" s="4"/>
      <c r="M66">
        <v>3.1760890000000002</v>
      </c>
      <c r="N66" s="4">
        <v>1.44E-2</v>
      </c>
      <c r="O66" s="4"/>
      <c r="P66" s="4"/>
      <c r="Q66">
        <v>3.171932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3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3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4"/>
      <c r="D75" s="23"/>
      <c r="E75" t="s">
        <v>36</v>
      </c>
      <c r="F75">
        <f t="shared" si="0"/>
        <v>3.6729999999999999E-2</v>
      </c>
      <c r="G75">
        <f t="shared" si="1"/>
        <v>3.6824999999999997E-2</v>
      </c>
      <c r="H75">
        <f t="shared" si="2"/>
        <v>2.2036199999999999</v>
      </c>
      <c r="I75">
        <f t="shared" si="3"/>
        <v>3.6729999999999999E-2</v>
      </c>
      <c r="J75">
        <f t="shared" si="4"/>
        <v>3.6824999999999997E-2</v>
      </c>
      <c r="K75">
        <f t="shared" si="5"/>
        <v>4.6405810000000001</v>
      </c>
      <c r="L75">
        <f>0.05*F25+(1-0.05)*B25</f>
        <v>3.6830000000000002E-2</v>
      </c>
      <c r="M75">
        <f>I25+E25</f>
        <v>6.4966430000000006</v>
      </c>
      <c r="P75" s="23"/>
      <c r="Q75" t="s">
        <v>36</v>
      </c>
      <c r="R75">
        <f t="shared" si="6"/>
        <v>3.6860000000000004E-2</v>
      </c>
      <c r="S75">
        <f t="shared" si="7"/>
        <v>3.6950000000000004E-2</v>
      </c>
      <c r="U75">
        <f t="shared" si="8"/>
        <v>3.6860000000000004E-2</v>
      </c>
      <c r="V75">
        <f t="shared" si="9"/>
        <v>3.6950000000000004E-2</v>
      </c>
      <c r="X75">
        <f>0.1*F25+(1-0.1)*B25</f>
        <v>3.6960000000000007E-2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23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24"/>
      <c r="D80" s="23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23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24"/>
      <c r="D81" s="23"/>
      <c r="E81" t="s">
        <v>36</v>
      </c>
      <c r="F81">
        <f t="shared" si="10"/>
        <v>3.712E-2</v>
      </c>
      <c r="G81">
        <f>0.2*H13+(1-0.2)*D13</f>
        <v>3.7200000000000004E-2</v>
      </c>
      <c r="I81">
        <f t="shared" si="11"/>
        <v>3.712E-2</v>
      </c>
      <c r="J81">
        <f t="shared" si="12"/>
        <v>3.7200000000000004E-2</v>
      </c>
      <c r="L81">
        <f>0.2*F25+(1-0.2)*B25</f>
        <v>3.7220000000000003E-2</v>
      </c>
      <c r="P81" s="23"/>
      <c r="Q81" t="s">
        <v>36</v>
      </c>
      <c r="R81">
        <f t="shared" si="13"/>
        <v>3.7379999999999997E-2</v>
      </c>
      <c r="S81">
        <f t="shared" si="14"/>
        <v>3.7449999999999997E-2</v>
      </c>
      <c r="U81">
        <f t="shared" si="15"/>
        <v>3.7379999999999997E-2</v>
      </c>
      <c r="V81">
        <f t="shared" si="16"/>
        <v>3.7449999999999997E-2</v>
      </c>
      <c r="X81">
        <f>0.3*F25+(1-0.3)*B25</f>
        <v>3.7479999999999999E-2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2" t="s">
        <v>40</v>
      </c>
      <c r="P86" s="23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24"/>
      <c r="C87" s="22"/>
      <c r="D87" s="23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2"/>
      <c r="P87" s="23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24"/>
      <c r="C88" s="22"/>
      <c r="D88" s="23"/>
      <c r="E88" t="s">
        <v>36</v>
      </c>
      <c r="F88">
        <f t="shared" si="17"/>
        <v>3.6859750000000004E-2</v>
      </c>
      <c r="G88">
        <f t="shared" si="18"/>
        <v>3.6950250000000004E-2</v>
      </c>
      <c r="H88">
        <f t="shared" si="19"/>
        <v>3.4029300000000005</v>
      </c>
      <c r="I88">
        <f t="shared" si="20"/>
        <v>3.6859750000000004E-2</v>
      </c>
      <c r="J88">
        <f t="shared" si="21"/>
        <v>3.6950250000000004E-2</v>
      </c>
      <c r="K88">
        <f t="shared" si="22"/>
        <v>7.0028170000000003</v>
      </c>
      <c r="L88">
        <f>(0.05*(1-0.05)+0.05*(1-0.05))*F25+0.05*0.05*J25+(1-0.05*(1-0.05)-0.05*(1-0.05)-0.05*0.05)*B25</f>
        <v>3.6959500000000006E-2</v>
      </c>
      <c r="M88">
        <f>M25+I25+E25</f>
        <v>9.7376480000000001</v>
      </c>
      <c r="O88" s="22"/>
      <c r="P88" s="23"/>
      <c r="Q88" t="s">
        <v>36</v>
      </c>
      <c r="R88">
        <f t="shared" si="23"/>
        <v>3.7118999999999999E-2</v>
      </c>
      <c r="S88">
        <f t="shared" si="24"/>
        <v>3.7201000000000005E-2</v>
      </c>
      <c r="U88">
        <f t="shared" si="25"/>
        <v>3.7118999999999999E-2</v>
      </c>
      <c r="V88">
        <f t="shared" si="26"/>
        <v>3.7201000000000005E-2</v>
      </c>
      <c r="X88">
        <f>(0.1*0.9+0.1*0.9)*F25+0.1*0.1*J25+(1-0.1*0.9-0.1*0.9-0.1*0.1)*B25</f>
        <v>3.7218000000000001E-2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2" t="s">
        <v>42</v>
      </c>
      <c r="P92" s="23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24"/>
      <c r="C93" s="22"/>
      <c r="D93" s="23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2"/>
      <c r="P93" s="23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24"/>
      <c r="C94" s="22"/>
      <c r="D94" s="23"/>
      <c r="E94" t="s">
        <v>36</v>
      </c>
      <c r="F94">
        <f t="shared" si="27"/>
        <v>3.7636000000000003E-2</v>
      </c>
      <c r="G94">
        <f t="shared" si="28"/>
        <v>3.7704000000000001E-2</v>
      </c>
      <c r="I94">
        <f t="shared" si="29"/>
        <v>3.7636000000000003E-2</v>
      </c>
      <c r="J94">
        <f t="shared" si="30"/>
        <v>3.7704000000000001E-2</v>
      </c>
      <c r="L94">
        <f>(0.2*0.8+0.2*0.8)*F25+0.2*0.2*J25+(1-0.2*0.8-0.2*0.8-0.2*0.2)*B25</f>
        <v>3.7732000000000002E-2</v>
      </c>
      <c r="O94" s="22"/>
      <c r="P94" s="23"/>
      <c r="Q94" t="s">
        <v>36</v>
      </c>
      <c r="R94">
        <f t="shared" si="31"/>
        <v>3.8151000000000004E-2</v>
      </c>
      <c r="S94">
        <f t="shared" si="32"/>
        <v>3.8209000000000007E-2</v>
      </c>
      <c r="U94">
        <f t="shared" si="33"/>
        <v>3.8151000000000004E-2</v>
      </c>
      <c r="V94">
        <f t="shared" si="34"/>
        <v>3.8209000000000007E-2</v>
      </c>
      <c r="X94">
        <f>(0.3*0.7+0.3*0.7)*F25+0.3*0.3*J25+(1-0.3*0.7-0.3*0.7-0.3*0.3)*B25</f>
        <v>3.8242000000000005E-2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6"/>
      <c r="O100" s="22"/>
      <c r="P100" s="23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35"/>
        <v>3.6989274999999995E-2</v>
      </c>
      <c r="G101">
        <f t="shared" si="36"/>
        <v>3.7075724999999997E-2</v>
      </c>
      <c r="H101">
        <f>Q13+M13+I11+E13</f>
        <v>3.4166980000000002</v>
      </c>
      <c r="I101">
        <f t="shared" si="37"/>
        <v>3.6989274999999995E-2</v>
      </c>
      <c r="J101">
        <f t="shared" si="38"/>
        <v>3.7075724999999997E-2</v>
      </c>
      <c r="K101">
        <f t="shared" si="39"/>
        <v>9.2588529999999984</v>
      </c>
      <c r="L101">
        <f>3*0.05*(1-0.05)*(1-0.05)*F25+3*0.05*0.05*(1-0.05)*J25+0.05*0.05*0.05*N25+(1-3*0.05*(1-0.05)*(1-0.05)-3*0.05*0.05*(1-0.05)-0.05*0.05*0.05)*B25</f>
        <v>3.7088549999999998E-2</v>
      </c>
      <c r="M101">
        <f>Q25+M25+I25+E25</f>
        <v>12.977071</v>
      </c>
      <c r="N101" s="26"/>
      <c r="O101" s="22"/>
      <c r="P101" s="23"/>
      <c r="Q101" t="s">
        <v>36</v>
      </c>
      <c r="R101">
        <f t="shared" si="40"/>
        <v>3.7377199999999999E-2</v>
      </c>
      <c r="S101">
        <f t="shared" si="41"/>
        <v>3.7452800000000001E-2</v>
      </c>
      <c r="U101">
        <f t="shared" si="42"/>
        <v>3.7377199999999999E-2</v>
      </c>
      <c r="V101">
        <f t="shared" si="43"/>
        <v>3.7452800000000001E-2</v>
      </c>
      <c r="X101">
        <f>3*0.1*(1-0.1)*(1-0.1)*F25+3*0.1*0.1*(1-0.1)*J25+0.1*0.1*0.1*N25+(1-3*0.1*(1-0.1)*(1-0.1)-3*0.1*0.1*(1-0.1)-0.1*0.1*0.1)*B25</f>
        <v>3.7474400000000005E-2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6"/>
      <c r="O106" s="22"/>
      <c r="P106" s="23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44"/>
        <v>3.8149599999999999E-2</v>
      </c>
      <c r="G107">
        <f t="shared" si="45"/>
        <v>3.8210400000000005E-2</v>
      </c>
      <c r="I107">
        <f t="shared" si="46"/>
        <v>3.8149599999999999E-2</v>
      </c>
      <c r="J107">
        <f t="shared" si="47"/>
        <v>3.8210400000000005E-2</v>
      </c>
      <c r="L107">
        <f>3*0.2*(1-0.2)*(1-0.2)*F25+3*0.2*0.2*(1-0.2)*J25+0.2*0.2*0.2*N25+(1-3*0.2*(1-0.2)*(1-0.2)-3*0.2*0.2*(1-0.2)-0.2*0.2*0.2)*B25</f>
        <v>3.8239200000000001E-2</v>
      </c>
      <c r="N107" s="26"/>
      <c r="O107" s="22"/>
      <c r="P107" s="23"/>
      <c r="Q107" t="s">
        <v>36</v>
      </c>
      <c r="R107">
        <f t="shared" si="48"/>
        <v>3.8918400000000006E-2</v>
      </c>
      <c r="S107">
        <f t="shared" si="49"/>
        <v>3.8971599999999995E-2</v>
      </c>
      <c r="U107">
        <f t="shared" si="50"/>
        <v>3.8918400000000006E-2</v>
      </c>
      <c r="V107">
        <f t="shared" si="51"/>
        <v>3.8971599999999995E-2</v>
      </c>
      <c r="X107">
        <f>3*0.3*(1-0.3)*(1-0.3)*F25+3*0.3*0.3*(1-0.3)*J25+0.3*0.3*0.3*N25+(1-3*0.3*(1-0.3)*(1-0.3)-3*0.3*0.3*(1-0.3)-0.3*0.3*0.3)*B25</f>
        <v>3.8996799999999998E-2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23" t="s">
        <v>34</v>
      </c>
      <c r="Q112" t="s">
        <v>33</v>
      </c>
      <c r="R112">
        <f>0.1*Y11+(1-0.1)*U11</f>
        <v>0</v>
      </c>
      <c r="S112">
        <f>0.1*Z11+(1-0.1)*V11</f>
        <v>0</v>
      </c>
      <c r="U112">
        <f t="shared" ref="U112:U114" si="58">0.1*Y18+(1-0.1)*U18</f>
        <v>0</v>
      </c>
      <c r="V112">
        <f t="shared" ref="V112:V114" si="59">0.1*Z18+(1-0.1)*V18</f>
        <v>0</v>
      </c>
    </row>
    <row r="113" spans="2:25" x14ac:dyDescent="0.25">
      <c r="C113" s="24"/>
      <c r="D113" s="23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23"/>
      <c r="Q113" t="s">
        <v>35</v>
      </c>
      <c r="R113">
        <f>0.1*Y12+(1-0.1)*U12</f>
        <v>0</v>
      </c>
      <c r="S113">
        <f>0.1*Z12+(1-0.1)*V12</f>
        <v>0</v>
      </c>
      <c r="U113">
        <f t="shared" si="58"/>
        <v>0</v>
      </c>
      <c r="V113">
        <f t="shared" si="59"/>
        <v>0</v>
      </c>
    </row>
    <row r="114" spans="2:25" x14ac:dyDescent="0.25">
      <c r="C114" s="24"/>
      <c r="D114" s="23"/>
      <c r="E114" t="s">
        <v>36</v>
      </c>
      <c r="F114">
        <f t="shared" si="52"/>
        <v>3.2910000000000002E-2</v>
      </c>
      <c r="G114">
        <f t="shared" si="53"/>
        <v>3.3919999999999992E-2</v>
      </c>
      <c r="H114">
        <f t="shared" si="54"/>
        <v>2.2407060000000003</v>
      </c>
      <c r="I114">
        <f t="shared" si="55"/>
        <v>3.2915E-2</v>
      </c>
      <c r="J114">
        <f t="shared" si="56"/>
        <v>3.3919999999999992E-2</v>
      </c>
      <c r="K114">
        <f t="shared" si="57"/>
        <v>5.7742690000000003</v>
      </c>
      <c r="L114">
        <f>0.05*X25+(1-0.05)*T25</f>
        <v>3.3614999999999999E-2</v>
      </c>
      <c r="M114">
        <f>AA25+W25</f>
        <v>6.4956399999999999</v>
      </c>
      <c r="P114" s="23"/>
      <c r="Q114" t="s">
        <v>36</v>
      </c>
      <c r="R114">
        <f>0.1*Y20+(1-0.1)*U13</f>
        <v>3.3030000000000004E-2</v>
      </c>
      <c r="S114">
        <f>0.1*Z13+(1-0.1)*V13</f>
        <v>3.4040000000000001E-2</v>
      </c>
      <c r="U114">
        <f t="shared" si="58"/>
        <v>3.3030000000000004E-2</v>
      </c>
      <c r="V114">
        <f t="shared" si="59"/>
        <v>3.4040000000000001E-2</v>
      </c>
      <c r="X114">
        <f>0.1*X25+(1-0.1)*T25</f>
        <v>3.3730000000000003E-2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F120" si="60">0.2*Y11+(1-0.2)*U11</f>
        <v>0</v>
      </c>
      <c r="G118">
        <f t="shared" ref="G118:G120" si="61">0.2*Z11+(1-0.2)*V11</f>
        <v>0</v>
      </c>
      <c r="I118">
        <f t="shared" ref="I118:I120" si="62">0.2*Y18+(1-0.2)*U18</f>
        <v>0</v>
      </c>
      <c r="J118">
        <f t="shared" ref="J118:J120" si="63">0.2*Z18+(1-0.2)*V18</f>
        <v>0</v>
      </c>
      <c r="P118" s="23" t="s">
        <v>38</v>
      </c>
      <c r="Q118" t="s">
        <v>33</v>
      </c>
      <c r="R118">
        <f t="shared" ref="R118:S120" si="64">0.3*Y11+(1-0.3)*U11</f>
        <v>0</v>
      </c>
      <c r="S118">
        <f t="shared" si="64"/>
        <v>0</v>
      </c>
      <c r="U118">
        <f t="shared" ref="U118:U120" si="65">0.3*Y18+(1-0.3)*U18</f>
        <v>0</v>
      </c>
      <c r="V118">
        <f t="shared" ref="V118:V120" si="66">0.3*Z18+(1-0.3)*V18</f>
        <v>0</v>
      </c>
    </row>
    <row r="119" spans="2:25" x14ac:dyDescent="0.25">
      <c r="C119" s="24"/>
      <c r="D119" s="23"/>
      <c r="E119" t="s">
        <v>35</v>
      </c>
      <c r="F119">
        <f t="shared" si="60"/>
        <v>0</v>
      </c>
      <c r="G119">
        <f t="shared" si="61"/>
        <v>0</v>
      </c>
      <c r="I119">
        <f t="shared" si="62"/>
        <v>0</v>
      </c>
      <c r="J119">
        <f t="shared" si="63"/>
        <v>0</v>
      </c>
      <c r="P119" s="23"/>
      <c r="Q119" t="s">
        <v>35</v>
      </c>
      <c r="R119">
        <f t="shared" si="64"/>
        <v>0</v>
      </c>
      <c r="S119">
        <f t="shared" si="64"/>
        <v>0</v>
      </c>
      <c r="U119">
        <f t="shared" si="65"/>
        <v>0</v>
      </c>
      <c r="V119">
        <f t="shared" si="66"/>
        <v>0</v>
      </c>
    </row>
    <row r="120" spans="2:25" x14ac:dyDescent="0.25">
      <c r="C120" s="24"/>
      <c r="D120" s="23"/>
      <c r="E120" t="s">
        <v>36</v>
      </c>
      <c r="F120">
        <f t="shared" si="60"/>
        <v>3.3240000000000006E-2</v>
      </c>
      <c r="G120">
        <f t="shared" si="61"/>
        <v>3.4279999999999998E-2</v>
      </c>
      <c r="I120">
        <f t="shared" si="62"/>
        <v>3.3260000000000005E-2</v>
      </c>
      <c r="J120">
        <f t="shared" si="63"/>
        <v>3.4279999999999998E-2</v>
      </c>
      <c r="L120">
        <f>0.2*X25+(1-0.2)*T25</f>
        <v>3.3960000000000004E-2</v>
      </c>
      <c r="P120" s="23"/>
      <c r="Q120" t="s">
        <v>36</v>
      </c>
      <c r="R120">
        <f t="shared" si="64"/>
        <v>3.3460000000000004E-2</v>
      </c>
      <c r="S120">
        <f t="shared" si="64"/>
        <v>3.4519999999999995E-2</v>
      </c>
      <c r="U120">
        <f t="shared" si="65"/>
        <v>3.3489999999999999E-2</v>
      </c>
      <c r="V120">
        <f t="shared" si="66"/>
        <v>3.4519999999999995E-2</v>
      </c>
      <c r="X120">
        <f>0.3*X25+(1-0.3)*T25</f>
        <v>3.4189999999999998E-2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F127" si="67">(0.05*(1-0.05)+0.05*(1-0.05))*Y11+0.05*0.05*AC11+(1-0.05*(1-0.05)-0.05*(1-0.05)-0.05*0.05)*U11</f>
        <v>0</v>
      </c>
      <c r="G125">
        <f t="shared" ref="G125:G127" si="68">(0.05*(1-0.05)+0.05*(1-0.05))*Z11+0.05*0.05*AD11+(1-0.05*(1-0.05)-0.05*(1-0.05)-0.05*0.05)*V11</f>
        <v>0</v>
      </c>
      <c r="H125">
        <f t="shared" ref="H125:H127" si="69">AE11+AA11+W11</f>
        <v>0</v>
      </c>
      <c r="I125">
        <f t="shared" ref="I125:I127" si="70">(0.05*(1-0.05)+0.05*(1-0.05))*Y18+0.05*0.05*AC18+(1-0.05*(1-0.05)-0.05*(1-0.05)-0.05*0.05)*U18</f>
        <v>0</v>
      </c>
      <c r="J125">
        <f t="shared" ref="J125:J127" si="71">(0.05*(1-0.05)+0.05*(1-0.05))*Z18+0.05*0.05*AD18+(1-0.05*(1-0.05)-0.05*(1-0.05)-0.05*0.05)*V18</f>
        <v>0</v>
      </c>
      <c r="K125">
        <f t="shared" ref="K125:K127" si="72">AE18+AA18+W18</f>
        <v>0</v>
      </c>
      <c r="O125" s="22" t="s">
        <v>40</v>
      </c>
      <c r="P125" s="23" t="s">
        <v>34</v>
      </c>
      <c r="Q125" t="s">
        <v>33</v>
      </c>
      <c r="R125">
        <f t="shared" ref="R125:R127" si="73">(0.1*0.9+0.1*0.9)*Y11+0.1*0.1*AC11+(1-0.1*0.9-0.1*0.9-0.1*0.1)*U11</f>
        <v>0</v>
      </c>
      <c r="S125">
        <f t="shared" ref="S125:S127" si="74">(0.1*0.9+0.1*0.9)*Z11+0.1*0.1*AD11+(1-0.1*0.9-0.1*0.9-0.1*0.1)*V11</f>
        <v>0</v>
      </c>
      <c r="U125">
        <f t="shared" ref="U125:U127" si="75">(0.1*0.9+0.1*0.9)*Y18+0.1*0.1*AC18+(1-0.1*0.9-0.1*0.9-0.1*0.1)*U18</f>
        <v>0</v>
      </c>
      <c r="V125">
        <f t="shared" ref="V125:V127" si="76">(0.1*0.9+0.1*0.9)*Z18+0.1*0.1*AD18+(1-0.1*0.9-0.1*0.9-0.1*0.1)*V18</f>
        <v>0</v>
      </c>
    </row>
    <row r="126" spans="2:25" x14ac:dyDescent="0.25">
      <c r="B126" s="24"/>
      <c r="C126" s="22"/>
      <c r="D126" s="23"/>
      <c r="E126" t="s">
        <v>35</v>
      </c>
      <c r="F126">
        <f t="shared" si="67"/>
        <v>0</v>
      </c>
      <c r="G126">
        <f t="shared" si="68"/>
        <v>0</v>
      </c>
      <c r="H126">
        <f t="shared" si="69"/>
        <v>0</v>
      </c>
      <c r="I126">
        <f t="shared" si="70"/>
        <v>0</v>
      </c>
      <c r="J126">
        <f t="shared" si="71"/>
        <v>0</v>
      </c>
      <c r="K126">
        <f t="shared" si="72"/>
        <v>0</v>
      </c>
      <c r="O126" s="22"/>
      <c r="P126" s="23"/>
      <c r="Q126" t="s">
        <v>35</v>
      </c>
      <c r="R126">
        <f t="shared" si="73"/>
        <v>0</v>
      </c>
      <c r="S126">
        <f t="shared" si="74"/>
        <v>0</v>
      </c>
      <c r="U126">
        <f t="shared" si="75"/>
        <v>0</v>
      </c>
      <c r="V126">
        <f t="shared" si="76"/>
        <v>0</v>
      </c>
    </row>
    <row r="127" spans="2:25" x14ac:dyDescent="0.25">
      <c r="B127" s="24"/>
      <c r="C127" s="22"/>
      <c r="D127" s="23"/>
      <c r="E127" t="s">
        <v>36</v>
      </c>
      <c r="F127">
        <f t="shared" si="67"/>
        <v>3.3019750000000007E-2</v>
      </c>
      <c r="G127">
        <f t="shared" si="68"/>
        <v>3.4039750000000001E-2</v>
      </c>
      <c r="H127">
        <f t="shared" si="69"/>
        <v>3.4199970000000004</v>
      </c>
      <c r="I127">
        <f t="shared" si="70"/>
        <v>3.3029750000000004E-2</v>
      </c>
      <c r="J127">
        <f t="shared" si="71"/>
        <v>3.4039750000000001E-2</v>
      </c>
      <c r="K127">
        <f t="shared" si="72"/>
        <v>8.1604549999999989</v>
      </c>
      <c r="L127">
        <f>(0.05*(1-0.05)+0.05*(1-0.05))*X25+0.05*0.05*AB25+(1-0.05*(1-0.05)-0.05*(1-0.05)-0.05*0.05)*T25</f>
        <v>3.3729750000000003E-2</v>
      </c>
      <c r="M127">
        <f>AE25+AA25+W25</f>
        <v>9.6732200000000006</v>
      </c>
      <c r="O127" s="22"/>
      <c r="P127" s="23"/>
      <c r="Q127" t="s">
        <v>36</v>
      </c>
      <c r="R127">
        <f t="shared" si="73"/>
        <v>3.3239000000000005E-2</v>
      </c>
      <c r="S127">
        <f t="shared" si="74"/>
        <v>3.4279000000000004E-2</v>
      </c>
      <c r="U127">
        <f t="shared" si="75"/>
        <v>3.3259000000000004E-2</v>
      </c>
      <c r="V127">
        <f t="shared" si="76"/>
        <v>3.4279000000000004E-2</v>
      </c>
      <c r="X127">
        <f>(0.1*0.9+0.1*0.9)*X25+0.1*0.1*AB25+(1-0.1*0.9-0.1*0.9-0.1*0.1)*T25</f>
        <v>3.3959000000000003E-2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F133" si="77">(0.2*0.8+0.2*0.8)*Y11+0.2*0.2*AC11+(1-0.2*0.8-0.2*0.8-0.2*0.2)*U11</f>
        <v>0</v>
      </c>
      <c r="G131">
        <f t="shared" ref="G131:G133" si="78">(0.2*0.8+0.2*0.8)*Z11+0.2*0.2*AD11+(1-0.2*0.8-0.2*0.8-0.2*0.2)*V11</f>
        <v>0</v>
      </c>
      <c r="I131">
        <f t="shared" ref="I131:I133" si="79">(0.2*0.8+0.2*0.8)*Y18+0.2*0.2*AC18+(1-0.2*0.8-0.2*0.8-0.2*0.2)*U18</f>
        <v>0</v>
      </c>
      <c r="J131">
        <f t="shared" ref="J131:J133" si="80">(0.2*0.8+0.2*0.8)*Z18+0.2*0.2*AD18+(1-0.2*0.8-0.2*0.8-0.2*0.2)*V18</f>
        <v>0</v>
      </c>
      <c r="O131" s="22" t="s">
        <v>42</v>
      </c>
      <c r="P131" s="23" t="s">
        <v>38</v>
      </c>
      <c r="Q131" t="s">
        <v>33</v>
      </c>
      <c r="R131">
        <f t="shared" ref="R131:R133" si="81">(0.3*0.7+0.3*0.7)*Y11+0.3*0.3*AC11+(1-0.3*0.7-0.3*0.7-0.3*0.3)*U11</f>
        <v>0</v>
      </c>
      <c r="S131">
        <f t="shared" ref="S131:S133" si="82">(0.3*0.7+0.3*0.7)*Z11+0.3*0.3*AD11+(1-0.3*0.7-0.3*0.7-0.3*0.3)*V11</f>
        <v>0</v>
      </c>
      <c r="U131">
        <f t="shared" ref="U131:U133" si="83">(0.3*0.7+0.3*0.7)*Y18+0.3*0.3*AC18+(1-0.3*0.7-0.3*0.7-0.3*0.3)*U18</f>
        <v>0</v>
      </c>
      <c r="V131">
        <f t="shared" ref="V131:V133" si="84">(0.3*0.7+0.3*0.7)*Z18+0.3*0.3*AD18+(1-0.3*0.7-0.3*0.7-0.3*0.3)*V18</f>
        <v>0</v>
      </c>
    </row>
    <row r="132" spans="1:25" x14ac:dyDescent="0.25">
      <c r="B132" s="24"/>
      <c r="C132" s="22"/>
      <c r="D132" s="23"/>
      <c r="E132" t="s">
        <v>35</v>
      </c>
      <c r="F132">
        <f t="shared" si="77"/>
        <v>0</v>
      </c>
      <c r="G132">
        <f t="shared" si="78"/>
        <v>0</v>
      </c>
      <c r="I132">
        <f t="shared" si="79"/>
        <v>0</v>
      </c>
      <c r="J132">
        <f t="shared" si="80"/>
        <v>0</v>
      </c>
      <c r="O132" s="22"/>
      <c r="P132" s="23"/>
      <c r="Q132" t="s">
        <v>35</v>
      </c>
      <c r="R132">
        <f t="shared" si="81"/>
        <v>0</v>
      </c>
      <c r="S132">
        <f t="shared" si="82"/>
        <v>0</v>
      </c>
      <c r="U132">
        <f t="shared" si="83"/>
        <v>0</v>
      </c>
      <c r="V132">
        <f t="shared" si="84"/>
        <v>0</v>
      </c>
    </row>
    <row r="133" spans="1:25" x14ac:dyDescent="0.25">
      <c r="B133" s="24"/>
      <c r="C133" s="22"/>
      <c r="D133" s="23"/>
      <c r="E133" t="s">
        <v>36</v>
      </c>
      <c r="F133">
        <f t="shared" si="77"/>
        <v>3.3676000000000005E-2</v>
      </c>
      <c r="G133">
        <f t="shared" si="78"/>
        <v>3.4755999999999995E-2</v>
      </c>
      <c r="I133">
        <f t="shared" si="79"/>
        <v>3.3716000000000003E-2</v>
      </c>
      <c r="J133">
        <f t="shared" si="80"/>
        <v>3.4755999999999995E-2</v>
      </c>
      <c r="L133">
        <f>(0.2*0.8+0.2*0.8)*X25+0.2*0.2*AB25+(1-0.2*0.8-0.2*0.8-0.2*0.2)*T25</f>
        <v>3.4416000000000002E-2</v>
      </c>
      <c r="O133" s="22"/>
      <c r="P133" s="23"/>
      <c r="Q133" t="s">
        <v>36</v>
      </c>
      <c r="R133">
        <f t="shared" si="81"/>
        <v>3.4111000000000002E-2</v>
      </c>
      <c r="S133">
        <f t="shared" si="82"/>
        <v>3.5230999999999998E-2</v>
      </c>
      <c r="U133">
        <f t="shared" si="83"/>
        <v>3.4171000000000007E-2</v>
      </c>
      <c r="V133">
        <f t="shared" si="84"/>
        <v>3.5230999999999998E-2</v>
      </c>
      <c r="X133">
        <f>(0.3*0.7+0.3*0.7)*X25+0.3*0.3*AB25+(1-0.3*0.7-0.3*0.7-0.3*0.3)*T25</f>
        <v>3.4871000000000006E-2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5">3*0.05*(1-0.05)*(1-0.05)*Y18+3*0.05*0.05*(1-0.05)*AC18+0.05*0.05*0.05*AG18+(1-3*0.05*(1-0.05)*(1-0.05)-3*0.05*0.05*(1-0.05)-0.05*0.05*0.05)*U18</f>
        <v>0</v>
      </c>
      <c r="J138">
        <f t="shared" ref="J138:J140" si="86">3*0.05*(1-0.05)*(1-0.05)*Z18+3*0.05*0.05*(1-0.05)*AD18+0.05*0.05*0.05*AH18+(1-3*0.05*(1-0.05)*(1-0.05)-3*0.05*0.05*(1-0.05)-0.05*0.05*0.05)*V18</f>
        <v>0</v>
      </c>
      <c r="K138">
        <f t="shared" ref="K138:K140" si="87">AI18+AE18+AA18+W18</f>
        <v>0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R140" si="88">3*0.1*(1-0.1)*(1-0.1)*Y11+3*0.1*0.1*(1-0.1)*AC11+0.1*0.1*0.1*AG11+(1-3*0.1*(1-0.1)*(1-0.1)-3*0.1*0.1*(1-0.1)-0.1*0.1*0.1)*U11</f>
        <v>0</v>
      </c>
      <c r="S138">
        <f t="shared" ref="S138:S140" si="89">3*0.1*(1-0.1)*(1-0.1)*Z11+3*0.1*0.1*(1-0.1)*AD11+0.1*0.1*0.1*AH11+(1-3*0.1*(1-0.1)*(1-0.1)-3*0.1*0.1*(1-0.1)-0.1*0.1*0.1)*V11</f>
        <v>0</v>
      </c>
      <c r="U138">
        <f t="shared" ref="U138:U140" si="90">3*0.1*(1-0.1)*(1-0.1)*Y18+3*0.1*0.1*(1-0.1)*AC18+0.1*0.1*0.1*AG18+(1-3*0.1*(1-0.1)*(1-0.1)-3*0.1*0.1*(1-0.1)-0.1*0.1*0.1)*U18</f>
        <v>0</v>
      </c>
      <c r="V138">
        <f t="shared" ref="V138:V140" si="91">3*0.1*(1-0.1)*(1-0.1)*Z18+3*0.1*0.1*(1-0.1)*AD18+0.1*0.1*0.1*AH18+(1-3*0.1*(1-0.1)*(1-0.1)-3*0.1*0.1*(1-0.1)-0.1*0.1*0.1)*V18</f>
        <v>0</v>
      </c>
    </row>
    <row r="139" spans="1:25" x14ac:dyDescent="0.25">
      <c r="A139" s="24"/>
      <c r="B139" s="26"/>
      <c r="C139" s="22"/>
      <c r="D139" s="23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5"/>
        <v>0</v>
      </c>
      <c r="J139">
        <f t="shared" si="86"/>
        <v>0</v>
      </c>
      <c r="K139">
        <f t="shared" si="87"/>
        <v>0</v>
      </c>
      <c r="N139" s="26"/>
      <c r="O139" s="22"/>
      <c r="P139" s="23"/>
      <c r="Q139" t="s">
        <v>35</v>
      </c>
      <c r="R139">
        <f t="shared" si="88"/>
        <v>0</v>
      </c>
      <c r="S139">
        <f t="shared" si="89"/>
        <v>0</v>
      </c>
      <c r="U139">
        <f t="shared" si="90"/>
        <v>0</v>
      </c>
      <c r="V139">
        <f t="shared" si="91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>3*0.05*(1-0.05)*(1-0.05)*Y20+3*0.05*0.05*(1-0.05)*AC13+0.05*0.05*0.05*AG13+(1-3*0.05*(1-0.05)*(1-0.05)-3*0.05*0.05*(1-0.05)-0.05*0.05*0.05)*U13</f>
        <v>3.31428125E-2</v>
      </c>
      <c r="G140">
        <f>3*0.05*(1-0.05)*(1-0.05)*Z20+3*0.05*0.05*(1-0.05)*AD13+0.05*0.05*0.05*AH13+(1-3*0.05*(1-0.05)*(1-0.05)-3*0.05*0.05*(1-0.05)-0.05*0.05*0.05)*V13</f>
        <v>3.4159249999999988E-2</v>
      </c>
      <c r="H140">
        <f>AI13+AE13+AA20+W13</f>
        <v>6.0028239999999995</v>
      </c>
      <c r="I140">
        <f t="shared" si="85"/>
        <v>3.314425E-2</v>
      </c>
      <c r="J140">
        <f t="shared" si="86"/>
        <v>3.4159249999999988E-2</v>
      </c>
      <c r="K140">
        <f t="shared" si="87"/>
        <v>10.597042</v>
      </c>
      <c r="L140">
        <f>3*0.05*(1-0.05)*(1-0.05)*X25+3*0.05*0.05*(1-0.05)*AB25+0.05*0.05*0.05*AF25+(1-3*0.05*(1-0.05)*(1-0.05)-3*0.05*0.05*(1-0.05)-0.05*0.05*0.05)*T25</f>
        <v>3.38442625E-2</v>
      </c>
      <c r="M140">
        <f>AI25+AE25+AA25+W25</f>
        <v>12.90924</v>
      </c>
      <c r="N140" s="26"/>
      <c r="O140" s="22"/>
      <c r="P140" s="23"/>
      <c r="Q140" t="s">
        <v>36</v>
      </c>
      <c r="R140">
        <f t="shared" si="88"/>
        <v>3.3457199999999999E-2</v>
      </c>
      <c r="S140">
        <f t="shared" si="89"/>
        <v>3.4516999999999999E-2</v>
      </c>
      <c r="U140">
        <f t="shared" si="90"/>
        <v>3.3487000000000003E-2</v>
      </c>
      <c r="V140">
        <f t="shared" si="91"/>
        <v>3.4516999999999999E-2</v>
      </c>
      <c r="X140">
        <f>3*0.1*(1-0.1)*(1-0.1)*X25+3*0.1*0.1*(1-0.1)*AB25+0.1*0.1*0.1*AF25+(1-3*0.1*(1-0.1)*(1-0.1)-3*0.1*0.1*(1-0.1)-0.1*0.1*0.1)*T25</f>
        <v>3.4187100000000005E-2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2">3*0.2*(1-0.2)*(1-0.2)*Y18+3*0.2*0.2*(1-0.2)*AC18+0.2*0.2*0.2*AG18+(1-3*0.2*(1-0.2)*(1-0.2)-3*0.2*0.2*(1-0.2)-0.2*0.2*0.2)*U18</f>
        <v>0</v>
      </c>
      <c r="J144">
        <f t="shared" ref="J144:J146" si="93">3*0.2*(1-0.2)*(1-0.2)*Z18+3*0.2*0.2*(1-0.2)*AD18+0.2*0.2*0.2*AH18+(1-3*0.2*(1-0.2)*(1-0.2)-3*0.2*0.2*(1-0.2)-0.2*0.2*0.2)*V18</f>
        <v>0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R146" si="94">3*0.3*(1-0.3)*(1-0.3)*Y11+3*0.3*0.3*(1-0.3)*AC11+0.3*0.3*0.3*AG11+(1-3*0.3*(1-0.3)*(1-0.3)-3*0.3*0.3*(1-0.3)-0.3*0.3*0.3)*U11</f>
        <v>0</v>
      </c>
      <c r="S144">
        <f t="shared" ref="S144:S146" si="95">3*0.3*(1-0.3)*(1-0.3)*Z11+3*0.3*0.3*(1-0.3)*AD11+0.3*0.3*0.3*AH11+(1-3*0.3*(1-0.3)*(1-0.3)-3*0.3*0.3*(1-0.3)-0.3*0.3*0.3)*V11</f>
        <v>0</v>
      </c>
      <c r="U144">
        <f t="shared" ref="U144:U146" si="96">3*0.3*(1-0.3)*(1-0.3)*Y18+3*0.3*0.3*(1-0.3)*AC18+0.3*0.3*0.3*AG18+(1-3*0.3*(1-0.3)*(1-0.3)-3*0.3*0.3*(1-0.3)-0.3*0.3*0.3)*U18</f>
        <v>0</v>
      </c>
      <c r="V144">
        <f t="shared" ref="V144:V146" si="97">3*0.3*(1-0.3)*(1-0.3)*Z18+3*0.3*0.3*(1-0.3)*AD18+0.3*0.3*0.3*AH18+(1-3*0.3*(1-0.3)*(1-0.3)-3*0.3*0.3*(1-0.3)-0.3*0.3*0.3)*V18</f>
        <v>0</v>
      </c>
    </row>
    <row r="145" spans="1:25" x14ac:dyDescent="0.25">
      <c r="A145" s="24"/>
      <c r="B145" s="26"/>
      <c r="C145" s="22"/>
      <c r="D145" s="23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2"/>
        <v>0</v>
      </c>
      <c r="J145">
        <f t="shared" si="93"/>
        <v>0</v>
      </c>
      <c r="N145" s="26"/>
      <c r="O145" s="22"/>
      <c r="P145" s="23"/>
      <c r="Q145" t="s">
        <v>35</v>
      </c>
      <c r="R145">
        <f t="shared" si="94"/>
        <v>0</v>
      </c>
      <c r="S145">
        <f t="shared" si="95"/>
        <v>0</v>
      </c>
      <c r="U145">
        <f t="shared" si="96"/>
        <v>0</v>
      </c>
      <c r="V145">
        <f t="shared" si="97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>3*0.2*(1-0.2)*(1-0.2)*Y20+3*0.2*0.2*(1-0.2)*AC13+0.2*0.2*0.2*AG13+(1-3*0.2*(1-0.2)*(1-0.2)-3*0.2*0.2*(1-0.2)-0.2*0.2*0.2)*U13</f>
        <v>3.4147999999999998E-2</v>
      </c>
      <c r="G146">
        <f>3*0.2*(1-0.2)*(1-0.2)*Z20+3*0.2*0.2*(1-0.2)*AD13+0.2*0.2*0.2*AH13+(1-3*0.2*(1-0.2)*(1-0.2)-3*0.2*0.2*(1-0.2)-0.2*0.2*0.2)*V13</f>
        <v>3.5227999999999995E-2</v>
      </c>
      <c r="I146">
        <f t="shared" si="92"/>
        <v>3.4168000000000004E-2</v>
      </c>
      <c r="J146">
        <f t="shared" si="93"/>
        <v>3.5227999999999995E-2</v>
      </c>
      <c r="L146">
        <f>3*0.2*(1-0.2)*(1-0.2)*X25+3*0.2*0.2*(1-0.2)*AB25+0.2*0.2*0.2*AF25+(1-3*0.2*(1-0.2)*(1-0.2)-3*0.2*0.2*(1-0.2)-0.2*0.2*0.2)*T25</f>
        <v>3.4868799999999998E-2</v>
      </c>
      <c r="N146" s="26"/>
      <c r="O146" s="22"/>
      <c r="P146" s="23"/>
      <c r="Q146" t="s">
        <v>36</v>
      </c>
      <c r="R146">
        <f t="shared" si="94"/>
        <v>3.4758400000000002E-2</v>
      </c>
      <c r="S146">
        <f t="shared" si="95"/>
        <v>3.5933E-2</v>
      </c>
      <c r="U146">
        <f t="shared" si="96"/>
        <v>3.4842999999999999E-2</v>
      </c>
      <c r="V146">
        <f t="shared" si="97"/>
        <v>3.5933E-2</v>
      </c>
      <c r="X146">
        <f>3*0.3*(1-0.3)*(1-0.3)*X25+3*0.3*0.3*(1-0.3)*AB25+0.3*0.3*0.3*AF25+(1-3*0.3*(1-0.3)*(1-0.3)-3*0.3*0.3*(1-0.3)-0.3*0.3*0.3)*T25</f>
        <v>3.55457E-2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F153" si="98">0.05*G32+(1-0.05)*C32</f>
        <v>0</v>
      </c>
      <c r="G151">
        <f t="shared" ref="G151:G153" si="99">0.05*H32+(1-0.05)*D32</f>
        <v>0</v>
      </c>
      <c r="H151">
        <f t="shared" ref="H151:H153" si="100">I32++E32</f>
        <v>0</v>
      </c>
      <c r="I151">
        <f t="shared" ref="I151:I153" si="101">0.05*G39+(1-0.05)*C39</f>
        <v>0</v>
      </c>
      <c r="J151">
        <f t="shared" ref="J151:J153" si="102">0.05*H39+(1-0.05)*D39</f>
        <v>0</v>
      </c>
      <c r="K151">
        <f t="shared" ref="K151:K153" si="103">I39+E39</f>
        <v>0</v>
      </c>
      <c r="P151" s="23" t="s">
        <v>34</v>
      </c>
      <c r="Q151" t="s">
        <v>33</v>
      </c>
      <c r="R151">
        <f t="shared" ref="R151:R153" si="104">0.1*G32+(1-0.1)*C32</f>
        <v>0</v>
      </c>
      <c r="S151">
        <f t="shared" ref="S151:S153" si="105">0.1*H32+(1-0.1)*D32</f>
        <v>0</v>
      </c>
      <c r="U151">
        <f t="shared" ref="U151:U153" si="106">0.1*G39+(1-0.1)*C39</f>
        <v>0</v>
      </c>
      <c r="V151">
        <f t="shared" ref="V151:V153" si="107">0.1*H39+(1-0.1)*D39</f>
        <v>0</v>
      </c>
    </row>
    <row r="152" spans="1:25" x14ac:dyDescent="0.25">
      <c r="C152" s="24"/>
      <c r="D152" s="23"/>
      <c r="E152" t="s">
        <v>35</v>
      </c>
      <c r="F152">
        <f t="shared" si="98"/>
        <v>0</v>
      </c>
      <c r="G152">
        <f t="shared" si="99"/>
        <v>0</v>
      </c>
      <c r="H152">
        <f t="shared" si="100"/>
        <v>0</v>
      </c>
      <c r="I152">
        <f t="shared" si="101"/>
        <v>0</v>
      </c>
      <c r="J152">
        <f t="shared" si="102"/>
        <v>0</v>
      </c>
      <c r="K152">
        <f t="shared" si="103"/>
        <v>0</v>
      </c>
      <c r="P152" s="23"/>
      <c r="Q152" t="s">
        <v>35</v>
      </c>
      <c r="R152">
        <f t="shared" si="104"/>
        <v>0</v>
      </c>
      <c r="S152">
        <f t="shared" si="105"/>
        <v>0</v>
      </c>
      <c r="U152">
        <f t="shared" si="106"/>
        <v>0</v>
      </c>
      <c r="V152">
        <f t="shared" si="107"/>
        <v>0</v>
      </c>
    </row>
    <row r="153" spans="1:25" x14ac:dyDescent="0.25">
      <c r="C153" s="24"/>
      <c r="D153" s="23"/>
      <c r="E153" t="s">
        <v>36</v>
      </c>
      <c r="F153">
        <f t="shared" si="98"/>
        <v>2.478E-2</v>
      </c>
      <c r="G153">
        <f t="shared" si="99"/>
        <v>3.0005E-2</v>
      </c>
      <c r="H153">
        <f t="shared" si="100"/>
        <v>2.2055879999999997</v>
      </c>
      <c r="I153">
        <f t="shared" si="101"/>
        <v>2.4815E-2</v>
      </c>
      <c r="J153">
        <f t="shared" si="102"/>
        <v>0.03</v>
      </c>
      <c r="K153">
        <f t="shared" si="103"/>
        <v>6.1167999999999996</v>
      </c>
      <c r="L153">
        <f>0.05*F46+(1-0.05)*B46</f>
        <v>2.8199999999999999E-2</v>
      </c>
      <c r="M153">
        <f>I46+E46</f>
        <v>6.4478960000000001</v>
      </c>
      <c r="P153" s="23"/>
      <c r="Q153" t="s">
        <v>36</v>
      </c>
      <c r="R153">
        <f t="shared" si="104"/>
        <v>2.486E-2</v>
      </c>
      <c r="S153">
        <f t="shared" si="105"/>
        <v>3.0110000000000001E-2</v>
      </c>
      <c r="U153">
        <f t="shared" si="106"/>
        <v>2.4930000000000001E-2</v>
      </c>
      <c r="V153">
        <f t="shared" si="107"/>
        <v>3.0100000000000002E-2</v>
      </c>
      <c r="X153">
        <f>0.1*F46+(1-0.1)*B46</f>
        <v>2.8299999999999999E-2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F159" si="108">0.2*G32+(1-0.2)*C32</f>
        <v>0</v>
      </c>
      <c r="G157">
        <f t="shared" ref="G157:G159" si="109">0.2*H32+(1-0.2)*D32</f>
        <v>0</v>
      </c>
      <c r="I157">
        <f t="shared" ref="I157:I159" si="110">0.2*G39+(1-0.2)*C39</f>
        <v>0</v>
      </c>
      <c r="J157">
        <f t="shared" ref="J157:J159" si="111">0.2*H39+(1-0.2)*D39</f>
        <v>0</v>
      </c>
      <c r="P157" s="23" t="s">
        <v>38</v>
      </c>
      <c r="Q157" t="s">
        <v>33</v>
      </c>
      <c r="R157">
        <f t="shared" ref="R157:R159" si="112">0.3*G32+(1-0.3)*C32</f>
        <v>0</v>
      </c>
      <c r="S157">
        <f t="shared" ref="S157:S159" si="113">0.3*H32+(1-0.3)*D32</f>
        <v>0</v>
      </c>
      <c r="U157">
        <f t="shared" ref="U157:U159" si="114">0.3*G39+(1-0.3)*C39</f>
        <v>0</v>
      </c>
      <c r="V157">
        <f t="shared" ref="V157:V159" si="115">0.3*H39+(1-0.3)*D39</f>
        <v>0</v>
      </c>
    </row>
    <row r="158" spans="1:25" x14ac:dyDescent="0.25">
      <c r="C158" s="24"/>
      <c r="D158" s="23"/>
      <c r="E158" t="s">
        <v>35</v>
      </c>
      <c r="F158">
        <f t="shared" si="108"/>
        <v>0</v>
      </c>
      <c r="G158">
        <f t="shared" si="109"/>
        <v>0</v>
      </c>
      <c r="I158">
        <f t="shared" si="110"/>
        <v>0</v>
      </c>
      <c r="J158">
        <f t="shared" si="111"/>
        <v>0</v>
      </c>
      <c r="P158" s="23"/>
      <c r="Q158" t="s">
        <v>35</v>
      </c>
      <c r="R158">
        <f t="shared" si="112"/>
        <v>0</v>
      </c>
      <c r="S158">
        <f t="shared" si="113"/>
        <v>0</v>
      </c>
      <c r="U158">
        <f t="shared" si="114"/>
        <v>0</v>
      </c>
      <c r="V158">
        <f t="shared" si="115"/>
        <v>0</v>
      </c>
    </row>
    <row r="159" spans="1:25" x14ac:dyDescent="0.25">
      <c r="C159" s="24"/>
      <c r="D159" s="23"/>
      <c r="E159" t="s">
        <v>36</v>
      </c>
      <c r="F159">
        <f t="shared" si="108"/>
        <v>2.5020000000000001E-2</v>
      </c>
      <c r="G159">
        <f t="shared" si="109"/>
        <v>3.032E-2</v>
      </c>
      <c r="I159">
        <f t="shared" si="110"/>
        <v>2.5160000000000002E-2</v>
      </c>
      <c r="J159">
        <f t="shared" si="111"/>
        <v>3.0300000000000001E-2</v>
      </c>
      <c r="L159">
        <f>0.2*F46+(1-0.2)*B46</f>
        <v>2.8500000000000001E-2</v>
      </c>
      <c r="P159" s="23"/>
      <c r="Q159" t="s">
        <v>36</v>
      </c>
      <c r="R159">
        <f t="shared" si="112"/>
        <v>2.5180000000000001E-2</v>
      </c>
      <c r="S159">
        <f t="shared" si="113"/>
        <v>3.0529999999999995E-2</v>
      </c>
      <c r="U159">
        <f t="shared" si="114"/>
        <v>2.5389999999999999E-2</v>
      </c>
      <c r="V159">
        <f t="shared" si="115"/>
        <v>3.0499999999999996E-2</v>
      </c>
      <c r="X159">
        <f>0.3*F46+(1-0.3)*B46</f>
        <v>2.87E-2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F166" si="116">(0.05*(1-0.05)+0.05*(1-0.05))*G32+0.05*0.05*K32+(1-0.05*(1-0.05)-0.05*(1-0.05)-0.05*0.05)*C32</f>
        <v>0</v>
      </c>
      <c r="G164">
        <f t="shared" ref="G164:G166" si="117">(0.05*(1-0.05)+0.05*(1-0.05))*H32+0.05*0.05*L32+(1-0.05*(1-0.05)-0.05*(1-0.05)-0.05*0.05)*D32</f>
        <v>0</v>
      </c>
      <c r="H164">
        <f t="shared" ref="H164:H166" si="118">M32+I32+E32</f>
        <v>0</v>
      </c>
      <c r="I164">
        <f t="shared" ref="I164:I166" si="119">(0.05*(1-0.05)+0.05*(1-0.05))*G39+0.05*0.05*K39+(1-0.05*(1-0.05)-0.05*(1-0.05)-0.05*0.05)*C39</f>
        <v>0</v>
      </c>
      <c r="J164">
        <f t="shared" ref="J164:J166" si="120">(0.05*(1-0.05)+0.05*(1-0.05))*H39+0.05*0.05*L39+(1-0.05*(1-0.05)-0.05*(1-0.05)-0.05*0.05)*D39</f>
        <v>0</v>
      </c>
      <c r="K164">
        <f t="shared" ref="K164:K166" si="121">M39+I39+E39</f>
        <v>0</v>
      </c>
      <c r="O164" s="22" t="s">
        <v>40</v>
      </c>
      <c r="P164" s="23" t="s">
        <v>34</v>
      </c>
      <c r="Q164" t="s">
        <v>33</v>
      </c>
      <c r="R164">
        <f t="shared" ref="R164:R166" si="122">(0.1*0.9+0.1*0.9)*G32+0.1*0.1*K32+(1-0.1*0.9-0.1*0.9-0.1*0.1)*C32</f>
        <v>0</v>
      </c>
      <c r="S164">
        <f t="shared" ref="S164:S166" si="123">(0.1*0.9+0.1*0.9)*H32+0.1*0.1*L32+(1-0.1*0.9-0.1*0.9-0.1*0.1)*D32</f>
        <v>0</v>
      </c>
      <c r="U164">
        <f t="shared" ref="U164:U166" si="124">(0.1*0.9+0.1*0.9)*G39+0.1*0.1*K39+(1-0.1*0.9-0.1*0.9-0.1*0.1)*C39</f>
        <v>0</v>
      </c>
      <c r="V164">
        <f t="shared" ref="V164:V166" si="125">(0.1*0.9+0.1*0.9)*H39+0.1*0.1*L39+(1-0.1*0.9-0.1*0.9-0.1*0.1)*D39</f>
        <v>0</v>
      </c>
    </row>
    <row r="165" spans="2:25" x14ac:dyDescent="0.25">
      <c r="B165" s="24"/>
      <c r="C165" s="22"/>
      <c r="D165" s="23"/>
      <c r="E165" t="s">
        <v>35</v>
      </c>
      <c r="F165">
        <f t="shared" si="116"/>
        <v>0</v>
      </c>
      <c r="G165">
        <f t="shared" si="117"/>
        <v>0</v>
      </c>
      <c r="H165">
        <f t="shared" si="118"/>
        <v>0</v>
      </c>
      <c r="I165">
        <f t="shared" si="119"/>
        <v>0</v>
      </c>
      <c r="J165">
        <f t="shared" si="120"/>
        <v>0</v>
      </c>
      <c r="K165">
        <f t="shared" si="121"/>
        <v>0</v>
      </c>
      <c r="O165" s="22"/>
      <c r="P165" s="23"/>
      <c r="Q165" t="s">
        <v>35</v>
      </c>
      <c r="R165">
        <f t="shared" si="122"/>
        <v>0</v>
      </c>
      <c r="S165">
        <f t="shared" si="123"/>
        <v>0</v>
      </c>
      <c r="U165">
        <f t="shared" si="124"/>
        <v>0</v>
      </c>
      <c r="V165">
        <f t="shared" si="125"/>
        <v>0</v>
      </c>
    </row>
    <row r="166" spans="2:25" x14ac:dyDescent="0.25">
      <c r="B166" s="24"/>
      <c r="C166" s="22"/>
      <c r="D166" s="23"/>
      <c r="E166" t="s">
        <v>36</v>
      </c>
      <c r="F166">
        <f t="shared" si="116"/>
        <v>2.4860000000000004E-2</v>
      </c>
      <c r="G166">
        <f t="shared" si="117"/>
        <v>3.0109750000000001E-2</v>
      </c>
      <c r="H166">
        <f t="shared" si="118"/>
        <v>3.3789490000000004</v>
      </c>
      <c r="I166">
        <f t="shared" si="119"/>
        <v>2.4928000000000002E-2</v>
      </c>
      <c r="J166">
        <f t="shared" si="120"/>
        <v>3.0100000000000002E-2</v>
      </c>
      <c r="K166">
        <f t="shared" si="121"/>
        <v>9.0474789999999992</v>
      </c>
      <c r="L166">
        <f>(0.05*(1-0.05)+0.05*(1-0.05))*F46+0.05*0.05*J46+(1-0.05*(1-0.05)-0.05*(1-0.05)-0.05*0.05)*B46</f>
        <v>2.8299500000000002E-2</v>
      </c>
      <c r="M166">
        <f>M46+I46+E46</f>
        <v>9.6693219999999993</v>
      </c>
      <c r="O166" s="22"/>
      <c r="P166" s="23"/>
      <c r="Q166" t="s">
        <v>36</v>
      </c>
      <c r="R166">
        <f t="shared" si="122"/>
        <v>2.5020000000000001E-2</v>
      </c>
      <c r="S166">
        <f t="shared" si="123"/>
        <v>3.0319000000000002E-2</v>
      </c>
      <c r="U166">
        <f t="shared" si="124"/>
        <v>2.5152000000000001E-2</v>
      </c>
      <c r="V166">
        <f t="shared" si="125"/>
        <v>3.0300000000000001E-2</v>
      </c>
      <c r="X166">
        <f>(0.1*0.9+0.1*0.9)*F46+0.1*0.1*J46+(1-0.1*0.9-0.1*0.9-0.1*0.1)*B46</f>
        <v>2.8497999999999999E-2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F172" si="126">(0.2*0.8+0.2*0.8)*G32+0.2*0.2*K32+(1-0.2*0.8-0.2*0.8-0.2*0.2)*C32</f>
        <v>0</v>
      </c>
      <c r="G170">
        <f t="shared" ref="G170:G172" si="127">(0.2*0.8+0.2*0.8)*H32+0.2*0.2*L32+(1-0.2*0.8-0.2*0.8-0.2*0.2)*D32</f>
        <v>0</v>
      </c>
      <c r="I170">
        <f t="shared" ref="I170:I172" si="128">(0.2*0.8+0.2*0.8)*G39+0.2*0.2*K39+(1-0.2*0.8-0.2*0.8-0.2*0.2)*C39</f>
        <v>0</v>
      </c>
      <c r="J170">
        <f t="shared" ref="J170:J172" si="129">(0.2*0.8+0.2*0.8)*H39+0.2*0.2*L39+(1-0.2*0.8-0.2*0.8-0.2*0.2)*D39</f>
        <v>0</v>
      </c>
      <c r="O170" s="22" t="s">
        <v>42</v>
      </c>
      <c r="P170" s="23" t="s">
        <v>38</v>
      </c>
      <c r="Q170" t="s">
        <v>33</v>
      </c>
      <c r="R170">
        <f t="shared" ref="R170:R172" si="130">(0.3*0.7+0.3*0.7)*G32+0.3*0.3*K32+(1-0.3*0.7-0.3*0.7-0.3*0.3)*C32</f>
        <v>0</v>
      </c>
      <c r="S170">
        <f t="shared" ref="S170:S172" si="131">(0.3*0.7+0.3*0.7)*H32+0.3*0.3*L32+(1-0.3*0.7-0.3*0.7-0.3*0.3)*D32</f>
        <v>0</v>
      </c>
      <c r="U170">
        <f t="shared" ref="U170:U172" si="132">(0.3*0.7+0.3*0.7)*G39+0.3*0.3*K39+(1-0.3*0.7-0.3*0.7-0.3*0.3)*C39</f>
        <v>0</v>
      </c>
      <c r="V170">
        <f t="shared" ref="V170:V172" si="133">(0.3*0.7+0.3*0.7)*H39+0.3*0.3*L39+(1-0.3*0.7-0.3*0.7-0.3*0.3)*D39</f>
        <v>0</v>
      </c>
    </row>
    <row r="171" spans="2:25" x14ac:dyDescent="0.25">
      <c r="B171" s="24"/>
      <c r="C171" s="22"/>
      <c r="D171" s="23"/>
      <c r="E171" t="s">
        <v>35</v>
      </c>
      <c r="F171">
        <f t="shared" si="126"/>
        <v>0</v>
      </c>
      <c r="G171">
        <f t="shared" si="127"/>
        <v>0</v>
      </c>
      <c r="I171">
        <f t="shared" si="128"/>
        <v>0</v>
      </c>
      <c r="J171">
        <f t="shared" si="129"/>
        <v>0</v>
      </c>
      <c r="O171" s="22"/>
      <c r="P171" s="23"/>
      <c r="Q171" t="s">
        <v>35</v>
      </c>
      <c r="R171">
        <f t="shared" si="130"/>
        <v>0</v>
      </c>
      <c r="S171">
        <f t="shared" si="131"/>
        <v>0</v>
      </c>
      <c r="U171">
        <f t="shared" si="132"/>
        <v>0</v>
      </c>
      <c r="V171">
        <f t="shared" si="133"/>
        <v>0</v>
      </c>
    </row>
    <row r="172" spans="2:25" x14ac:dyDescent="0.25">
      <c r="B172" s="24"/>
      <c r="C172" s="22"/>
      <c r="D172" s="23"/>
      <c r="E172" t="s">
        <v>36</v>
      </c>
      <c r="F172">
        <f t="shared" si="126"/>
        <v>2.5340000000000001E-2</v>
      </c>
      <c r="G172">
        <f t="shared" si="127"/>
        <v>3.0735999999999999E-2</v>
      </c>
      <c r="I172">
        <f t="shared" si="128"/>
        <v>2.5588E-2</v>
      </c>
      <c r="J172">
        <f t="shared" si="129"/>
        <v>3.0699999999999998E-2</v>
      </c>
      <c r="L172">
        <f>(0.2*0.8+0.2*0.8)*F46+0.2*0.2*J46+(1-0.2*0.8-0.2*0.8-0.2*0.2)*B46</f>
        <v>2.8891999999999998E-2</v>
      </c>
      <c r="O172" s="22"/>
      <c r="P172" s="23"/>
      <c r="Q172" t="s">
        <v>36</v>
      </c>
      <c r="R172">
        <f t="shared" si="130"/>
        <v>2.5660000000000002E-2</v>
      </c>
      <c r="S172">
        <f t="shared" si="131"/>
        <v>3.1151000000000005E-2</v>
      </c>
      <c r="U172">
        <f t="shared" si="132"/>
        <v>2.6008000000000003E-2</v>
      </c>
      <c r="V172">
        <f t="shared" si="133"/>
        <v>3.1100000000000003E-2</v>
      </c>
      <c r="X172">
        <f>(0.3*0.7+0.3*0.7)*F46+0.3*0.3*J46+(1-0.3*0.7-0.3*0.7-0.3*0.3)*B46</f>
        <v>2.9282000000000002E-2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F179" si="134">3*0.05*(1-0.05)*(1-0.05)*G32+3*0.05*0.05*(1-0.05)*K32+0.05*0.05*0.05*O32+(1-3*0.05*(1-0.05)*(1-0.05)-3*0.05*0.05*(1-0.05)-0.05*0.05*0.05)*C32</f>
        <v>0</v>
      </c>
      <c r="G177">
        <f t="shared" ref="G177:G179" si="135">3*0.05*(1-0.05)*(1-0.05)*H32+3*0.05*0.05*(1-0.05)*L32+0.05*0.05*0.05*P32+(1-3*0.05*(1-0.05)*(1-0.05)-3*0.05*0.05*(1-0.05)-0.05*0.05*0.05)*D32</f>
        <v>0</v>
      </c>
      <c r="H177">
        <f t="shared" ref="H177:H179" si="136">Q32+M32+I32+E32</f>
        <v>0</v>
      </c>
      <c r="I177">
        <f t="shared" ref="I177:I179" si="137">3*0.05*(1-0.05)*(1-0.05)*G39+3*0.05*0.05*(1-0.05)*K39+0.05*0.05*0.05*O39+(1-3*0.05*(1-0.05)*(1-0.05)-3*0.05*0.05*(1-0.05)-0.05*0.05*0.05)*C39</f>
        <v>0</v>
      </c>
      <c r="J177">
        <f t="shared" ref="J177:J179" si="138">3*0.05*(1-0.05)*(1-0.05)*H39+3*0.05*0.05*(1-0.05)*L39+0.05*0.05*0.05*P39+(1-3*0.05*(1-0.05)*(1-0.05)-3*0.05*0.05*(1-0.05)-0.05*0.05*0.05)*D39</f>
        <v>0</v>
      </c>
      <c r="K177">
        <f t="shared" ref="K177:K179" si="139">Q39+M39+I39+E39</f>
        <v>0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R179" si="140">3*0.1*(1-0.1)*(1-0.1)*G32+3*0.1*0.1*(1-0.1)*K32+0.1*0.1*0.1*O32+(1-3*0.1*(1-0.1)*(1-0.1)-3*0.1*0.1*(1-0.1)-0.1*0.1*0.1)*C32</f>
        <v>0</v>
      </c>
      <c r="S177">
        <f t="shared" ref="S177:S179" si="141">3*0.1*(1-0.1)*(1-0.1)*H32+3*0.1*0.1*(1-0.1)*L32+0.1*0.1*0.1*P32+(1-3*0.1*(1-0.1)*(1-0.1)-3*0.1*0.1*(1-0.1)-0.1*0.1*0.1)*D32</f>
        <v>0</v>
      </c>
      <c r="U177">
        <f t="shared" ref="U177:U179" si="142">3*0.1*(1-0.1)*(1-0.1)*G39+3*0.1*0.1*(1-0.1)*K39+0.1*0.1*0.1*O39+(1-3*0.1*(1-0.1)*(1-0.1)-3*0.1*0.1*(1-0.1)-0.1*0.1*0.1)*C39</f>
        <v>0</v>
      </c>
      <c r="V177">
        <f t="shared" ref="V177:V179" si="143">3*0.1*(1-0.1)*(1-0.1)*H39+3*0.1*0.1*(1-0.1)*L39+0.1*0.1*0.1*P39+(1-3*0.1*(1-0.1)*(1-0.1)-3*0.1*0.1*(1-0.1)-0.1*0.1*0.1)*D39</f>
        <v>0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134"/>
        <v>0</v>
      </c>
      <c r="G178">
        <f t="shared" si="135"/>
        <v>0</v>
      </c>
      <c r="H178">
        <f t="shared" si="136"/>
        <v>0</v>
      </c>
      <c r="I178">
        <f t="shared" si="137"/>
        <v>0</v>
      </c>
      <c r="J178">
        <f t="shared" si="138"/>
        <v>0</v>
      </c>
      <c r="K178">
        <f t="shared" si="139"/>
        <v>0</v>
      </c>
      <c r="N178" s="26"/>
      <c r="O178" s="22"/>
      <c r="P178" s="23"/>
      <c r="Q178" t="s">
        <v>35</v>
      </c>
      <c r="R178">
        <f t="shared" si="140"/>
        <v>0</v>
      </c>
      <c r="S178">
        <f t="shared" si="141"/>
        <v>0</v>
      </c>
      <c r="U178">
        <f t="shared" si="142"/>
        <v>0</v>
      </c>
      <c r="V178">
        <f t="shared" si="143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134"/>
        <v>2.4939999999999997E-2</v>
      </c>
      <c r="G179">
        <f t="shared" si="135"/>
        <v>3.0214249999999995E-2</v>
      </c>
      <c r="H179">
        <f t="shared" si="136"/>
        <v>4.5587650000000002</v>
      </c>
      <c r="I179">
        <f t="shared" si="137"/>
        <v>2.5039099999999995E-2</v>
      </c>
      <c r="J179">
        <f t="shared" si="138"/>
        <v>3.0199999999999994E-2</v>
      </c>
      <c r="K179">
        <f t="shared" si="139"/>
        <v>11.884618</v>
      </c>
      <c r="L179">
        <f>3*0.05*(1-0.05)*(1-0.05)*F46+3*0.05*0.05*(1-0.05)*J46+0.05*0.05*0.05*N46+(1-3*0.05*(1-0.05)*(1-0.05)-3*0.05*0.05*(1-0.05)-0.05*0.05*0.05)*B46</f>
        <v>2.8398524999999994E-2</v>
      </c>
      <c r="M179">
        <f>Q46+M46+I46+E46</f>
        <v>12.866557</v>
      </c>
      <c r="N179" s="26"/>
      <c r="O179" s="22"/>
      <c r="P179" s="23"/>
      <c r="Q179" t="s">
        <v>36</v>
      </c>
      <c r="R179">
        <f t="shared" si="140"/>
        <v>2.5179999999999998E-2</v>
      </c>
      <c r="S179">
        <f t="shared" si="141"/>
        <v>3.0526999999999999E-2</v>
      </c>
      <c r="U179">
        <f t="shared" si="142"/>
        <v>2.5366799999999998E-2</v>
      </c>
      <c r="V179">
        <f t="shared" si="143"/>
        <v>3.0499999999999999E-2</v>
      </c>
      <c r="X179">
        <f>3*0.1*(1-0.1)*(1-0.1)*F46+3*0.1*0.1*(1-0.1)*J46+0.1*0.1*0.1*N46+(1-3*0.1*(1-0.1)*(1-0.1)-3*0.1*0.1*(1-0.1)-0.1*0.1*0.1)*B46</f>
        <v>2.8694199999999996E-2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F185" si="144">3*0.2*(1-0.2)*(1-0.2)*G32+3*0.2*0.2*(1-0.2)*K32+0.2*0.2*0.2*O32+(1-3*0.2*(1-0.2)*(1-0.2)-3*0.2*0.2*(1-0.2)-0.2*0.2*0.2)*C32</f>
        <v>0</v>
      </c>
      <c r="G183">
        <f t="shared" ref="G183:G185" si="145">3*0.2*(1-0.2)*(1-0.2)*H32+3*0.2*0.2*(1-0.2)*L32+0.2*0.2*0.2*P32+(1-3*0.2*(1-0.2)*(1-0.2)-3*0.2*0.2*(1-0.2)-0.2*0.2*0.2)*D32</f>
        <v>0</v>
      </c>
      <c r="I183">
        <f t="shared" ref="I183:I185" si="146">3*0.2*(1-0.2)*(1-0.2)*G39+3*0.2*0.2*(1-0.2)*K39+0.2*0.2*0.2*O39+(1-3*0.2*(1-0.2)*(1-0.2)-3*0.2*0.2*(1-0.2)-0.2*0.2*0.2)*C39</f>
        <v>0</v>
      </c>
      <c r="J183">
        <f t="shared" ref="J183:J185" si="147">3*0.2*(1-0.2)*(1-0.2)*H39+3*0.2*0.2*(1-0.2)*L39+0.2*0.2*0.2*P39+(1-3*0.2*(1-0.2)*(1-0.2)-3*0.2*0.2*(1-0.2)-0.2*0.2*0.2)*D39</f>
        <v>0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R185" si="148">3*0.3*(1-0.3)*(1-0.3)*G32+3*0.3*0.3*(1-0.3)*K32+0.3*0.3*0.3*O32+(1-3*0.3*(1-0.3)*(1-0.3)-3*0.3*0.3*(1-0.3)-0.3*0.3*0.3)*C32</f>
        <v>0</v>
      </c>
      <c r="S183">
        <f t="shared" ref="S183:S185" si="149">3*0.3*(1-0.3)*(1-0.3)*H32+3*0.3*0.3*(1-0.3)*L32+0.3*0.3*0.3*P32+(1-3*0.3*(1-0.3)*(1-0.3)-3*0.3*0.3*(1-0.3)-0.3*0.3*0.3)*D32</f>
        <v>0</v>
      </c>
      <c r="U183">
        <f t="shared" ref="U183:U185" si="150">3*0.3*(1-0.3)*(1-0.3)*G39+3*0.3*0.3*(1-0.3)*K39+0.3*0.3*0.3*O39+(1-3*0.3*(1-0.3)*(1-0.3)-3*0.3*0.3*(1-0.3)-0.3*0.3*0.3)*C39</f>
        <v>0</v>
      </c>
      <c r="V183">
        <f t="shared" ref="V183:V185" si="151">3*0.3*(1-0.3)*(1-0.3)*H39+3*0.3*0.3*(1-0.3)*L39+0.3*0.3*0.3*P39+(1-3*0.3*(1-0.3)*(1-0.3)-3*0.3*0.3*(1-0.3)-0.3*0.3*0.3)*D39</f>
        <v>0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144"/>
        <v>0</v>
      </c>
      <c r="G184">
        <f t="shared" si="145"/>
        <v>0</v>
      </c>
      <c r="I184">
        <f t="shared" si="146"/>
        <v>0</v>
      </c>
      <c r="J184">
        <f t="shared" si="147"/>
        <v>0</v>
      </c>
      <c r="N184" s="26"/>
      <c r="O184" s="22"/>
      <c r="P184" s="23"/>
      <c r="Q184" t="s">
        <v>35</v>
      </c>
      <c r="R184">
        <f t="shared" si="148"/>
        <v>0</v>
      </c>
      <c r="S184">
        <f t="shared" si="149"/>
        <v>0</v>
      </c>
      <c r="U184">
        <f t="shared" si="150"/>
        <v>0</v>
      </c>
      <c r="V184">
        <f t="shared" si="151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144"/>
        <v>2.5659999999999999E-2</v>
      </c>
      <c r="G185">
        <f t="shared" si="145"/>
        <v>3.1147999999999999E-2</v>
      </c>
      <c r="I185">
        <f t="shared" si="146"/>
        <v>2.59904E-2</v>
      </c>
      <c r="J185">
        <f t="shared" si="147"/>
        <v>3.1099999999999999E-2</v>
      </c>
      <c r="L185">
        <f>3*0.2*(1-0.2)*(1-0.2)*F46+3*0.2*0.2*(1-0.2)*J46+0.2*0.2*0.2*N46+(1-3*0.2*(1-0.2)*(1-0.2)-3*0.2*0.2*(1-0.2)-0.2*0.2*0.2)*B46</f>
        <v>2.9277599999999997E-2</v>
      </c>
      <c r="N185" s="26"/>
      <c r="O185" s="22"/>
      <c r="P185" s="23"/>
      <c r="Q185" t="s">
        <v>36</v>
      </c>
      <c r="R185">
        <f t="shared" si="148"/>
        <v>2.6139999999999997E-2</v>
      </c>
      <c r="S185">
        <f t="shared" si="149"/>
        <v>3.1763E-2</v>
      </c>
      <c r="U185">
        <f t="shared" si="150"/>
        <v>2.6575599999999998E-2</v>
      </c>
      <c r="V185">
        <f t="shared" si="151"/>
        <v>3.1699999999999999E-2</v>
      </c>
      <c r="X185">
        <f>3*0.3*(1-0.3)*(1-0.3)*F46+3*0.3*0.3*(1-0.3)*J46+0.3*0.3*0.3*N46+(1-3*0.3*(1-0.3)*(1-0.3)-3*0.3*0.3*(1-0.3)-0.3*0.3*0.3)*B46</f>
        <v>2.98514E-2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F192" si="152">0.05*Y32+(1-0.05)*U32</f>
        <v>0</v>
      </c>
      <c r="G190">
        <f t="shared" ref="G190:G192" si="153">0.05*Z32+(1-0.05)*V32</f>
        <v>0</v>
      </c>
      <c r="H190">
        <f t="shared" ref="H190:H192" si="154">AA32+W32</f>
        <v>0</v>
      </c>
      <c r="I190">
        <f t="shared" ref="I190:I192" si="155">0.05*Y39+(1-0.05)*U39</f>
        <v>0</v>
      </c>
      <c r="J190">
        <f t="shared" ref="J190:J192" si="156">0.05*Z39+(1-0.05)*V39</f>
        <v>0</v>
      </c>
      <c r="K190">
        <f t="shared" ref="K190:K192" si="157">AA39+W39</f>
        <v>0</v>
      </c>
      <c r="P190" s="23" t="s">
        <v>34</v>
      </c>
      <c r="Q190" t="s">
        <v>33</v>
      </c>
      <c r="R190">
        <f t="shared" ref="R190:R192" si="158">0.1*Y32+(1-0.1)*U32</f>
        <v>0</v>
      </c>
      <c r="S190">
        <f t="shared" ref="S190:S192" si="159">0.1*Z32+(1-0.1)*V32</f>
        <v>0</v>
      </c>
      <c r="U190">
        <f t="shared" ref="U190:U192" si="160">0.1*Y39+(1-0.1)*U39</f>
        <v>0</v>
      </c>
      <c r="V190">
        <f t="shared" ref="V190:V192" si="161">0.1*Z39+(1-0.1)*V39</f>
        <v>0</v>
      </c>
    </row>
    <row r="191" spans="1:25" x14ac:dyDescent="0.25">
      <c r="C191" s="24"/>
      <c r="D191" s="23"/>
      <c r="E191" t="s">
        <v>35</v>
      </c>
      <c r="F191">
        <f t="shared" si="152"/>
        <v>0</v>
      </c>
      <c r="G191">
        <f t="shared" si="153"/>
        <v>0</v>
      </c>
      <c r="H191">
        <f t="shared" si="154"/>
        <v>0</v>
      </c>
      <c r="I191">
        <f t="shared" si="155"/>
        <v>0</v>
      </c>
      <c r="J191">
        <f t="shared" si="156"/>
        <v>0</v>
      </c>
      <c r="K191">
        <f t="shared" si="157"/>
        <v>0</v>
      </c>
      <c r="P191" s="23"/>
      <c r="Q191" t="s">
        <v>35</v>
      </c>
      <c r="R191">
        <f t="shared" si="158"/>
        <v>0</v>
      </c>
      <c r="S191">
        <f t="shared" si="159"/>
        <v>0</v>
      </c>
      <c r="U191">
        <f t="shared" si="160"/>
        <v>0</v>
      </c>
      <c r="V191">
        <f t="shared" si="161"/>
        <v>0</v>
      </c>
    </row>
    <row r="192" spans="1:25" x14ac:dyDescent="0.25">
      <c r="C192" s="24"/>
      <c r="D192" s="23"/>
      <c r="E192" t="s">
        <v>36</v>
      </c>
      <c r="F192">
        <f t="shared" si="152"/>
        <v>1.545E-2</v>
      </c>
      <c r="G192">
        <f t="shared" si="153"/>
        <v>2.4284999999999998E-2</v>
      </c>
      <c r="H192">
        <f t="shared" si="154"/>
        <v>2.2730129999999997</v>
      </c>
      <c r="I192">
        <f t="shared" si="155"/>
        <v>1.5495E-2</v>
      </c>
      <c r="J192">
        <f t="shared" si="156"/>
        <v>2.4279999999999996E-2</v>
      </c>
      <c r="K192">
        <f t="shared" si="157"/>
        <v>5.8626440000000004</v>
      </c>
      <c r="L192">
        <f>0.05*X46+(1-0.05)*T46</f>
        <v>2.0969999999999999E-2</v>
      </c>
      <c r="M192">
        <f>AA46+W46</f>
        <v>6.4139289999999995</v>
      </c>
      <c r="P192" s="23"/>
      <c r="Q192" t="s">
        <v>36</v>
      </c>
      <c r="R192">
        <f t="shared" si="158"/>
        <v>1.5500000000000002E-2</v>
      </c>
      <c r="S192">
        <f t="shared" si="159"/>
        <v>2.4370000000000003E-2</v>
      </c>
      <c r="U192">
        <f t="shared" si="160"/>
        <v>1.5590000000000001E-2</v>
      </c>
      <c r="V192">
        <f t="shared" si="161"/>
        <v>2.436E-2</v>
      </c>
      <c r="X192">
        <f>0.1*X46+(1-0.1)*T46</f>
        <v>2.104E-2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F198" si="162">0.2*Y32+(1-0.2)*U32</f>
        <v>0</v>
      </c>
      <c r="G196">
        <f t="shared" ref="G196:G198" si="163">0.2*Z32+(1-0.2)*V32</f>
        <v>0</v>
      </c>
      <c r="I196">
        <f t="shared" ref="I196:I198" si="164">0.2*Y39+(1-0.2)*U39</f>
        <v>0</v>
      </c>
      <c r="J196">
        <f t="shared" ref="J196:J198" si="165">0.2*Z39+(1-0.2)*V39</f>
        <v>0</v>
      </c>
      <c r="P196" s="23" t="s">
        <v>38</v>
      </c>
      <c r="Q196" t="s">
        <v>33</v>
      </c>
      <c r="R196">
        <f t="shared" ref="R196:R198" si="166">0.3*Y32+(1-0.3)*U32</f>
        <v>0</v>
      </c>
      <c r="S196">
        <f t="shared" ref="S196:S198" si="167">0.3*Z32+(1-0.3)*V32</f>
        <v>0</v>
      </c>
      <c r="U196">
        <f t="shared" ref="U196:U198" si="168">0.3*Y39+(1-0.3)*U39</f>
        <v>0</v>
      </c>
      <c r="V196">
        <f t="shared" ref="V196:V198" si="169">0.3*Z39+(1-0.3)*V39</f>
        <v>0</v>
      </c>
    </row>
    <row r="197" spans="2:25" x14ac:dyDescent="0.25">
      <c r="C197" s="24"/>
      <c r="D197" s="23"/>
      <c r="E197" t="s">
        <v>35</v>
      </c>
      <c r="F197">
        <f t="shared" si="162"/>
        <v>0</v>
      </c>
      <c r="G197">
        <f t="shared" si="163"/>
        <v>0</v>
      </c>
      <c r="I197">
        <f t="shared" si="164"/>
        <v>0</v>
      </c>
      <c r="J197">
        <f t="shared" si="165"/>
        <v>0</v>
      </c>
      <c r="P197" s="23"/>
      <c r="Q197" t="s">
        <v>35</v>
      </c>
      <c r="R197">
        <f t="shared" si="166"/>
        <v>0</v>
      </c>
      <c r="S197">
        <f t="shared" si="167"/>
        <v>0</v>
      </c>
      <c r="U197">
        <f t="shared" si="168"/>
        <v>0</v>
      </c>
      <c r="V197">
        <f t="shared" si="169"/>
        <v>0</v>
      </c>
    </row>
    <row r="198" spans="2:25" x14ac:dyDescent="0.25">
      <c r="C198" s="24"/>
      <c r="D198" s="23"/>
      <c r="E198" t="s">
        <v>36</v>
      </c>
      <c r="F198">
        <f t="shared" si="162"/>
        <v>1.5600000000000001E-2</v>
      </c>
      <c r="G198">
        <f t="shared" si="163"/>
        <v>2.4540000000000003E-2</v>
      </c>
      <c r="I198">
        <f t="shared" si="164"/>
        <v>1.5780000000000002E-2</v>
      </c>
      <c r="J198">
        <f t="shared" si="165"/>
        <v>2.4520000000000004E-2</v>
      </c>
      <c r="L198">
        <f>0.2*X46+(1-0.2)*T46</f>
        <v>2.1179999999999997E-2</v>
      </c>
      <c r="P198" s="23"/>
      <c r="Q198" t="s">
        <v>36</v>
      </c>
      <c r="R198">
        <f t="shared" si="166"/>
        <v>1.5699999999999999E-2</v>
      </c>
      <c r="S198">
        <f t="shared" si="167"/>
        <v>2.4709999999999996E-2</v>
      </c>
      <c r="U198">
        <f t="shared" si="168"/>
        <v>1.5969999999999998E-2</v>
      </c>
      <c r="V198">
        <f t="shared" si="169"/>
        <v>2.4679999999999997E-2</v>
      </c>
      <c r="X198">
        <f>0.3*X46+(1-0.3)*T46</f>
        <v>2.1319999999999999E-2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F205" si="170">(0.05*(1-0.05)+0.05*(1-0.05))*Y32+0.05*0.05*AC32+(1-0.05*(1-0.05)-0.05*(1-0.05)-0.05*0.05)*U32</f>
        <v>0</v>
      </c>
      <c r="G203">
        <f t="shared" ref="G203:G205" si="171">(0.05*(1-0.05)+0.05*(1-0.05))*Z32+0.05*0.05*AD32+(1-0.05*(1-0.05)-0.05*(1-0.05)-0.05*0.05)*V32</f>
        <v>0</v>
      </c>
      <c r="H203">
        <f t="shared" ref="H203:H205" si="172">AE32+AA32+W32</f>
        <v>0</v>
      </c>
      <c r="I203">
        <f t="shared" ref="I203:I205" si="173">(0.05*(1-0.05)+0.05*(1-0.05))*Y39+0.05*0.05*AC39+(1-0.05*(1-0.05)-0.05*(1-0.05)-0.05*0.05)*U39</f>
        <v>0</v>
      </c>
      <c r="J203">
        <f t="shared" ref="J203:J205" si="174">(0.05*(1-0.05)+0.05*(1-0.05))*Z39+0.05*0.05*AD39+(1-0.05*(1-0.05)-0.05*(1-0.05)-0.05*0.05)*V39</f>
        <v>0</v>
      </c>
      <c r="K203">
        <f t="shared" ref="K203:K205" si="175">AE39+AA39+W39</f>
        <v>0</v>
      </c>
      <c r="O203" s="22" t="s">
        <v>40</v>
      </c>
      <c r="P203" s="23" t="s">
        <v>34</v>
      </c>
      <c r="Q203" t="s">
        <v>33</v>
      </c>
      <c r="R203">
        <f t="shared" ref="R203:R205" si="176">(0.1*0.9+0.1*0.9)*Y32+0.1*0.1*AC32+(1-0.1*0.9-0.1*0.9-0.1*0.1)*U32</f>
        <v>0</v>
      </c>
      <c r="S203">
        <f t="shared" ref="S203:S205" si="177">(0.1*0.9+0.1*0.9)*Z32+0.1*0.1*AD32+(1-0.1*0.9-0.1*0.9-0.1*0.1)*V32</f>
        <v>0</v>
      </c>
      <c r="U203">
        <f t="shared" ref="U203:U205" si="178">(0.1*0.9+0.1*0.9)*Y39+0.1*0.1*AC39+(1-0.1*0.9-0.1*0.9-0.1*0.1)*U39</f>
        <v>0</v>
      </c>
      <c r="V203">
        <f t="shared" ref="V203:V205" si="179">(0.1*0.9+0.1*0.9)*Z39+0.1*0.1*AD39+(1-0.1*0.9-0.1*0.9-0.1*0.1)*V39</f>
        <v>0</v>
      </c>
    </row>
    <row r="204" spans="2:25" x14ac:dyDescent="0.25">
      <c r="B204" s="24"/>
      <c r="C204" s="22"/>
      <c r="D204" s="23"/>
      <c r="E204" t="s">
        <v>35</v>
      </c>
      <c r="F204">
        <f t="shared" si="170"/>
        <v>0</v>
      </c>
      <c r="G204">
        <f t="shared" si="171"/>
        <v>0</v>
      </c>
      <c r="H204">
        <f t="shared" si="172"/>
        <v>0</v>
      </c>
      <c r="I204">
        <f t="shared" si="173"/>
        <v>0</v>
      </c>
      <c r="J204">
        <f t="shared" si="174"/>
        <v>0</v>
      </c>
      <c r="K204">
        <f t="shared" si="175"/>
        <v>0</v>
      </c>
      <c r="O204" s="22"/>
      <c r="P204" s="23"/>
      <c r="Q204" t="s">
        <v>35</v>
      </c>
      <c r="R204">
        <f t="shared" si="176"/>
        <v>0</v>
      </c>
      <c r="S204">
        <f t="shared" si="177"/>
        <v>0</v>
      </c>
      <c r="U204">
        <f t="shared" si="178"/>
        <v>0</v>
      </c>
      <c r="V204">
        <f t="shared" si="179"/>
        <v>0</v>
      </c>
    </row>
    <row r="205" spans="2:25" x14ac:dyDescent="0.25">
      <c r="B205" s="24"/>
      <c r="C205" s="22"/>
      <c r="D205" s="23"/>
      <c r="E205" t="s">
        <v>36</v>
      </c>
      <c r="F205">
        <f t="shared" si="170"/>
        <v>1.5500250000000002E-2</v>
      </c>
      <c r="G205">
        <f t="shared" si="171"/>
        <v>2.4369750000000003E-2</v>
      </c>
      <c r="H205">
        <f t="shared" si="172"/>
        <v>3.4796839999999998</v>
      </c>
      <c r="I205">
        <f t="shared" si="173"/>
        <v>1.5588000000000001E-2</v>
      </c>
      <c r="J205">
        <f t="shared" si="174"/>
        <v>2.4360000000000003E-2</v>
      </c>
      <c r="K205">
        <f t="shared" si="175"/>
        <v>8.5970790000000008</v>
      </c>
      <c r="L205">
        <f>(0.05*(1-0.05)+0.05*(1-0.05))*X46+0.05*0.05*AB46+(1-0.05*(1-0.05)-0.05*(1-0.05)-0.05*0.05)*T46</f>
        <v>2.104E-2</v>
      </c>
      <c r="M205">
        <f>AE46+AA46+W46</f>
        <v>9.5895060000000001</v>
      </c>
      <c r="O205" s="22"/>
      <c r="P205" s="23"/>
      <c r="Q205" t="s">
        <v>36</v>
      </c>
      <c r="R205">
        <f t="shared" si="176"/>
        <v>1.5601000000000002E-2</v>
      </c>
      <c r="S205">
        <f t="shared" si="177"/>
        <v>2.4539000000000002E-2</v>
      </c>
      <c r="U205">
        <f t="shared" si="178"/>
        <v>1.5772000000000001E-2</v>
      </c>
      <c r="V205">
        <f t="shared" si="179"/>
        <v>2.452E-2</v>
      </c>
      <c r="X205">
        <f>(0.1*0.9+0.1*0.9)*X46+0.1*0.1*AB46+(1-0.1*0.9-0.1*0.9-0.1*0.1)*T46</f>
        <v>2.1180000000000001E-2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F211" si="180">(0.2*0.8+0.2*0.8)*Y32+0.2*0.2*AC32+(1-0.2*0.8-0.2*0.8-0.2*0.2)*U32</f>
        <v>0</v>
      </c>
      <c r="G209">
        <f t="shared" ref="G209:G211" si="181">(0.2*0.8+0.2*0.8)*Z32+0.2*0.2*AD32+(1-0.2*0.8-0.2*0.8-0.2*0.2)*V32</f>
        <v>0</v>
      </c>
      <c r="I209">
        <f t="shared" ref="I209:I211" si="182">(0.2*0.8+0.2*0.8)*Y39+0.2*0.2*AC39+(1-0.2*0.8-0.2*0.8-0.2*0.2)*U39</f>
        <v>0</v>
      </c>
      <c r="J209">
        <f t="shared" ref="J209:J211" si="183">(0.2*0.8+0.2*0.8)*Z39+0.2*0.2*AD39+(1-0.2*0.8-0.2*0.8-0.2*0.2)*V39</f>
        <v>0</v>
      </c>
      <c r="O209" s="22" t="s">
        <v>42</v>
      </c>
      <c r="P209" s="23" t="s">
        <v>38</v>
      </c>
      <c r="Q209" t="s">
        <v>33</v>
      </c>
      <c r="R209">
        <f t="shared" ref="R209:R211" si="184">(0.3*0.7+0.3*0.7)*Y32+0.3*0.3*AC32+(1-0.3*0.7-0.3*0.7-0.3*0.3)*U32</f>
        <v>0</v>
      </c>
      <c r="S209">
        <f t="shared" ref="S209:S211" si="185">(0.3*0.7+0.3*0.7)*Z32+0.3*0.3*AD32+(1-0.3*0.7-0.3*0.7-0.3*0.3)*V32</f>
        <v>0</v>
      </c>
      <c r="U209">
        <f t="shared" ref="U209:U211" si="186">(0.3*0.7+0.3*0.7)*Y39+0.3*0.3*AC39+(1-0.3*0.7-0.3*0.7-0.3*0.3)*U39</f>
        <v>0</v>
      </c>
      <c r="V209">
        <f t="shared" ref="V209:V211" si="187">(0.3*0.7+0.3*0.7)*Z39+0.3*0.3*AD39+(1-0.3*0.7-0.3*0.7-0.3*0.3)*V39</f>
        <v>0</v>
      </c>
    </row>
    <row r="210" spans="1:25" x14ac:dyDescent="0.25">
      <c r="B210" s="24"/>
      <c r="C210" s="22"/>
      <c r="D210" s="23"/>
      <c r="E210" t="s">
        <v>35</v>
      </c>
      <c r="F210">
        <f t="shared" si="180"/>
        <v>0</v>
      </c>
      <c r="G210">
        <f t="shared" si="181"/>
        <v>0</v>
      </c>
      <c r="I210">
        <f t="shared" si="182"/>
        <v>0</v>
      </c>
      <c r="J210">
        <f t="shared" si="183"/>
        <v>0</v>
      </c>
      <c r="O210" s="22"/>
      <c r="P210" s="23"/>
      <c r="Q210" t="s">
        <v>35</v>
      </c>
      <c r="R210">
        <f t="shared" si="184"/>
        <v>0</v>
      </c>
      <c r="S210">
        <f t="shared" si="185"/>
        <v>0</v>
      </c>
      <c r="U210">
        <f t="shared" si="186"/>
        <v>0</v>
      </c>
      <c r="V210">
        <f t="shared" si="187"/>
        <v>0</v>
      </c>
    </row>
    <row r="211" spans="1:25" x14ac:dyDescent="0.25">
      <c r="B211" s="24"/>
      <c r="C211" s="22"/>
      <c r="D211" s="23"/>
      <c r="E211" t="s">
        <v>36</v>
      </c>
      <c r="F211">
        <f t="shared" si="180"/>
        <v>1.5803999999999999E-2</v>
      </c>
      <c r="G211">
        <f t="shared" si="181"/>
        <v>2.4875999999999999E-2</v>
      </c>
      <c r="I211">
        <f t="shared" si="182"/>
        <v>1.6128E-2</v>
      </c>
      <c r="J211">
        <f t="shared" si="183"/>
        <v>2.4839999999999997E-2</v>
      </c>
      <c r="L211">
        <f>(0.2*0.8+0.2*0.8)*X46+0.2*0.2*AB46+(1-0.2*0.8-0.2*0.8-0.2*0.2)*T46</f>
        <v>2.146E-2</v>
      </c>
      <c r="O211" s="22"/>
      <c r="P211" s="23"/>
      <c r="Q211" t="s">
        <v>36</v>
      </c>
      <c r="R211">
        <f t="shared" si="184"/>
        <v>1.6009000000000002E-2</v>
      </c>
      <c r="S211">
        <f t="shared" si="185"/>
        <v>2.5211000000000001E-2</v>
      </c>
      <c r="U211">
        <f t="shared" si="186"/>
        <v>1.6468E-2</v>
      </c>
      <c r="V211">
        <f t="shared" si="187"/>
        <v>2.5160000000000002E-2</v>
      </c>
      <c r="X211">
        <f>(0.3*0.7+0.3*0.7)*X46+0.3*0.3*AB46+(1-0.3*0.7-0.3*0.7-0.3*0.3)*T46</f>
        <v>2.1740000000000002E-2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F218" si="188">3*0.05*(1-0.05)*(1-0.05)*Y32+3*0.05*0.05*(1-0.05)*AC32+0.05*0.05*0.05*AG32+(1-3*0.05*(1-0.05)*(1-0.05)-3*0.05*0.05*(1-0.05)-0.05*0.05*0.05)*U32</f>
        <v>0</v>
      </c>
      <c r="G216">
        <f t="shared" ref="G216:G218" si="189">3*0.05*(1-0.05)*(1-0.05)*Z32+3*0.05*0.05*(1-0.05)*AD32+0.05*0.05*0.05*AH32+(1-3*0.05*(1-0.05)*(1-0.05)-3*0.05*0.05*(1-0.05)-0.05*0.05*0.05)*V32</f>
        <v>0</v>
      </c>
      <c r="H216">
        <f t="shared" ref="H216:H218" si="190">AI32+AE32+AA32+W32</f>
        <v>0</v>
      </c>
      <c r="I216">
        <f t="shared" ref="I216:I218" si="191">3*0.05*(1-0.05)*(1-0.05)*Y39+3*0.05*0.05*(1-0.05)*AC39+0.05*0.05*0.05*AG39+(1-3*0.05*(1-0.05)*(1-0.05)-3*0.05*0.05*(1-0.05)-0.05*0.05*0.05)*U39</f>
        <v>0</v>
      </c>
      <c r="J216">
        <f t="shared" ref="J216:J218" si="192">3*0.05*(1-0.05)*(1-0.05)*Z39+3*0.05*0.05*(1-0.05)*AD39+0.05*0.05*0.05*AH39+(1-3*0.05*(1-0.05)*(1-0.05)-3*0.05*0.05*(1-0.05)-0.05*0.05*0.05)*V39</f>
        <v>0</v>
      </c>
      <c r="K216">
        <f t="shared" ref="K216:K218" si="193">AI39+AE39+AA39+W39</f>
        <v>0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R218" si="194">3*0.1*(1-0.1)*(1-0.1)*Y32+3*0.1*0.1*(1-0.1)*AC32+0.1*0.1*0.1*AG32+(1-3*0.1*(1-0.1)*(1-0.1)-3*0.1*0.1*(1-0.1)-0.1*0.1*0.1)*U32</f>
        <v>0</v>
      </c>
      <c r="S216">
        <f t="shared" ref="S216:S218" si="195">3*0.1*(1-0.1)*(1-0.1)*Z32+3*0.1*0.1*(1-0.1)*AD32+0.1*0.1*0.1*AH32+(1-3*0.1*(1-0.1)*(1-0.1)-3*0.1*0.1*(1-0.1)-0.1*0.1*0.1)*V32</f>
        <v>0</v>
      </c>
      <c r="U216">
        <f t="shared" ref="U216:U218" si="196">3*0.1*(1-0.1)*(1-0.1)*Y39+3*0.1*0.1*(1-0.1)*AC39+0.1*0.1*0.1*AG39+(1-3*0.1*(1-0.1)*(1-0.1)-3*0.1*0.1*(1-0.1)-0.1*0.1*0.1)*U39</f>
        <v>0</v>
      </c>
      <c r="V216">
        <f t="shared" ref="V216:V218" si="197">3*0.1*(1-0.1)*(1-0.1)*Z39+3*0.1*0.1*(1-0.1)*AD39+0.1*0.1*0.1*AH39+(1-3*0.1*(1-0.1)*(1-0.1)-3*0.1*0.1*(1-0.1)-0.1*0.1*0.1)*V39</f>
        <v>0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188"/>
        <v>0</v>
      </c>
      <c r="G217">
        <f t="shared" si="189"/>
        <v>0</v>
      </c>
      <c r="H217">
        <f t="shared" si="190"/>
        <v>0</v>
      </c>
      <c r="I217">
        <f t="shared" si="191"/>
        <v>0</v>
      </c>
      <c r="J217">
        <f t="shared" si="192"/>
        <v>0</v>
      </c>
      <c r="K217">
        <f t="shared" si="193"/>
        <v>0</v>
      </c>
      <c r="N217" s="26"/>
      <c r="O217" s="22"/>
      <c r="P217" s="23"/>
      <c r="Q217" t="s">
        <v>35</v>
      </c>
      <c r="R217">
        <f t="shared" si="194"/>
        <v>0</v>
      </c>
      <c r="S217">
        <f t="shared" si="195"/>
        <v>0</v>
      </c>
      <c r="U217">
        <f t="shared" si="196"/>
        <v>0</v>
      </c>
      <c r="V217">
        <f t="shared" si="197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188"/>
        <v>1.5550737499999998E-2</v>
      </c>
      <c r="G218">
        <f t="shared" si="189"/>
        <v>2.4454274999999994E-2</v>
      </c>
      <c r="H218">
        <f t="shared" si="190"/>
        <v>4.5667780000000002</v>
      </c>
      <c r="I218">
        <f t="shared" si="191"/>
        <v>1.5679074999999997E-2</v>
      </c>
      <c r="J218">
        <f t="shared" si="192"/>
        <v>2.4439987499999996E-2</v>
      </c>
      <c r="K218">
        <f t="shared" si="193"/>
        <v>11.428772000000002</v>
      </c>
      <c r="L218">
        <f>3*0.05*(1-0.05)*(1-0.05)*X46+3*0.05*0.05*(1-0.05)*AB46+0.05*0.05*0.05*AF46+(1-3*0.05*(1-0.05)*(1-0.05)-3*0.05*0.05*(1-0.05)-0.05*0.05*0.05)*T46</f>
        <v>2.1109999999999997E-2</v>
      </c>
      <c r="M218">
        <f>AI46+AE46+AA46+W46</f>
        <v>12.893405</v>
      </c>
      <c r="N218" s="26"/>
      <c r="O218" s="22"/>
      <c r="P218" s="23"/>
      <c r="Q218" t="s">
        <v>36</v>
      </c>
      <c r="R218">
        <f t="shared" si="194"/>
        <v>1.5702899999999999E-2</v>
      </c>
      <c r="S218">
        <f t="shared" si="195"/>
        <v>2.4707199999999999E-2</v>
      </c>
      <c r="U218">
        <f t="shared" si="196"/>
        <v>1.5946599999999998E-2</v>
      </c>
      <c r="V218">
        <f t="shared" si="197"/>
        <v>2.4679899999999998E-2</v>
      </c>
      <c r="X218">
        <f>3*0.1*(1-0.1)*(1-0.1)*X46+3*0.1*0.1*(1-0.1)*AB46+0.1*0.1*0.1*AF46+(1-3*0.1*(1-0.1)*(1-0.1)-3*0.1*0.1*(1-0.1)-0.1*0.1*0.1)*T46</f>
        <v>2.1319999999999999E-2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F224" si="198">3*0.2*(1-0.2)*(1-0.2)*Y32+3*0.2*0.2*(1-0.2)*AC32+0.2*0.2*0.2*AG32+(1-3*0.2*(1-0.2)*(1-0.2)-3*0.2*0.2*(1-0.2)-0.2*0.2*0.2)*U32</f>
        <v>0</v>
      </c>
      <c r="G222">
        <f t="shared" ref="G222:G224" si="199">3*0.2*(1-0.2)*(1-0.2)*Z32+3*0.2*0.2*(1-0.2)*AD32+0.2*0.2*0.2*AH32+(1-3*0.2*(1-0.2)*(1-0.2)-3*0.2*0.2*(1-0.2)-0.2*0.2*0.2)*V32</f>
        <v>0</v>
      </c>
      <c r="I222">
        <f t="shared" ref="I222:I224" si="200">3*0.2*(1-0.2)*(1-0.2)*Y39+3*0.2*0.2*(1-0.2)*AC39+0.2*0.2*0.2*AG39+(1-3*0.2*(1-0.2)*(1-0.2)-3*0.2*0.2*(1-0.2)-0.2*0.2*0.2)*U39</f>
        <v>0</v>
      </c>
      <c r="J222">
        <f t="shared" ref="J222:J224" si="201">3*0.2*(1-0.2)*(1-0.2)*Z39+3*0.2*0.2*(1-0.2)*AD39+0.2*0.2*0.2*AH39+(1-3*0.2*(1-0.2)*(1-0.2)-3*0.2*0.2*(1-0.2)-0.2*0.2*0.2)*V39</f>
        <v>0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R224" si="202">3*0.3*(1-0.3)*(1-0.3)*Y32+3*0.3*0.3*(1-0.3)*AC32+0.3*0.3*0.3*AG32+(1-3*0.3*(1-0.3)*(1-0.3)-3*0.3*0.3*(1-0.3)-0.3*0.3*0.3)*U32</f>
        <v>0</v>
      </c>
      <c r="S222">
        <f t="shared" ref="S222:S224" si="203">3*0.3*(1-0.3)*(1-0.3)*Z32+3*0.3*0.3*(1-0.3)*AD32+0.3*0.3*0.3*AH32+(1-3*0.3*(1-0.3)*(1-0.3)-3*0.3*0.3*(1-0.3)-0.3*0.3*0.3)*V32</f>
        <v>0</v>
      </c>
      <c r="U222">
        <f t="shared" ref="U222:U224" si="204">3*0.3*(1-0.3)*(1-0.3)*Y39+3*0.3*0.3*(1-0.3)*AC39+0.3*0.3*0.3*AG39+(1-3*0.3*(1-0.3)*(1-0.3)-3*0.3*0.3*(1-0.3)-0.3*0.3*0.3)*U39</f>
        <v>0</v>
      </c>
      <c r="V222">
        <f t="shared" ref="V222:V224" si="205">3*0.3*(1-0.3)*(1-0.3)*Z39+3*0.3*0.3*(1-0.3)*AD39+0.3*0.3*0.3*AH39+(1-3*0.3*(1-0.3)*(1-0.3)-3*0.3*0.3*(1-0.3)-0.3*0.3*0.3)*V39</f>
        <v>0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198"/>
        <v>0</v>
      </c>
      <c r="G223">
        <f t="shared" si="199"/>
        <v>0</v>
      </c>
      <c r="I223">
        <f t="shared" si="200"/>
        <v>0</v>
      </c>
      <c r="J223">
        <f t="shared" si="201"/>
        <v>0</v>
      </c>
      <c r="N223" s="26"/>
      <c r="O223" s="22"/>
      <c r="P223" s="23"/>
      <c r="Q223" t="s">
        <v>35</v>
      </c>
      <c r="R223">
        <f t="shared" si="202"/>
        <v>0</v>
      </c>
      <c r="S223">
        <f t="shared" si="203"/>
        <v>0</v>
      </c>
      <c r="U223">
        <f t="shared" si="204"/>
        <v>0</v>
      </c>
      <c r="V223">
        <f t="shared" si="205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198"/>
        <v>1.60112E-2</v>
      </c>
      <c r="G224">
        <f t="shared" si="199"/>
        <v>2.5209599999999999E-2</v>
      </c>
      <c r="I224">
        <f t="shared" si="200"/>
        <v>1.64488E-2</v>
      </c>
      <c r="J224">
        <f t="shared" si="201"/>
        <v>2.51592E-2</v>
      </c>
      <c r="L224">
        <f>3*0.2*(1-0.2)*(1-0.2)*X46+3*0.2*0.2*(1-0.2)*AB46+0.2*0.2*0.2*AF46+(1-3*0.2*(1-0.2)*(1-0.2)-3*0.2*0.2*(1-0.2)-0.2*0.2*0.2)*T46</f>
        <v>2.1739999999999999E-2</v>
      </c>
      <c r="N224" s="26"/>
      <c r="O224" s="22"/>
      <c r="P224" s="23"/>
      <c r="Q224" t="s">
        <v>36</v>
      </c>
      <c r="R224">
        <f t="shared" si="202"/>
        <v>1.63243E-2</v>
      </c>
      <c r="S224">
        <f t="shared" si="203"/>
        <v>2.5708400000000003E-2</v>
      </c>
      <c r="U224">
        <f t="shared" si="204"/>
        <v>1.69102E-2</v>
      </c>
      <c r="V224">
        <f t="shared" si="205"/>
        <v>2.5637300000000002E-2</v>
      </c>
      <c r="X224">
        <f>3*0.3*(1-0.3)*(1-0.3)*X46+3*0.3*0.3*(1-0.3)*AB46+0.3*0.3*0.3*AF46+(1-3*0.3*(1-0.3)*(1-0.3)-3*0.3*0.3*(1-0.3)-0.3*0.3*0.3)*T46</f>
        <v>2.2159999999999999E-2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F231" si="206">0.05*G52+(1-0.05)*C52</f>
        <v>0</v>
      </c>
      <c r="G229">
        <f t="shared" ref="G229:G231" si="207">0.05*H52+(1-0.05)*D52</f>
        <v>0</v>
      </c>
      <c r="H229">
        <f t="shared" ref="H229:H231" si="208">I52+E52</f>
        <v>0</v>
      </c>
      <c r="I229">
        <f t="shared" ref="I229:I231" si="209">0.05*G59+(1-0.05)*C59</f>
        <v>0</v>
      </c>
      <c r="J229">
        <f t="shared" ref="J229:J231" si="210">0.05*H59+(1-0.05)*D59</f>
        <v>0</v>
      </c>
      <c r="K229">
        <f t="shared" ref="K229:K231" si="211">I59+E59</f>
        <v>0</v>
      </c>
      <c r="P229" s="23" t="s">
        <v>34</v>
      </c>
      <c r="Q229" t="s">
        <v>33</v>
      </c>
      <c r="R229">
        <f>0.1*G52+(1-0.1)*C52</f>
        <v>0</v>
      </c>
      <c r="S229">
        <f t="shared" ref="S229:S231" si="212">0.1*H52+(1-0.1)*D52</f>
        <v>0</v>
      </c>
      <c r="U229">
        <f t="shared" ref="U229:U231" si="213">0.1*G59+(1-0.1)*C59</f>
        <v>0</v>
      </c>
      <c r="V229">
        <f t="shared" ref="V229:V231" si="214">0.1*H59+(1-0.1)*D59</f>
        <v>0</v>
      </c>
    </row>
    <row r="230" spans="1:25" x14ac:dyDescent="0.25">
      <c r="C230" s="24"/>
      <c r="D230" s="23"/>
      <c r="E230" t="s">
        <v>35</v>
      </c>
      <c r="F230">
        <f t="shared" si="206"/>
        <v>0</v>
      </c>
      <c r="G230">
        <f t="shared" si="207"/>
        <v>0</v>
      </c>
      <c r="H230">
        <f t="shared" si="208"/>
        <v>0</v>
      </c>
      <c r="I230">
        <f t="shared" si="209"/>
        <v>0</v>
      </c>
      <c r="J230">
        <f t="shared" si="210"/>
        <v>0</v>
      </c>
      <c r="K230">
        <f t="shared" si="211"/>
        <v>0</v>
      </c>
      <c r="P230" s="23"/>
      <c r="Q230" t="s">
        <v>35</v>
      </c>
      <c r="R230">
        <f>0.1*G53+(1-0.1)*C53</f>
        <v>0</v>
      </c>
      <c r="S230">
        <f t="shared" si="212"/>
        <v>0</v>
      </c>
      <c r="U230">
        <f t="shared" si="213"/>
        <v>0</v>
      </c>
      <c r="V230">
        <f t="shared" si="214"/>
        <v>0</v>
      </c>
    </row>
    <row r="231" spans="1:25" x14ac:dyDescent="0.25">
      <c r="C231" s="24"/>
      <c r="D231" s="23"/>
      <c r="E231" t="s">
        <v>36</v>
      </c>
      <c r="F231">
        <f t="shared" si="206"/>
        <v>8.3350000000000004E-3</v>
      </c>
      <c r="G231">
        <f t="shared" si="207"/>
        <v>1.5259999999999999E-2</v>
      </c>
      <c r="H231">
        <f t="shared" si="208"/>
        <v>2.2141950000000001</v>
      </c>
      <c r="I231">
        <f t="shared" si="209"/>
        <v>8.3850000000000001E-3</v>
      </c>
      <c r="J231">
        <f t="shared" si="210"/>
        <v>1.52E-2</v>
      </c>
      <c r="K231">
        <f t="shared" si="211"/>
        <v>4.5466470000000001</v>
      </c>
      <c r="L231">
        <f>0.05*F66+(1-0.05)*B66</f>
        <v>1.1644999999999999E-2</v>
      </c>
      <c r="M231">
        <f>I66+E66</f>
        <v>6.3828200000000006</v>
      </c>
      <c r="P231" s="23"/>
      <c r="Q231" t="s">
        <v>36</v>
      </c>
      <c r="R231">
        <f>0.1*G54+(1-0.1)*C54</f>
        <v>8.3700000000000007E-3</v>
      </c>
      <c r="S231">
        <f t="shared" si="212"/>
        <v>1.532E-2</v>
      </c>
      <c r="U231">
        <f t="shared" si="213"/>
        <v>8.4700000000000001E-3</v>
      </c>
      <c r="V231">
        <f t="shared" si="214"/>
        <v>1.52E-2</v>
      </c>
      <c r="X231">
        <f>0.1*F66+(1-0.1)*B66</f>
        <v>1.1689999999999999E-2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F237" si="215">0.2*G52+(1-0.2)*C52</f>
        <v>0</v>
      </c>
      <c r="G235">
        <f t="shared" ref="G235:G237" si="216">0.2*H52+(1-0.2)*D52</f>
        <v>0</v>
      </c>
      <c r="I235">
        <f t="shared" ref="I235:I237" si="217">0.2*G59+(1-0.2)*C59</f>
        <v>0</v>
      </c>
      <c r="J235">
        <f t="shared" ref="J235:J237" si="218">0.2*H59+(1-0.2)*D59</f>
        <v>0</v>
      </c>
      <c r="P235" s="23" t="s">
        <v>38</v>
      </c>
      <c r="Q235" t="s">
        <v>33</v>
      </c>
      <c r="R235">
        <f>0.3*G52+(1-0.3)*C52</f>
        <v>0</v>
      </c>
      <c r="S235">
        <f t="shared" ref="S235:S237" si="219">0.3*H52+(1-0.3)*D52</f>
        <v>0</v>
      </c>
      <c r="U235">
        <f t="shared" ref="U235:U237" si="220">0.3*G59+(1-0.3)*C59</f>
        <v>0</v>
      </c>
      <c r="V235">
        <f t="shared" ref="V235:V237" si="221">0.3*H59+(1-0.3)*D59</f>
        <v>0</v>
      </c>
    </row>
    <row r="236" spans="1:25" x14ac:dyDescent="0.25">
      <c r="C236" s="24"/>
      <c r="D236" s="23"/>
      <c r="E236" t="s">
        <v>35</v>
      </c>
      <c r="F236">
        <f t="shared" si="215"/>
        <v>0</v>
      </c>
      <c r="G236">
        <f t="shared" si="216"/>
        <v>0</v>
      </c>
      <c r="I236">
        <f t="shared" si="217"/>
        <v>0</v>
      </c>
      <c r="J236">
        <f t="shared" si="218"/>
        <v>0</v>
      </c>
      <c r="P236" s="23"/>
      <c r="Q236" t="s">
        <v>35</v>
      </c>
      <c r="R236">
        <f>0.3*G53+(1-0.3)*C53</f>
        <v>0</v>
      </c>
      <c r="S236">
        <f t="shared" si="219"/>
        <v>0</v>
      </c>
      <c r="U236">
        <f t="shared" si="220"/>
        <v>0</v>
      </c>
      <c r="V236">
        <f t="shared" si="221"/>
        <v>0</v>
      </c>
    </row>
    <row r="237" spans="1:25" x14ac:dyDescent="0.25">
      <c r="C237" s="24"/>
      <c r="D237" s="23"/>
      <c r="E237" t="s">
        <v>36</v>
      </c>
      <c r="F237">
        <f t="shared" si="215"/>
        <v>8.4399999999999996E-3</v>
      </c>
      <c r="G237">
        <f t="shared" si="216"/>
        <v>1.5440000000000001E-2</v>
      </c>
      <c r="I237">
        <f t="shared" si="217"/>
        <v>8.6400000000000001E-3</v>
      </c>
      <c r="J237">
        <f t="shared" si="218"/>
        <v>1.5200000000000002E-2</v>
      </c>
      <c r="L237">
        <f>0.2*F66+(1-0.2)*B66</f>
        <v>1.1780000000000001E-2</v>
      </c>
      <c r="P237" s="23"/>
      <c r="Q237" t="s">
        <v>36</v>
      </c>
      <c r="R237">
        <f>0.3*G54+(1-0.3)*C54</f>
        <v>8.5100000000000002E-3</v>
      </c>
      <c r="S237">
        <f t="shared" si="219"/>
        <v>1.5560000000000001E-2</v>
      </c>
      <c r="U237">
        <f t="shared" si="220"/>
        <v>8.8100000000000001E-3</v>
      </c>
      <c r="V237">
        <f t="shared" si="221"/>
        <v>1.52E-2</v>
      </c>
      <c r="X237">
        <f>0.3*F66+(1-0.3)*B66</f>
        <v>1.1869999999999999E-2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F244" si="222">(0.05*(1-0.05)+0.05*(1-0.05))*G52+0.05*0.05*K52+(1-0.05*(1-0.05)-0.05*(1-0.05)-0.05*0.05)*C52</f>
        <v>0</v>
      </c>
      <c r="G242">
        <f t="shared" ref="G242:G244" si="223">(0.05*(1-0.05)+0.05*(1-0.05))*H52+0.05*0.05*L52+(1-0.05*(1-0.05)-0.05*(1-0.05)-0.05*0.05)*D52</f>
        <v>0</v>
      </c>
      <c r="H242">
        <f t="shared" ref="H242:H244" si="224">M52+I52+E52</f>
        <v>0</v>
      </c>
      <c r="I242">
        <f t="shared" ref="I242:I244" si="225">(0.05*(1-0.05)+0.05*(1-0.05))*G59+0.05*0.05*K59+(1-0.05*(1-0.05)-0.05*(1-0.05)-0.05*0.05)*C59</f>
        <v>0</v>
      </c>
      <c r="J242">
        <f t="shared" ref="J242:J244" si="226">(0.05*(1-0.05)+0.05*(1-0.05))*H59+0.05*0.05*L59+(1-0.05*(1-0.05)-0.05*(1-0.05)-0.05*0.05)*D59</f>
        <v>0</v>
      </c>
      <c r="K242">
        <f t="shared" ref="K242:K244" si="227">M59+I59+E59</f>
        <v>0</v>
      </c>
      <c r="O242" s="22" t="s">
        <v>40</v>
      </c>
      <c r="P242" s="23" t="s">
        <v>34</v>
      </c>
      <c r="Q242" t="s">
        <v>33</v>
      </c>
      <c r="R242">
        <f t="shared" ref="R242:R244" si="228">(0.1*0.9+0.1*0.9)*G52+0.1*0.1*K52+(1-0.1*0.9-0.1*0.9-0.1*0.1)*C52</f>
        <v>0</v>
      </c>
      <c r="S242">
        <f t="shared" ref="S242:S244" si="229">(0.1*0.9+0.1*0.9)*H52+0.1*0.1*L52+(1-0.1*0.9-0.1*0.9-0.1*0.1)*D52</f>
        <v>0</v>
      </c>
      <c r="U242">
        <f t="shared" ref="U242:U244" si="230">(0.1*0.9+0.1*0.9)*G59+0.1*0.1*K59+(1-0.1*0.9-0.1*0.9-0.1*0.1)*C59</f>
        <v>0</v>
      </c>
      <c r="V242">
        <f t="shared" ref="V242:V244" si="231">(0.1*0.9+0.1*0.9)*H59+0.1*0.1*L59+(1-0.1*0.9-0.1*0.9-0.1*0.1)*D59</f>
        <v>0</v>
      </c>
    </row>
    <row r="243" spans="1:25" x14ac:dyDescent="0.25">
      <c r="B243" s="24"/>
      <c r="C243" s="22"/>
      <c r="D243" s="23"/>
      <c r="E243" t="s">
        <v>35</v>
      </c>
      <c r="F243">
        <f t="shared" si="222"/>
        <v>0</v>
      </c>
      <c r="G243">
        <f t="shared" si="223"/>
        <v>0</v>
      </c>
      <c r="H243">
        <f t="shared" si="224"/>
        <v>0</v>
      </c>
      <c r="I243">
        <f t="shared" si="225"/>
        <v>0</v>
      </c>
      <c r="J243">
        <f t="shared" si="226"/>
        <v>0</v>
      </c>
      <c r="K243">
        <f t="shared" si="227"/>
        <v>0</v>
      </c>
      <c r="O243" s="22"/>
      <c r="P243" s="23"/>
      <c r="Q243" t="s">
        <v>35</v>
      </c>
      <c r="R243">
        <f t="shared" si="228"/>
        <v>0</v>
      </c>
      <c r="S243">
        <f t="shared" si="229"/>
        <v>0</v>
      </c>
      <c r="U243">
        <f t="shared" si="230"/>
        <v>0</v>
      </c>
      <c r="V243">
        <f t="shared" si="231"/>
        <v>0</v>
      </c>
    </row>
    <row r="244" spans="1:25" x14ac:dyDescent="0.25">
      <c r="B244" s="24"/>
      <c r="C244" s="22"/>
      <c r="D244" s="23"/>
      <c r="E244" t="s">
        <v>36</v>
      </c>
      <c r="F244">
        <f t="shared" si="222"/>
        <v>8.3697500000000005E-3</v>
      </c>
      <c r="G244">
        <f t="shared" si="223"/>
        <v>1.532E-2</v>
      </c>
      <c r="H244">
        <f t="shared" si="224"/>
        <v>3.3045149999999999</v>
      </c>
      <c r="I244">
        <f t="shared" si="225"/>
        <v>8.4677500000000013E-3</v>
      </c>
      <c r="J244">
        <f t="shared" si="226"/>
        <v>1.5199500000000001E-2</v>
      </c>
      <c r="K244">
        <f t="shared" si="227"/>
        <v>6.8881709999999998</v>
      </c>
      <c r="L244">
        <f>(0.05*(1-0.05)+0.05*(1-0.05))*F66+0.05*0.05*J66+(1-0.05*(1-0.05)-0.05*(1-0.05)-0.05*0.05)*B66</f>
        <v>1.1690000000000001E-2</v>
      </c>
      <c r="M244">
        <f>M66+I66+E66</f>
        <v>9.5589089999999999</v>
      </c>
      <c r="O244" s="22"/>
      <c r="P244" s="23"/>
      <c r="Q244" t="s">
        <v>36</v>
      </c>
      <c r="R244">
        <f t="shared" si="228"/>
        <v>8.4390000000000003E-3</v>
      </c>
      <c r="S244">
        <f t="shared" si="229"/>
        <v>1.5440000000000001E-2</v>
      </c>
      <c r="U244">
        <f t="shared" si="230"/>
        <v>8.6310000000000015E-3</v>
      </c>
      <c r="V244">
        <f t="shared" si="231"/>
        <v>1.5198E-2</v>
      </c>
      <c r="X244">
        <f>(0.1*0.9+0.1*0.9)*F66+0.1*0.1*J66+(1-0.1*0.9-0.1*0.9-0.1*0.1)*B66</f>
        <v>1.1780000000000001E-2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2">(0.2*0.8+0.2*0.8)*H52+0.2*0.2*L52+(1-0.2*0.8-0.2*0.8-0.2*0.2)*D52</f>
        <v>0</v>
      </c>
      <c r="I248">
        <f t="shared" ref="I248:I250" si="233">(0.2*0.8+0.2*0.8)*G59+0.2*0.2*K59+(1-0.2*0.8-0.2*0.8-0.2*0.2)*C59</f>
        <v>0</v>
      </c>
      <c r="J248">
        <f t="shared" ref="J248:J250" si="234">(0.2*0.8+0.2*0.8)*H59+0.2*0.2*L59+(1-0.2*0.8-0.2*0.8-0.2*0.2)*D59</f>
        <v>0</v>
      </c>
      <c r="O248" s="22" t="s">
        <v>42</v>
      </c>
      <c r="P248" s="23" t="s">
        <v>38</v>
      </c>
      <c r="Q248" t="s">
        <v>33</v>
      </c>
      <c r="R248">
        <f t="shared" ref="R248:R250" si="235">(0.3*0.7+0.3*0.7)*G52+0.3*0.3*K52+(1-0.3*0.7-0.3*0.7-0.3*0.3)*C52</f>
        <v>0</v>
      </c>
      <c r="S248">
        <f t="shared" ref="S248:S250" si="236">(0.3*0.7+0.3*0.7)*H52+0.3*0.3*L52+(1-0.3*0.7-0.3*0.7-0.3*0.3)*D52</f>
        <v>0</v>
      </c>
      <c r="U248">
        <f t="shared" ref="U248:U250" si="237">(0.3*0.7+0.3*0.7)*G59+0.3*0.3*K59+(1-0.3*0.7-0.3*0.7-0.3*0.3)*C59</f>
        <v>0</v>
      </c>
      <c r="V248">
        <f t="shared" ref="V248:V250" si="238">(0.3*0.7+0.3*0.7)*H59+0.3*0.3*L59+(1-0.3*0.7-0.3*0.7-0.3*0.3)*D59</f>
        <v>0</v>
      </c>
    </row>
    <row r="249" spans="1:25" x14ac:dyDescent="0.25">
      <c r="B249" s="24"/>
      <c r="C249" s="22"/>
      <c r="D249" s="23"/>
      <c r="E249" t="s">
        <v>35</v>
      </c>
      <c r="F249">
        <f>(0.2*0.8+0.2*0.8)*G53+0.2*0.2*K53+(1-0.2*0.8-0.2*0.8-0.2*0.2)*C53</f>
        <v>0</v>
      </c>
      <c r="G249">
        <f t="shared" si="232"/>
        <v>0</v>
      </c>
      <c r="I249">
        <f t="shared" si="233"/>
        <v>0</v>
      </c>
      <c r="J249">
        <f t="shared" si="234"/>
        <v>0</v>
      </c>
      <c r="O249" s="22"/>
      <c r="P249" s="23"/>
      <c r="Q249" t="s">
        <v>35</v>
      </c>
      <c r="R249">
        <f t="shared" si="235"/>
        <v>0</v>
      </c>
      <c r="S249">
        <f t="shared" si="236"/>
        <v>0</v>
      </c>
      <c r="U249">
        <f t="shared" si="237"/>
        <v>0</v>
      </c>
      <c r="V249">
        <f t="shared" si="238"/>
        <v>0</v>
      </c>
    </row>
    <row r="250" spans="1:25" x14ac:dyDescent="0.25">
      <c r="B250" s="24"/>
      <c r="C250" s="22"/>
      <c r="D250" s="23"/>
      <c r="E250" t="s">
        <v>36</v>
      </c>
      <c r="F250">
        <f>(0.2*0.8+0.2*0.8)*G54+0.2*0.2*K54+(1-0.2*0.8-0.2*0.8-0.2*0.2)*C54</f>
        <v>8.5760000000000003E-3</v>
      </c>
      <c r="G250">
        <f t="shared" si="232"/>
        <v>1.5679999999999999E-2</v>
      </c>
      <c r="I250">
        <f t="shared" si="233"/>
        <v>8.9440000000000006E-3</v>
      </c>
      <c r="J250">
        <f t="shared" si="234"/>
        <v>1.5192000000000001E-2</v>
      </c>
      <c r="L250">
        <f>(0.2*0.8+0.2*0.8)*F66+0.2*0.2*J66+(1-0.2*0.8-0.2*0.8-0.2*0.2)*B66</f>
        <v>1.1959999999999998E-2</v>
      </c>
      <c r="O250" s="22"/>
      <c r="P250" s="23"/>
      <c r="Q250" t="s">
        <v>36</v>
      </c>
      <c r="R250">
        <f t="shared" si="235"/>
        <v>8.711E-3</v>
      </c>
      <c r="S250">
        <f t="shared" si="236"/>
        <v>1.5920000000000004E-2</v>
      </c>
      <c r="U250">
        <f t="shared" si="237"/>
        <v>9.2390000000000007E-3</v>
      </c>
      <c r="V250">
        <f t="shared" si="238"/>
        <v>1.5182000000000001E-2</v>
      </c>
      <c r="X250">
        <f>(0.3*0.7+0.3*0.7)*F66+0.3*0.3*J66+(1-0.3*0.7-0.3*0.7-0.3*0.3)*B66</f>
        <v>1.2140000000000001E-2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F257" si="239">3*0.05*(1-0.05)*(1-0.05)*G52+3*0.05*0.05*(1-0.05)*K52+0.05*0.05*0.05*O52+(1-3*0.05*(1-0.05)*(1-0.05)-3*0.05*0.05*(1-0.05)-0.05*0.05*0.05)*C52</f>
        <v>0</v>
      </c>
      <c r="G255">
        <f t="shared" ref="G255:G257" si="240">3*0.05*(1-0.05)*(1-0.05)*H52+3*0.05*0.05*(1-0.05)*L52+0.05*0.05*0.05*P52+(1-3*0.05*(1-0.05)*(1-0.05)-3*0.05*0.05*(1-0.05)-0.05*0.05*0.05)*D52</f>
        <v>0</v>
      </c>
      <c r="H255">
        <f t="shared" ref="H255:H257" si="241">Q52+M52+I52+E52</f>
        <v>0</v>
      </c>
      <c r="I255">
        <f t="shared" ref="I255:I257" si="242">3*0.05*(1-0.05)*(1-0.05)*G59+3*0.05*0.05*(1-0.05)*K59+0.05*0.05*0.05*O59+(1-3*0.05*(1-0.05)*(1-0.05)-3*0.05*0.05*(1-0.05)-0.05*0.05*0.05)*C59</f>
        <v>0</v>
      </c>
      <c r="J255">
        <f t="shared" ref="J255:J257" si="243">3*0.05*(1-0.05)*(1-0.05)*H59+3*0.05*0.05*(1-0.05)*L59+0.05*0.05*0.05*P59+(1-3*0.05*(1-0.05)*(1-0.05)-3*0.05*0.05*(1-0.05)-0.05*0.05*0.05)*D59</f>
        <v>0</v>
      </c>
      <c r="K255">
        <f t="shared" ref="K255:K257" si="244">Q59+M59+I59+E59</f>
        <v>0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R257" si="245">3*0.1*(1-0.1)*(1-0.1)*G52+3*0.1*0.1*(1-0.1)*K52+0.1*0.1*0.1*O52+(1-3*0.1*(1-0.1)*(1-0.1)-3*0.1*0.1*(1-0.1)-0.1*0.1*0.1)*C52</f>
        <v>0</v>
      </c>
      <c r="S255">
        <f t="shared" ref="S255:S257" si="246">3*0.1*(1-0.1)*(1-0.1)*H52+3*0.1*0.1*(1-0.1)*L52+0.1*0.1*0.1*P52+(1-3*0.1*(1-0.1)*(1-0.1)-3*0.1*0.1*(1-0.1)-0.1*0.1*0.1)*D52</f>
        <v>0</v>
      </c>
      <c r="U255">
        <f t="shared" ref="U255:U257" si="247">3*0.1*(1-0.1)*(1-0.1)*G59+3*0.1*0.1*(1-0.1)*K59+0.1*0.1*0.1*O59+(1-3*0.1*(1-0.1)*(1-0.1)-3*0.1*0.1*(1-0.1)-0.1*0.1*0.1)*C59</f>
        <v>0</v>
      </c>
      <c r="V255">
        <f t="shared" ref="V255:V257" si="248">3*0.1*(1-0.1)*(1-0.1)*H59+3*0.1*0.1*(1-0.1)*L59+0.1*0.1*0.1*P59+(1-3*0.1*(1-0.1)*(1-0.1)-3*0.1*0.1*(1-0.1)-0.1*0.1*0.1)*D59</f>
        <v>0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239"/>
        <v>0</v>
      </c>
      <c r="G256">
        <f t="shared" si="240"/>
        <v>0</v>
      </c>
      <c r="H256">
        <f t="shared" si="241"/>
        <v>0</v>
      </c>
      <c r="I256">
        <f t="shared" si="242"/>
        <v>0</v>
      </c>
      <c r="J256">
        <f t="shared" si="243"/>
        <v>0</v>
      </c>
      <c r="K256">
        <f t="shared" si="244"/>
        <v>0</v>
      </c>
      <c r="N256" s="26"/>
      <c r="O256" s="22"/>
      <c r="P256" s="23"/>
      <c r="Q256" t="s">
        <v>35</v>
      </c>
      <c r="R256">
        <f t="shared" si="245"/>
        <v>0</v>
      </c>
      <c r="S256">
        <f t="shared" si="246"/>
        <v>0</v>
      </c>
      <c r="U256">
        <f t="shared" si="247"/>
        <v>0</v>
      </c>
      <c r="V256">
        <f t="shared" si="248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239"/>
        <v>8.4042749999999992E-3</v>
      </c>
      <c r="G257">
        <f t="shared" si="240"/>
        <v>1.5379987499999997E-2</v>
      </c>
      <c r="H257">
        <f t="shared" si="241"/>
        <v>4.386906999999999</v>
      </c>
      <c r="I257">
        <f t="shared" si="242"/>
        <v>8.5483374999999993E-3</v>
      </c>
      <c r="J257">
        <f t="shared" si="243"/>
        <v>1.5198724999999998E-2</v>
      </c>
      <c r="K257">
        <f t="shared" si="244"/>
        <v>8.8729250000000004</v>
      </c>
      <c r="L257">
        <f>3*0.05*(1-0.05)*(1-0.05)*F66+3*0.05*0.05*(1-0.05)*J66+0.05*0.05*0.05*N66+(1-3*0.05*(1-0.05)*(1-0.05)-3*0.05*0.05*(1-0.05)-0.05*0.05*0.05)*B66</f>
        <v>1.1735012499999998E-2</v>
      </c>
      <c r="M257">
        <f>Q66+M66+I66+E66</f>
        <v>12.730841000000002</v>
      </c>
      <c r="N257" s="26"/>
      <c r="O257" s="22"/>
      <c r="P257" s="23"/>
      <c r="Q257" t="s">
        <v>36</v>
      </c>
      <c r="R257">
        <f t="shared" si="245"/>
        <v>8.5071999999999995E-3</v>
      </c>
      <c r="S257">
        <f t="shared" si="246"/>
        <v>1.55599E-2</v>
      </c>
      <c r="U257">
        <f t="shared" si="247"/>
        <v>8.7837000000000002E-3</v>
      </c>
      <c r="V257">
        <f t="shared" si="248"/>
        <v>1.5195799999999999E-2</v>
      </c>
      <c r="X257">
        <f>3*0.1*(1-0.1)*(1-0.1)*F66+3*0.1*0.1*(1-0.1)*J66+0.1*0.1*0.1*N66+(1-3*0.1*(1-0.1)*(1-0.1)-3*0.1*0.1*(1-0.1)-0.1*0.1*0.1)*B66</f>
        <v>1.1870099999999998E-2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F263" si="249">3*0.2*(1-0.2)*(1-0.2)*G52+3*0.2*0.2*(1-0.2)*K52+0.2*0.2*0.2*O52+(1-3*0.2*(1-0.2)*(1-0.2)-3*0.2*0.2*(1-0.2)-0.2*0.2*0.2)*C52</f>
        <v>0</v>
      </c>
      <c r="G261">
        <f t="shared" ref="G261:G263" si="250">3*0.2*(1-0.2)*(1-0.2)*H52+3*0.2*0.2*(1-0.2)*L52+0.2*0.2*0.2*P52+(1-3*0.2*(1-0.2)*(1-0.2)-3*0.2*0.2*(1-0.2)-0.2*0.2*0.2)*D52</f>
        <v>0</v>
      </c>
      <c r="I261">
        <f t="shared" ref="I261:I263" si="251">3*0.2*(1-0.2)*(1-0.2)*G59+3*0.2*0.2*(1-0.2)*K59+0.2*0.2*0.2*O59+(1-3*0.2*(1-0.2)*(1-0.2)-3*0.2*0.2*(1-0.2)-0.2*0.2*0.2)*C59</f>
        <v>0</v>
      </c>
      <c r="J261">
        <f t="shared" ref="J261:J263" si="252">3*0.2*(1-0.2)*(1-0.2)*H59+3*0.2*0.2*(1-0.2)*L59+0.2*0.2*0.2*P59+(1-3*0.2*(1-0.2)*(1-0.2)-3*0.2*0.2*(1-0.2)-0.2*0.2*0.2)*D59</f>
        <v>0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R263" si="253">3*0.3*(1-0.3)*(1-0.3)*G52+3*0.3*0.3*(1-0.3)*K52+0.3*0.3*0.3*O52+(1-3*0.3*(1-0.3)*(1-0.3)-3*0.3*0.3*(1-0.3)-0.3*0.3*0.3)*C52</f>
        <v>0</v>
      </c>
      <c r="S261">
        <f t="shared" ref="S261:S263" si="254">3*0.3*(1-0.3)*(1-0.3)*H52+3*0.3*0.3*(1-0.3)*L52+0.3*0.3*0.3*P52+(1-3*0.3*(1-0.3)*(1-0.3)-3*0.3*0.3*(1-0.3)-0.3*0.3*0.3)*D52</f>
        <v>0</v>
      </c>
      <c r="U261">
        <f t="shared" ref="U261:U263" si="255">3*0.3*(1-0.3)*(1-0.3)*G59+3*0.3*0.3*(1-0.3)*K59+0.3*0.3*0.3*O59+(1-3*0.3*(1-0.3)*(1-0.3)-3*0.3*0.3*(1-0.3)-0.3*0.3*0.3)*C59</f>
        <v>0</v>
      </c>
      <c r="V261">
        <f t="shared" ref="V261:V263" si="256">3*0.3*(1-0.3)*(1-0.3)*H59+3*0.3*0.3*(1-0.3)*L59+0.3*0.3*0.3*P59+(1-3*0.3*(1-0.3)*(1-0.3)-3*0.3*0.3*(1-0.3)-0.3*0.3*0.3)*D59</f>
        <v>0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249"/>
        <v>0</v>
      </c>
      <c r="G262">
        <f t="shared" si="250"/>
        <v>0</v>
      </c>
      <c r="I262">
        <f t="shared" si="251"/>
        <v>0</v>
      </c>
      <c r="J262">
        <f t="shared" si="252"/>
        <v>0</v>
      </c>
      <c r="N262" s="26"/>
      <c r="O262" s="22"/>
      <c r="P262" s="23"/>
      <c r="Q262" t="s">
        <v>35</v>
      </c>
      <c r="R262">
        <f t="shared" si="253"/>
        <v>0</v>
      </c>
      <c r="S262">
        <f t="shared" si="254"/>
        <v>0</v>
      </c>
      <c r="U262">
        <f t="shared" si="255"/>
        <v>0</v>
      </c>
      <c r="V262">
        <f t="shared" si="256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249"/>
        <v>8.7095999999999979E-3</v>
      </c>
      <c r="G263">
        <f t="shared" si="250"/>
        <v>1.5919200000000001E-2</v>
      </c>
      <c r="I263">
        <f t="shared" si="251"/>
        <v>9.2175999999999994E-3</v>
      </c>
      <c r="J263">
        <f t="shared" si="252"/>
        <v>1.51904E-2</v>
      </c>
      <c r="L263">
        <f>3*0.2*(1-0.2)*(1-0.2)*F66+3*0.2*0.2*(1-0.2)*J66+0.2*0.2*0.2*N66+(1-3*0.2*(1-0.2)*(1-0.2)-3*0.2*0.2*(1-0.2)-0.2*0.2*0.2)*B66</f>
        <v>1.21408E-2</v>
      </c>
      <c r="N263" s="26"/>
      <c r="O263" s="22"/>
      <c r="P263" s="23"/>
      <c r="Q263" t="s">
        <v>36</v>
      </c>
      <c r="R263">
        <f t="shared" si="253"/>
        <v>8.9084000000000003E-3</v>
      </c>
      <c r="S263">
        <f t="shared" si="254"/>
        <v>1.6277300000000001E-2</v>
      </c>
      <c r="U263">
        <f t="shared" si="255"/>
        <v>9.6059000000000005E-3</v>
      </c>
      <c r="V263">
        <f t="shared" si="256"/>
        <v>1.5194600000000003E-2</v>
      </c>
      <c r="X263">
        <f>3*0.3*(1-0.3)*(1-0.3)*F66+3*0.3*0.3*(1-0.3)*J66+0.3*0.3*0.3*N66+(1-3*0.3*(1-0.3)*(1-0.3)-3*0.3*0.3*(1-0.3)-0.3*0.3*0.3)*B66</f>
        <v>1.2412700000000002E-2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63"/>
  <sheetViews>
    <sheetView topLeftCell="C1" zoomScale="55" zoomScaleNormal="55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4" t="s">
        <v>54</v>
      </c>
      <c r="Q1" s="14"/>
      <c r="R1" s="14"/>
      <c r="S1" s="14"/>
      <c r="T1" s="14"/>
      <c r="U1" s="14" t="s">
        <v>55</v>
      </c>
      <c r="V1" s="14"/>
      <c r="W1" s="14"/>
      <c r="X1" s="14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4" t="s">
        <v>56</v>
      </c>
      <c r="Q2" s="14"/>
      <c r="R2" s="14"/>
      <c r="S2" s="14"/>
      <c r="T2" s="14"/>
      <c r="U2" s="14" t="s">
        <v>57</v>
      </c>
      <c r="V2" s="14"/>
      <c r="W2" s="14"/>
      <c r="X2" s="14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4" t="s">
        <v>58</v>
      </c>
      <c r="Q3" s="14"/>
      <c r="R3" s="14"/>
      <c r="S3" s="14"/>
      <c r="T3" s="14"/>
      <c r="U3" s="14" t="s">
        <v>59</v>
      </c>
      <c r="V3" s="14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4" t="s">
        <v>60</v>
      </c>
      <c r="Q4" s="14"/>
      <c r="R4" s="14"/>
      <c r="S4" s="14"/>
      <c r="T4" s="14"/>
      <c r="U4" s="14" t="s">
        <v>61</v>
      </c>
      <c r="V4" s="14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4" t="s">
        <v>62</v>
      </c>
      <c r="Q5" s="14"/>
      <c r="R5" s="14"/>
      <c r="S5" s="14"/>
      <c r="T5" s="14"/>
      <c r="U5" s="14" t="s">
        <v>63</v>
      </c>
      <c r="V5" s="14"/>
      <c r="W5" s="14" t="s">
        <v>64</v>
      </c>
    </row>
    <row r="7" spans="1:35" x14ac:dyDescent="0.25">
      <c r="A7" s="1" t="s">
        <v>6</v>
      </c>
      <c r="S7" s="1" t="s">
        <v>7</v>
      </c>
      <c r="U7" t="s">
        <v>48</v>
      </c>
      <c r="V7" t="s">
        <v>49</v>
      </c>
    </row>
    <row r="8" spans="1:35" x14ac:dyDescent="0.25">
      <c r="B8" s="18" t="s">
        <v>8</v>
      </c>
      <c r="C8" s="18"/>
      <c r="D8" s="18"/>
      <c r="E8" s="18"/>
      <c r="F8" s="18" t="s">
        <v>9</v>
      </c>
      <c r="G8" s="18"/>
      <c r="H8" s="18"/>
      <c r="I8" s="18"/>
      <c r="J8" s="18" t="s">
        <v>10</v>
      </c>
      <c r="K8" s="18"/>
      <c r="L8" s="18"/>
      <c r="M8" s="18"/>
      <c r="N8" s="18" t="s">
        <v>11</v>
      </c>
      <c r="O8" s="18"/>
      <c r="P8" s="18"/>
      <c r="Q8" s="18"/>
      <c r="T8" s="18" t="s">
        <v>8</v>
      </c>
      <c r="U8" s="18"/>
      <c r="V8" s="18"/>
      <c r="W8" s="18"/>
      <c r="X8" s="18" t="s">
        <v>9</v>
      </c>
      <c r="Y8" s="18"/>
      <c r="Z8" s="18"/>
      <c r="AA8" s="18"/>
      <c r="AB8" s="18" t="s">
        <v>10</v>
      </c>
      <c r="AC8" s="18"/>
      <c r="AD8" s="18"/>
      <c r="AE8" s="18"/>
      <c r="AF8" s="18" t="s">
        <v>11</v>
      </c>
      <c r="AG8" s="18"/>
      <c r="AH8" s="18"/>
      <c r="AI8" s="18"/>
    </row>
    <row r="9" spans="1:35" x14ac:dyDescent="0.25">
      <c r="A9" s="24" t="s">
        <v>12</v>
      </c>
      <c r="B9" s="18" t="s">
        <v>50</v>
      </c>
      <c r="C9" s="18"/>
      <c r="D9" s="18"/>
      <c r="E9" s="18"/>
      <c r="F9" s="18" t="s">
        <v>51</v>
      </c>
      <c r="G9" s="18"/>
      <c r="H9" s="18"/>
      <c r="I9" s="18"/>
      <c r="J9" s="18" t="s">
        <v>52</v>
      </c>
      <c r="K9" s="18"/>
      <c r="L9" s="18"/>
      <c r="M9" s="18"/>
      <c r="N9" s="18" t="s">
        <v>53</v>
      </c>
      <c r="O9" s="18"/>
      <c r="P9" s="18"/>
      <c r="Q9" s="18"/>
      <c r="S9" s="24" t="s">
        <v>12</v>
      </c>
      <c r="T9" s="18" t="s">
        <v>50</v>
      </c>
      <c r="U9" s="18"/>
      <c r="V9" s="18"/>
      <c r="W9" s="18"/>
      <c r="X9" s="18" t="s">
        <v>51</v>
      </c>
      <c r="Y9" s="18"/>
      <c r="Z9" s="18"/>
      <c r="AA9" s="18"/>
      <c r="AB9" s="18" t="s">
        <v>52</v>
      </c>
      <c r="AC9" s="18"/>
      <c r="AD9" s="18"/>
      <c r="AE9" s="18"/>
      <c r="AF9" s="18" t="s">
        <v>53</v>
      </c>
      <c r="AG9" s="18"/>
      <c r="AH9" s="18"/>
      <c r="AI9" s="18"/>
    </row>
    <row r="10" spans="1:35" x14ac:dyDescent="0.25">
      <c r="A10" s="2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2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2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2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24"/>
      <c r="B13" t="s">
        <v>22</v>
      </c>
      <c r="C13" s="3">
        <v>2.3699999999999999E-2</v>
      </c>
      <c r="D13" s="3">
        <v>2.3699999999999999E-2</v>
      </c>
      <c r="E13">
        <v>1.07358</v>
      </c>
      <c r="F13" t="s">
        <v>22</v>
      </c>
      <c r="G13" s="3">
        <v>2.63E-2</v>
      </c>
      <c r="H13" s="3">
        <v>2.63E-2</v>
      </c>
      <c r="I13">
        <v>1.0490360000000001</v>
      </c>
      <c r="J13" t="s">
        <v>22</v>
      </c>
      <c r="K13">
        <v>2.8899999999999999E-2</v>
      </c>
      <c r="L13">
        <v>2.9000000000000001E-2</v>
      </c>
      <c r="M13">
        <v>1.062829</v>
      </c>
      <c r="N13" t="s">
        <v>22</v>
      </c>
      <c r="O13">
        <v>3.15E-2</v>
      </c>
      <c r="P13">
        <v>3.1600000000000003E-2</v>
      </c>
      <c r="Q13">
        <v>1.1370400000000001</v>
      </c>
      <c r="S13" s="24"/>
      <c r="T13" t="s">
        <v>22</v>
      </c>
      <c r="U13" s="3">
        <v>2.2200000000000001E-2</v>
      </c>
      <c r="V13" s="3">
        <v>2.24E-2</v>
      </c>
      <c r="W13">
        <v>1.060179</v>
      </c>
      <c r="X13" t="s">
        <v>22</v>
      </c>
      <c r="Y13" s="3">
        <v>2.46E-2</v>
      </c>
      <c r="Z13" s="3">
        <v>2.4799999999999999E-2</v>
      </c>
      <c r="AA13">
        <v>1.0552600000000001</v>
      </c>
      <c r="AB13" t="s">
        <v>22</v>
      </c>
      <c r="AC13" s="3">
        <v>2.7E-2</v>
      </c>
      <c r="AD13" s="3">
        <v>2.7199999999999998E-2</v>
      </c>
      <c r="AE13">
        <v>2.7199999999999998E-2</v>
      </c>
      <c r="AF13" t="s">
        <v>22</v>
      </c>
      <c r="AG13">
        <v>2.9399999999999999E-2</v>
      </c>
      <c r="AH13">
        <v>2.9600000000000001E-2</v>
      </c>
      <c r="AI13">
        <v>1.117154</v>
      </c>
    </row>
    <row r="16" spans="1:35" x14ac:dyDescent="0.25">
      <c r="A16" s="20" t="s">
        <v>23</v>
      </c>
      <c r="B16" s="18" t="s">
        <v>50</v>
      </c>
      <c r="C16" s="18"/>
      <c r="D16" s="18"/>
      <c r="E16" s="18"/>
      <c r="F16" s="18" t="s">
        <v>51</v>
      </c>
      <c r="G16" s="18"/>
      <c r="H16" s="18"/>
      <c r="I16" s="18"/>
      <c r="J16" s="18" t="s">
        <v>52</v>
      </c>
      <c r="K16" s="18"/>
      <c r="L16" s="18"/>
      <c r="M16" s="18"/>
      <c r="N16" s="18" t="s">
        <v>53</v>
      </c>
      <c r="O16" s="18"/>
      <c r="P16" s="18"/>
      <c r="Q16" s="18"/>
      <c r="S16" s="20" t="s">
        <v>23</v>
      </c>
      <c r="T16" s="18" t="s">
        <v>50</v>
      </c>
      <c r="U16" s="18"/>
      <c r="V16" s="18"/>
      <c r="W16" s="18"/>
      <c r="X16" s="18" t="s">
        <v>51</v>
      </c>
      <c r="Y16" s="18"/>
      <c r="Z16" s="18"/>
      <c r="AA16" s="18"/>
      <c r="AB16" s="18" t="s">
        <v>52</v>
      </c>
      <c r="AC16" s="18"/>
      <c r="AD16" s="18"/>
      <c r="AE16" s="18"/>
      <c r="AF16" s="18" t="s">
        <v>53</v>
      </c>
      <c r="AG16" s="18"/>
      <c r="AH16" s="18"/>
      <c r="AI16" s="18"/>
    </row>
    <row r="17" spans="1:35" x14ac:dyDescent="0.25">
      <c r="A17" s="2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2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2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2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2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2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20"/>
      <c r="B20" t="s">
        <v>22</v>
      </c>
      <c r="C20" s="3">
        <v>2.3699999999999999E-2</v>
      </c>
      <c r="D20" s="3">
        <v>2.3699999999999999E-2</v>
      </c>
      <c r="E20">
        <v>1.1326670000000001</v>
      </c>
      <c r="F20" t="s">
        <v>22</v>
      </c>
      <c r="G20" s="3">
        <v>2.63E-2</v>
      </c>
      <c r="H20" s="3">
        <v>2.63E-2</v>
      </c>
      <c r="I20">
        <v>1.1254660000000001</v>
      </c>
      <c r="J20" t="s">
        <v>22</v>
      </c>
      <c r="K20">
        <v>2.8899999999999999E-2</v>
      </c>
      <c r="L20">
        <v>2.9000000000000001E-2</v>
      </c>
      <c r="M20">
        <v>1.142301</v>
      </c>
      <c r="N20" t="s">
        <v>22</v>
      </c>
      <c r="O20">
        <v>3.15E-2</v>
      </c>
      <c r="P20">
        <v>3.1600000000000003E-2</v>
      </c>
      <c r="Q20">
        <v>1.127075</v>
      </c>
      <c r="S20" s="20"/>
      <c r="T20" t="s">
        <v>22</v>
      </c>
      <c r="U20" s="3">
        <v>2.2200000000000001E-2</v>
      </c>
      <c r="V20" s="3">
        <v>2.24E-2</v>
      </c>
      <c r="W20">
        <v>1.130307</v>
      </c>
      <c r="X20" t="s">
        <v>22</v>
      </c>
      <c r="Y20" s="3">
        <v>2.46E-2</v>
      </c>
      <c r="Z20" s="3">
        <v>2.4799999999999999E-2</v>
      </c>
      <c r="AA20">
        <v>1.127928</v>
      </c>
      <c r="AB20" t="s">
        <v>22</v>
      </c>
      <c r="AC20">
        <v>2.7E-2</v>
      </c>
      <c r="AD20">
        <v>2.7199999999999998E-2</v>
      </c>
      <c r="AE20">
        <v>1.167103</v>
      </c>
      <c r="AF20" t="s">
        <v>22</v>
      </c>
      <c r="AG20">
        <v>2.9399999999999999E-2</v>
      </c>
      <c r="AH20">
        <v>2.9600000000000001E-2</v>
      </c>
      <c r="AI20">
        <v>1.14483</v>
      </c>
    </row>
    <row r="23" spans="1:35" x14ac:dyDescent="0.25">
      <c r="A23" s="25" t="s">
        <v>24</v>
      </c>
      <c r="B23" s="18" t="s">
        <v>50</v>
      </c>
      <c r="C23" s="18"/>
      <c r="D23" s="18"/>
      <c r="E23" s="18"/>
      <c r="F23" s="18" t="s">
        <v>51</v>
      </c>
      <c r="G23" s="18"/>
      <c r="H23" s="18"/>
      <c r="I23" s="18"/>
      <c r="J23" s="18" t="s">
        <v>52</v>
      </c>
      <c r="K23" s="18"/>
      <c r="L23" s="18"/>
      <c r="M23" s="18"/>
      <c r="N23" s="18" t="s">
        <v>53</v>
      </c>
      <c r="O23" s="18"/>
      <c r="P23" s="18"/>
      <c r="Q23" s="18"/>
      <c r="S23" s="25" t="s">
        <v>24</v>
      </c>
      <c r="T23" s="18" t="s">
        <v>50</v>
      </c>
      <c r="U23" s="18"/>
      <c r="V23" s="18"/>
      <c r="W23" s="18"/>
      <c r="X23" s="18" t="s">
        <v>51</v>
      </c>
      <c r="Y23" s="18"/>
      <c r="Z23" s="18"/>
      <c r="AA23" s="18"/>
      <c r="AB23" s="18" t="s">
        <v>52</v>
      </c>
      <c r="AC23" s="18"/>
      <c r="AD23" s="18"/>
      <c r="AE23" s="18"/>
      <c r="AF23" s="18" t="s">
        <v>53</v>
      </c>
      <c r="AG23" s="18"/>
      <c r="AH23" s="18"/>
      <c r="AI23" s="18"/>
    </row>
    <row r="24" spans="1:35" x14ac:dyDescent="0.25">
      <c r="A24" s="25"/>
      <c r="B24" s="18" t="s">
        <v>25</v>
      </c>
      <c r="C24" s="18"/>
      <c r="D24" s="18"/>
      <c r="E24" t="s">
        <v>19</v>
      </c>
      <c r="F24" s="18" t="s">
        <v>25</v>
      </c>
      <c r="G24" s="18"/>
      <c r="H24" s="18"/>
      <c r="I24" t="s">
        <v>19</v>
      </c>
      <c r="J24" s="18" t="s">
        <v>25</v>
      </c>
      <c r="K24" s="18"/>
      <c r="L24" s="18"/>
      <c r="M24" t="s">
        <v>19</v>
      </c>
      <c r="N24" s="18" t="s">
        <v>25</v>
      </c>
      <c r="O24" s="18"/>
      <c r="P24" s="18"/>
      <c r="Q24" t="s">
        <v>19</v>
      </c>
      <c r="S24" s="25"/>
      <c r="T24" s="18" t="s">
        <v>25</v>
      </c>
      <c r="U24" s="18"/>
      <c r="V24" s="18"/>
      <c r="W24" t="s">
        <v>19</v>
      </c>
      <c r="X24" s="18" t="s">
        <v>25</v>
      </c>
      <c r="Y24" s="18"/>
      <c r="Z24" s="18"/>
      <c r="AA24" t="s">
        <v>19</v>
      </c>
      <c r="AB24" s="18" t="s">
        <v>25</v>
      </c>
      <c r="AC24" s="18"/>
      <c r="AD24" s="18"/>
      <c r="AE24" t="s">
        <v>19</v>
      </c>
      <c r="AF24" s="18" t="s">
        <v>25</v>
      </c>
      <c r="AG24" s="18"/>
      <c r="AH24" s="18"/>
      <c r="AI24" t="s">
        <v>19</v>
      </c>
    </row>
    <row r="25" spans="1:35" x14ac:dyDescent="0.25">
      <c r="A25" s="25"/>
      <c r="B25" s="4">
        <v>2.3699999999999999E-2</v>
      </c>
      <c r="C25" s="4"/>
      <c r="D25" s="4"/>
      <c r="E25">
        <v>2.033623</v>
      </c>
      <c r="F25" s="5">
        <v>2.6200000000000001E-2</v>
      </c>
      <c r="G25" s="5"/>
      <c r="H25" s="5"/>
      <c r="I25">
        <v>2.0590350000000002</v>
      </c>
      <c r="J25" s="4">
        <v>2.9000000000000001E-2</v>
      </c>
      <c r="K25" s="4"/>
      <c r="L25" s="4"/>
      <c r="M25">
        <v>2.0677690000000002</v>
      </c>
      <c r="N25" s="9">
        <v>3.1600000000000003E-2</v>
      </c>
      <c r="O25" s="9"/>
      <c r="P25" s="9"/>
      <c r="Q25">
        <v>2.0941700000000001</v>
      </c>
      <c r="S25" s="25"/>
      <c r="T25" s="7">
        <v>2.24E-2</v>
      </c>
      <c r="U25" s="7"/>
      <c r="V25" s="7"/>
      <c r="W25">
        <v>2.044079</v>
      </c>
      <c r="X25" s="10">
        <v>2.4799999999999999E-2</v>
      </c>
      <c r="Y25" s="10"/>
      <c r="Z25" s="10"/>
      <c r="AA25">
        <v>2.1102609999999999</v>
      </c>
      <c r="AB25" s="7">
        <v>2.7199999999999998E-2</v>
      </c>
      <c r="AC25" s="7"/>
      <c r="AD25" s="7"/>
      <c r="AE25">
        <v>2.0395639999999999</v>
      </c>
      <c r="AF25" s="4">
        <v>2.9600000000000001E-2</v>
      </c>
      <c r="AG25" s="4"/>
      <c r="AH25" s="4"/>
      <c r="AI25">
        <v>2.0508769999999998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C28" t="s">
        <v>48</v>
      </c>
      <c r="D28" t="s">
        <v>49</v>
      </c>
      <c r="G28" t="s">
        <v>48</v>
      </c>
      <c r="H28" t="s">
        <v>49</v>
      </c>
      <c r="S28" s="1" t="s">
        <v>27</v>
      </c>
      <c r="U28" t="s">
        <v>48</v>
      </c>
      <c r="V28" t="s">
        <v>49</v>
      </c>
      <c r="Y28" t="s">
        <v>48</v>
      </c>
      <c r="Z28" t="s">
        <v>49</v>
      </c>
    </row>
    <row r="29" spans="1:35" x14ac:dyDescent="0.25">
      <c r="B29" s="18" t="s">
        <v>8</v>
      </c>
      <c r="C29" s="18"/>
      <c r="D29" s="18"/>
      <c r="E29" s="18"/>
      <c r="F29" s="18" t="s">
        <v>9</v>
      </c>
      <c r="G29" s="18"/>
      <c r="H29" s="18"/>
      <c r="I29" s="18"/>
      <c r="J29" s="18" t="s">
        <v>10</v>
      </c>
      <c r="K29" s="18"/>
      <c r="L29" s="18"/>
      <c r="M29" s="18"/>
      <c r="N29" s="18" t="s">
        <v>11</v>
      </c>
      <c r="O29" s="18"/>
      <c r="P29" s="18"/>
      <c r="Q29" s="18"/>
      <c r="T29" s="18" t="s">
        <v>8</v>
      </c>
      <c r="U29" s="18"/>
      <c r="V29" s="18"/>
      <c r="W29" s="18"/>
      <c r="X29" s="18" t="s">
        <v>9</v>
      </c>
      <c r="Y29" s="18"/>
      <c r="Z29" s="18"/>
      <c r="AA29" s="18"/>
      <c r="AB29" s="18" t="s">
        <v>10</v>
      </c>
      <c r="AC29" s="18"/>
      <c r="AD29" s="18"/>
      <c r="AE29" s="18"/>
      <c r="AF29" s="18" t="s">
        <v>11</v>
      </c>
      <c r="AG29" s="18"/>
      <c r="AH29" s="18"/>
      <c r="AI29" s="18"/>
    </row>
    <row r="30" spans="1:35" x14ac:dyDescent="0.25">
      <c r="A30" s="24" t="s">
        <v>12</v>
      </c>
      <c r="B30" s="18" t="s">
        <v>50</v>
      </c>
      <c r="C30" s="18"/>
      <c r="D30" s="18"/>
      <c r="E30" s="18"/>
      <c r="F30" s="18" t="s">
        <v>51</v>
      </c>
      <c r="G30" s="18"/>
      <c r="H30" s="18"/>
      <c r="I30" s="18"/>
      <c r="J30" s="18" t="s">
        <v>52</v>
      </c>
      <c r="K30" s="18"/>
      <c r="L30" s="18"/>
      <c r="M30" s="18"/>
      <c r="N30" s="18" t="s">
        <v>53</v>
      </c>
      <c r="O30" s="18"/>
      <c r="P30" s="18"/>
      <c r="Q30" s="18"/>
      <c r="S30" s="24" t="s">
        <v>12</v>
      </c>
      <c r="T30" s="18" t="s">
        <v>50</v>
      </c>
      <c r="U30" s="18"/>
      <c r="V30" s="18"/>
      <c r="W30" s="18"/>
      <c r="X30" s="18" t="s">
        <v>51</v>
      </c>
      <c r="Y30" s="18"/>
      <c r="Z30" s="18"/>
      <c r="AA30" s="18"/>
      <c r="AB30" s="18" t="s">
        <v>52</v>
      </c>
      <c r="AC30" s="18"/>
      <c r="AD30" s="18"/>
      <c r="AE30" s="18"/>
      <c r="AF30" s="18" t="s">
        <v>53</v>
      </c>
      <c r="AG30" s="18"/>
      <c r="AH30" s="18"/>
      <c r="AI30" s="18"/>
    </row>
    <row r="31" spans="1:35" x14ac:dyDescent="0.25">
      <c r="A31" s="2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2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2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2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24"/>
      <c r="B34" t="s">
        <v>22</v>
      </c>
      <c r="C34" s="3">
        <v>1.9E-2</v>
      </c>
      <c r="D34" s="3">
        <v>2.0199999999999999E-2</v>
      </c>
      <c r="E34">
        <v>1.0679190000000001</v>
      </c>
      <c r="F34" t="s">
        <v>22</v>
      </c>
      <c r="G34" s="3">
        <v>2.1100000000000001E-2</v>
      </c>
      <c r="H34" s="3">
        <v>2.24E-2</v>
      </c>
      <c r="I34">
        <v>1.070166</v>
      </c>
      <c r="J34" t="s">
        <v>22</v>
      </c>
      <c r="K34" s="3">
        <v>2.3099999999999999E-2</v>
      </c>
      <c r="L34" s="3">
        <v>2.4500000000000001E-2</v>
      </c>
      <c r="M34">
        <v>1.0662229999999999</v>
      </c>
      <c r="N34" t="s">
        <v>22</v>
      </c>
      <c r="O34">
        <v>2.5000000000000001E-2</v>
      </c>
      <c r="P34">
        <v>2.6700000000000002E-2</v>
      </c>
      <c r="Q34">
        <v>1.12442</v>
      </c>
      <c r="S34" s="24"/>
      <c r="T34" t="s">
        <v>22</v>
      </c>
      <c r="U34" s="3">
        <v>1.35E-2</v>
      </c>
      <c r="V34" s="3">
        <v>1.6799999999999999E-2</v>
      </c>
      <c r="W34">
        <v>1.0677030000000001</v>
      </c>
      <c r="X34" t="s">
        <v>22</v>
      </c>
      <c r="Y34" s="3">
        <v>1.52E-2</v>
      </c>
      <c r="Z34" s="3">
        <v>1.8599999999999998E-2</v>
      </c>
      <c r="AA34">
        <v>1.05738</v>
      </c>
      <c r="AB34" t="s">
        <v>22</v>
      </c>
      <c r="AC34" s="3">
        <v>1.6899999999999998E-2</v>
      </c>
      <c r="AD34" s="3">
        <v>2.0400000000000001E-2</v>
      </c>
      <c r="AE34">
        <v>1.051865</v>
      </c>
      <c r="AF34" t="s">
        <v>22</v>
      </c>
      <c r="AG34" s="3">
        <v>1.83E-2</v>
      </c>
      <c r="AH34" s="3">
        <v>2.2200000000000001E-2</v>
      </c>
      <c r="AI34">
        <v>1.125021</v>
      </c>
    </row>
    <row r="37" spans="1:35" x14ac:dyDescent="0.25">
      <c r="A37" s="20" t="s">
        <v>23</v>
      </c>
      <c r="B37" s="18" t="s">
        <v>50</v>
      </c>
      <c r="C37" s="18"/>
      <c r="D37" s="18"/>
      <c r="E37" s="18"/>
      <c r="F37" s="18" t="s">
        <v>51</v>
      </c>
      <c r="G37" s="18"/>
      <c r="H37" s="18"/>
      <c r="I37" s="18"/>
      <c r="J37" s="18" t="s">
        <v>52</v>
      </c>
      <c r="K37" s="18"/>
      <c r="L37" s="18"/>
      <c r="M37" s="18"/>
      <c r="N37" s="18" t="s">
        <v>53</v>
      </c>
      <c r="O37" s="18"/>
      <c r="P37" s="18"/>
      <c r="Q37" s="18"/>
      <c r="S37" s="20" t="s">
        <v>23</v>
      </c>
      <c r="T37" s="18" t="s">
        <v>50</v>
      </c>
      <c r="U37" s="18"/>
      <c r="V37" s="18"/>
      <c r="W37" s="18"/>
      <c r="X37" s="18" t="s">
        <v>51</v>
      </c>
      <c r="Y37" s="18"/>
      <c r="Z37" s="18"/>
      <c r="AA37" s="18"/>
      <c r="AB37" s="18" t="s">
        <v>52</v>
      </c>
      <c r="AC37" s="18"/>
      <c r="AD37" s="18"/>
      <c r="AE37" s="18"/>
      <c r="AF37" s="18" t="s">
        <v>53</v>
      </c>
      <c r="AG37" s="18"/>
      <c r="AH37" s="18"/>
      <c r="AI37" s="18"/>
    </row>
    <row r="38" spans="1:35" x14ac:dyDescent="0.25">
      <c r="A38" s="2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2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2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2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2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2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20"/>
      <c r="B41" t="s">
        <v>22</v>
      </c>
      <c r="C41" s="3">
        <v>1.9E-2</v>
      </c>
      <c r="D41" s="3">
        <v>2.0199999999999999E-2</v>
      </c>
      <c r="E41">
        <v>1.13568</v>
      </c>
      <c r="F41" t="s">
        <v>22</v>
      </c>
      <c r="G41" s="3">
        <v>2.12E-2</v>
      </c>
      <c r="H41" s="3">
        <v>2.24E-2</v>
      </c>
      <c r="I41">
        <v>1.1245689999999999</v>
      </c>
      <c r="J41" t="s">
        <v>22</v>
      </c>
      <c r="K41" s="3">
        <v>2.3199999999999998E-2</v>
      </c>
      <c r="L41" s="3">
        <v>2.4500000000000001E-2</v>
      </c>
      <c r="M41">
        <v>1.127203</v>
      </c>
      <c r="N41" t="s">
        <v>22</v>
      </c>
      <c r="O41">
        <v>2.5100000000000001E-2</v>
      </c>
      <c r="P41">
        <v>2.6599999999999999E-2</v>
      </c>
      <c r="Q41">
        <v>1.129893</v>
      </c>
      <c r="S41" s="20"/>
      <c r="T41" t="s">
        <v>22</v>
      </c>
      <c r="U41" s="3">
        <v>1.35E-2</v>
      </c>
      <c r="V41" s="3">
        <v>1.6799999999999999E-2</v>
      </c>
      <c r="W41">
        <v>1.1244769999999999</v>
      </c>
      <c r="X41" t="s">
        <v>22</v>
      </c>
      <c r="Y41" s="3">
        <v>1.5699999999999999E-2</v>
      </c>
      <c r="Z41" s="3">
        <v>1.8599999999999998E-2</v>
      </c>
      <c r="AA41">
        <v>1.119648</v>
      </c>
      <c r="AB41" t="s">
        <v>22</v>
      </c>
      <c r="AC41" s="3">
        <v>1.7100000000000001E-2</v>
      </c>
      <c r="AD41" s="3">
        <v>2.0299999999999999E-2</v>
      </c>
      <c r="AE41">
        <v>1.128579</v>
      </c>
      <c r="AF41" t="s">
        <v>22</v>
      </c>
      <c r="AG41" s="3">
        <v>1.84E-2</v>
      </c>
      <c r="AH41" s="3">
        <v>2.2100000000000002E-2</v>
      </c>
      <c r="AI41">
        <v>1.1310020000000001</v>
      </c>
    </row>
    <row r="44" spans="1:35" x14ac:dyDescent="0.25">
      <c r="A44" s="25" t="s">
        <v>24</v>
      </c>
      <c r="B44" s="18" t="s">
        <v>50</v>
      </c>
      <c r="C44" s="18"/>
      <c r="D44" s="18"/>
      <c r="E44" s="18"/>
      <c r="F44" s="18" t="s">
        <v>51</v>
      </c>
      <c r="G44" s="18"/>
      <c r="H44" s="18"/>
      <c r="I44" s="18"/>
      <c r="J44" s="18" t="s">
        <v>52</v>
      </c>
      <c r="K44" s="18"/>
      <c r="L44" s="18"/>
      <c r="M44" s="18"/>
      <c r="N44" s="18" t="s">
        <v>53</v>
      </c>
      <c r="O44" s="18"/>
      <c r="P44" s="18"/>
      <c r="Q44" s="18"/>
      <c r="S44" s="25" t="s">
        <v>24</v>
      </c>
      <c r="T44" s="18" t="s">
        <v>50</v>
      </c>
      <c r="U44" s="18"/>
      <c r="V44" s="18"/>
      <c r="W44" s="18"/>
      <c r="X44" s="18" t="s">
        <v>51</v>
      </c>
      <c r="Y44" s="18"/>
      <c r="Z44" s="18"/>
      <c r="AA44" s="18"/>
      <c r="AB44" s="18" t="s">
        <v>52</v>
      </c>
      <c r="AC44" s="18"/>
      <c r="AD44" s="18"/>
      <c r="AE44" s="18"/>
      <c r="AF44" s="18" t="s">
        <v>53</v>
      </c>
      <c r="AG44" s="18"/>
      <c r="AH44" s="18"/>
      <c r="AI44" s="18"/>
    </row>
    <row r="45" spans="1:35" x14ac:dyDescent="0.25">
      <c r="A45" s="25"/>
      <c r="B45" s="18" t="s">
        <v>25</v>
      </c>
      <c r="C45" s="18"/>
      <c r="D45" s="18"/>
      <c r="E45" t="s">
        <v>19</v>
      </c>
      <c r="F45" s="18" t="s">
        <v>25</v>
      </c>
      <c r="G45" s="18"/>
      <c r="H45" s="18"/>
      <c r="I45" t="s">
        <v>19</v>
      </c>
      <c r="J45" s="18" t="s">
        <v>25</v>
      </c>
      <c r="K45" s="18"/>
      <c r="L45" s="18"/>
      <c r="M45" t="s">
        <v>19</v>
      </c>
      <c r="N45" s="18" t="s">
        <v>25</v>
      </c>
      <c r="O45" s="18"/>
      <c r="P45" s="18"/>
      <c r="Q45" t="s">
        <v>19</v>
      </c>
      <c r="S45" s="25"/>
      <c r="T45" s="18" t="s">
        <v>25</v>
      </c>
      <c r="U45" s="18"/>
      <c r="V45" s="18"/>
      <c r="W45" t="s">
        <v>19</v>
      </c>
      <c r="X45" s="18" t="s">
        <v>25</v>
      </c>
      <c r="Y45" s="18"/>
      <c r="Z45" s="18"/>
      <c r="AA45" t="s">
        <v>19</v>
      </c>
      <c r="AB45" s="18" t="s">
        <v>25</v>
      </c>
      <c r="AC45" s="18"/>
      <c r="AD45" s="18"/>
      <c r="AE45" t="s">
        <v>19</v>
      </c>
      <c r="AF45" s="18" t="s">
        <v>25</v>
      </c>
      <c r="AG45" s="18"/>
      <c r="AH45" s="18"/>
      <c r="AI45" t="s">
        <v>19</v>
      </c>
    </row>
    <row r="46" spans="1:35" x14ac:dyDescent="0.25">
      <c r="A46" s="25"/>
      <c r="B46" s="7">
        <v>1.9699999999999999E-2</v>
      </c>
      <c r="C46" s="7"/>
      <c r="D46" s="7"/>
      <c r="E46">
        <v>2.0585089999999999</v>
      </c>
      <c r="F46" s="8">
        <v>2.1899999999999999E-2</v>
      </c>
      <c r="G46" s="8"/>
      <c r="H46" s="8"/>
      <c r="I46">
        <v>2.0508660000000001</v>
      </c>
      <c r="J46" s="4">
        <v>2.3900000000000001E-2</v>
      </c>
      <c r="K46" s="4"/>
      <c r="L46" s="4"/>
      <c r="M46">
        <v>2.0244040000000001</v>
      </c>
      <c r="N46" s="2">
        <v>2.5999999999999999E-2</v>
      </c>
      <c r="O46" s="2"/>
      <c r="P46" s="2"/>
      <c r="Q46">
        <v>2.0559859999999999</v>
      </c>
      <c r="S46" s="25"/>
      <c r="T46" s="4">
        <v>1.5599999999999999E-2</v>
      </c>
      <c r="U46" s="4"/>
      <c r="V46" s="4"/>
      <c r="W46">
        <v>2.055755</v>
      </c>
      <c r="X46" s="4">
        <v>1.7299999999999999E-2</v>
      </c>
      <c r="Y46" s="4"/>
      <c r="Z46" s="4"/>
      <c r="AA46">
        <v>2.0685630000000002</v>
      </c>
      <c r="AB46" s="4">
        <v>1.9E-2</v>
      </c>
      <c r="AC46" s="4"/>
      <c r="AD46" s="4"/>
      <c r="AE46">
        <v>2.0654309999999998</v>
      </c>
      <c r="AF46" s="4">
        <v>2.06E-2</v>
      </c>
      <c r="AG46" s="4"/>
      <c r="AH46" s="4"/>
      <c r="AI46">
        <v>2.1422119999999998</v>
      </c>
    </row>
    <row r="48" spans="1:35" x14ac:dyDescent="0.25">
      <c r="A48" s="1" t="s">
        <v>28</v>
      </c>
      <c r="C48" t="s">
        <v>48</v>
      </c>
      <c r="D48" t="s">
        <v>49</v>
      </c>
      <c r="G48" t="s">
        <v>48</v>
      </c>
      <c r="H48" t="s">
        <v>49</v>
      </c>
    </row>
    <row r="49" spans="1:17" x14ac:dyDescent="0.25">
      <c r="B49" s="18" t="s">
        <v>8</v>
      </c>
      <c r="C49" s="18"/>
      <c r="D49" s="18"/>
      <c r="E49" s="18"/>
      <c r="F49" s="18" t="s">
        <v>9</v>
      </c>
      <c r="G49" s="18"/>
      <c r="H49" s="18"/>
      <c r="I49" s="18"/>
      <c r="J49" s="18" t="s">
        <v>10</v>
      </c>
      <c r="K49" s="18"/>
      <c r="L49" s="18"/>
      <c r="M49" s="18"/>
      <c r="N49" s="18" t="s">
        <v>11</v>
      </c>
      <c r="O49" s="18"/>
      <c r="P49" s="18"/>
      <c r="Q49" s="18"/>
    </row>
    <row r="50" spans="1:17" x14ac:dyDescent="0.25">
      <c r="A50" s="24" t="s">
        <v>12</v>
      </c>
      <c r="B50" s="18" t="s">
        <v>50</v>
      </c>
      <c r="C50" s="18"/>
      <c r="D50" s="18"/>
      <c r="E50" s="18"/>
      <c r="F50" s="18" t="s">
        <v>51</v>
      </c>
      <c r="G50" s="18"/>
      <c r="H50" s="18"/>
      <c r="I50" s="18"/>
      <c r="J50" s="18" t="s">
        <v>52</v>
      </c>
      <c r="K50" s="18"/>
      <c r="L50" s="18"/>
      <c r="M50" s="18"/>
      <c r="N50" s="18" t="s">
        <v>53</v>
      </c>
      <c r="O50" s="18"/>
      <c r="P50" s="18"/>
      <c r="Q50" s="18"/>
    </row>
    <row r="51" spans="1:17" x14ac:dyDescent="0.25">
      <c r="A51" s="2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2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24"/>
      <c r="B54" t="s">
        <v>22</v>
      </c>
      <c r="C54" s="3">
        <v>7.7999999999999996E-3</v>
      </c>
      <c r="D54" s="3">
        <v>1.0999999999999999E-2</v>
      </c>
      <c r="E54">
        <v>1.0664819999999999</v>
      </c>
      <c r="F54" t="s">
        <v>22</v>
      </c>
      <c r="G54" s="3">
        <v>8.8000000000000005E-3</v>
      </c>
      <c r="H54" s="3">
        <v>1.23E-2</v>
      </c>
      <c r="I54">
        <v>1.046133</v>
      </c>
      <c r="J54" t="s">
        <v>22</v>
      </c>
      <c r="K54" s="3">
        <v>9.9000000000000008E-3</v>
      </c>
      <c r="L54" s="3">
        <v>1.3599999999999999E-2</v>
      </c>
      <c r="M54">
        <v>1.0746659999999999</v>
      </c>
      <c r="N54" t="s">
        <v>22</v>
      </c>
      <c r="O54" s="3">
        <v>1.09E-2</v>
      </c>
      <c r="P54" s="3">
        <v>1.4800000000000001E-2</v>
      </c>
      <c r="Q54">
        <v>1.0565929999999999</v>
      </c>
    </row>
    <row r="57" spans="1:17" x14ac:dyDescent="0.25">
      <c r="A57" s="20" t="s">
        <v>23</v>
      </c>
      <c r="B57" s="18" t="s">
        <v>50</v>
      </c>
      <c r="C57" s="18"/>
      <c r="D57" s="18"/>
      <c r="E57" s="18"/>
      <c r="F57" s="18" t="s">
        <v>51</v>
      </c>
      <c r="G57" s="18"/>
      <c r="H57" s="18"/>
      <c r="I57" s="18"/>
      <c r="J57" s="18" t="s">
        <v>52</v>
      </c>
      <c r="K57" s="18"/>
      <c r="L57" s="18"/>
      <c r="M57" s="18"/>
      <c r="N57" s="18" t="s">
        <v>53</v>
      </c>
      <c r="O57" s="18"/>
      <c r="P57" s="18"/>
      <c r="Q57" s="18"/>
    </row>
    <row r="58" spans="1:17" x14ac:dyDescent="0.25">
      <c r="A58" s="2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2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2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20"/>
      <c r="B61" t="s">
        <v>22</v>
      </c>
      <c r="C61" s="3">
        <v>7.7999999999999996E-3</v>
      </c>
      <c r="D61" s="3">
        <v>1.0999999999999999E-2</v>
      </c>
      <c r="E61">
        <v>1.121256</v>
      </c>
      <c r="F61" t="s">
        <v>22</v>
      </c>
      <c r="G61" s="3">
        <v>9.4999999999999998E-3</v>
      </c>
      <c r="H61" s="3">
        <v>1.17E-2</v>
      </c>
      <c r="I61">
        <v>1.1232439999999999</v>
      </c>
      <c r="J61" t="s">
        <v>22</v>
      </c>
      <c r="K61" s="3">
        <v>1.0500000000000001E-2</v>
      </c>
      <c r="L61" s="3">
        <v>1.24E-2</v>
      </c>
      <c r="M61">
        <v>1.129259</v>
      </c>
      <c r="N61" t="s">
        <v>22</v>
      </c>
      <c r="O61" s="3">
        <v>1.1299999999999999E-2</v>
      </c>
      <c r="P61" s="3">
        <v>1.38E-2</v>
      </c>
      <c r="Q61">
        <v>1.128209</v>
      </c>
    </row>
    <row r="64" spans="1:17" x14ac:dyDescent="0.25">
      <c r="A64" s="25" t="s">
        <v>24</v>
      </c>
      <c r="B64" s="18" t="s">
        <v>50</v>
      </c>
      <c r="C64" s="18"/>
      <c r="D64" s="18"/>
      <c r="E64" s="18"/>
      <c r="F64" s="18" t="s">
        <v>51</v>
      </c>
      <c r="G64" s="18"/>
      <c r="H64" s="18"/>
      <c r="I64" s="18"/>
      <c r="J64" s="18" t="s">
        <v>52</v>
      </c>
      <c r="K64" s="18"/>
      <c r="L64" s="18"/>
      <c r="M64" s="18"/>
      <c r="N64" s="18" t="s">
        <v>53</v>
      </c>
      <c r="O64" s="18"/>
      <c r="P64" s="18"/>
      <c r="Q64" s="18"/>
    </row>
    <row r="65" spans="1:27" x14ac:dyDescent="0.25">
      <c r="A65" s="25"/>
      <c r="B65" s="18" t="s">
        <v>25</v>
      </c>
      <c r="C65" s="18"/>
      <c r="D65" s="18"/>
      <c r="E65" t="s">
        <v>19</v>
      </c>
      <c r="F65" s="18" t="s">
        <v>25</v>
      </c>
      <c r="G65" s="18"/>
      <c r="H65" s="18"/>
      <c r="I65" t="s">
        <v>19</v>
      </c>
      <c r="J65" s="18" t="s">
        <v>25</v>
      </c>
      <c r="K65" s="18"/>
      <c r="L65" s="18"/>
      <c r="M65" t="s">
        <v>19</v>
      </c>
      <c r="N65" s="18" t="s">
        <v>25</v>
      </c>
      <c r="O65" s="18"/>
      <c r="P65" s="18"/>
      <c r="Q65" t="s">
        <v>19</v>
      </c>
    </row>
    <row r="66" spans="1:27" x14ac:dyDescent="0.25">
      <c r="A66" s="25"/>
      <c r="B66" s="4">
        <v>9.5999999999999992E-3</v>
      </c>
      <c r="C66" s="4"/>
      <c r="D66" s="4"/>
      <c r="E66">
        <v>2.0546519999999999</v>
      </c>
      <c r="F66" s="4">
        <v>1.09E-2</v>
      </c>
      <c r="G66" s="4"/>
      <c r="H66" s="4"/>
      <c r="I66">
        <v>2.0627749999999998</v>
      </c>
      <c r="J66" s="4">
        <v>1.2E-2</v>
      </c>
      <c r="K66" s="4"/>
      <c r="L66" s="4"/>
      <c r="M66">
        <v>2.0707469999999999</v>
      </c>
      <c r="N66" s="4">
        <v>1.2999999999999999E-2</v>
      </c>
      <c r="O66" s="4"/>
      <c r="P66" s="4"/>
      <c r="Q66">
        <v>2.0863659999999999</v>
      </c>
    </row>
    <row r="68" spans="1:27" x14ac:dyDescent="0.25">
      <c r="A68" s="24" t="s">
        <v>29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1" t="s">
        <v>6</v>
      </c>
      <c r="D71" s="19" t="s">
        <v>12</v>
      </c>
      <c r="E71" s="19"/>
      <c r="F71" s="19"/>
      <c r="G71" s="19"/>
      <c r="H71" s="19"/>
      <c r="I71" s="20" t="s">
        <v>23</v>
      </c>
      <c r="J71" s="20"/>
      <c r="K71" s="20"/>
      <c r="L71" s="21" t="s">
        <v>24</v>
      </c>
      <c r="M71" s="21"/>
      <c r="N71" s="11"/>
      <c r="P71" s="19" t="s">
        <v>12</v>
      </c>
      <c r="Q71" s="19"/>
      <c r="R71" s="19"/>
      <c r="S71" s="19"/>
      <c r="T71" s="19"/>
      <c r="U71" s="20" t="s">
        <v>23</v>
      </c>
      <c r="V71" s="20"/>
      <c r="W71" s="20"/>
      <c r="X71" s="21" t="s">
        <v>24</v>
      </c>
      <c r="Y71" s="21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24" t="s">
        <v>9</v>
      </c>
      <c r="D73" s="23" t="s">
        <v>32</v>
      </c>
      <c r="E73" t="s">
        <v>33</v>
      </c>
      <c r="F73">
        <f t="shared" ref="F73:G75" si="0">0.05*G11+(1-0.05)*C11</f>
        <v>0</v>
      </c>
      <c r="G73">
        <f t="shared" si="0"/>
        <v>0</v>
      </c>
      <c r="H73">
        <f>E11+I11</f>
        <v>0</v>
      </c>
      <c r="I73">
        <f t="shared" ref="I73:J75" si="1">0.05*G18+(1-0.05)*C18</f>
        <v>0</v>
      </c>
      <c r="J73">
        <f t="shared" si="1"/>
        <v>0</v>
      </c>
      <c r="K73">
        <f>I18+E18</f>
        <v>0</v>
      </c>
      <c r="L73">
        <f>0.05*F25+(1-0.05)*B25</f>
        <v>2.3824999999999995E-2</v>
      </c>
      <c r="M73">
        <f>I25+E25</f>
        <v>4.0926580000000001</v>
      </c>
      <c r="P73" s="23" t="s">
        <v>34</v>
      </c>
      <c r="Q73" t="s">
        <v>33</v>
      </c>
      <c r="R73">
        <f t="shared" ref="R73:S75" si="2">0.1*G11+(1-0.1)*C11</f>
        <v>0</v>
      </c>
      <c r="S73">
        <f t="shared" si="2"/>
        <v>0</v>
      </c>
      <c r="U73">
        <f t="shared" ref="U73:V75" si="3">0.1*G18+(1-0.1)*C18</f>
        <v>0</v>
      </c>
      <c r="V73">
        <f t="shared" si="3"/>
        <v>0</v>
      </c>
      <c r="X73">
        <f>0.1*F25+(1-0.1)*B25</f>
        <v>2.3949999999999999E-2</v>
      </c>
    </row>
    <row r="74" spans="1:27" x14ac:dyDescent="0.25">
      <c r="C74" s="24"/>
      <c r="D74" s="23"/>
      <c r="E74" t="s">
        <v>35</v>
      </c>
      <c r="F74">
        <f t="shared" si="0"/>
        <v>0</v>
      </c>
      <c r="G74">
        <f t="shared" si="0"/>
        <v>0</v>
      </c>
      <c r="H74">
        <f>E12+I12</f>
        <v>0</v>
      </c>
      <c r="I74">
        <f t="shared" si="1"/>
        <v>0</v>
      </c>
      <c r="J74">
        <f t="shared" si="1"/>
        <v>0</v>
      </c>
      <c r="K74">
        <f>I19+E19</f>
        <v>0</v>
      </c>
      <c r="P74" s="23"/>
      <c r="Q74" t="s">
        <v>35</v>
      </c>
      <c r="R74">
        <f t="shared" si="2"/>
        <v>0</v>
      </c>
      <c r="S74">
        <f t="shared" si="2"/>
        <v>0</v>
      </c>
      <c r="U74">
        <f t="shared" si="3"/>
        <v>0</v>
      </c>
      <c r="V74">
        <f t="shared" si="3"/>
        <v>0</v>
      </c>
    </row>
    <row r="75" spans="1:27" x14ac:dyDescent="0.25">
      <c r="C75" s="24"/>
      <c r="D75" s="23"/>
      <c r="E75" t="s">
        <v>36</v>
      </c>
      <c r="F75">
        <f t="shared" si="0"/>
        <v>2.3829999999999997E-2</v>
      </c>
      <c r="G75">
        <f t="shared" si="0"/>
        <v>2.3829999999999997E-2</v>
      </c>
      <c r="H75">
        <f>E13+I13</f>
        <v>2.1226159999999998</v>
      </c>
      <c r="I75">
        <f t="shared" si="1"/>
        <v>2.3829999999999997E-2</v>
      </c>
      <c r="J75">
        <f t="shared" si="1"/>
        <v>2.3829999999999997E-2</v>
      </c>
      <c r="K75">
        <f>I20+E20</f>
        <v>2.2581329999999999</v>
      </c>
      <c r="P75" s="23"/>
      <c r="Q75" t="s">
        <v>36</v>
      </c>
      <c r="R75">
        <f t="shared" si="2"/>
        <v>2.3959999999999999E-2</v>
      </c>
      <c r="S75">
        <f t="shared" si="2"/>
        <v>2.3959999999999999E-2</v>
      </c>
      <c r="U75">
        <f t="shared" si="3"/>
        <v>2.3959999999999999E-2</v>
      </c>
      <c r="V75">
        <f t="shared" si="3"/>
        <v>2.3959999999999999E-2</v>
      </c>
    </row>
    <row r="76" spans="1:27" x14ac:dyDescent="0.25">
      <c r="C76" s="24"/>
    </row>
    <row r="77" spans="1:27" x14ac:dyDescent="0.25">
      <c r="C77" s="24"/>
    </row>
    <row r="78" spans="1:27" x14ac:dyDescent="0.25">
      <c r="C78" s="24"/>
    </row>
    <row r="79" spans="1:27" x14ac:dyDescent="0.25">
      <c r="C79" s="24"/>
      <c r="D79" s="23" t="s">
        <v>37</v>
      </c>
      <c r="E79" t="s">
        <v>33</v>
      </c>
      <c r="F79">
        <f t="shared" ref="F79:G81" si="4">0.2*G11+(1-0.2)*C11</f>
        <v>0</v>
      </c>
      <c r="G79">
        <f t="shared" si="4"/>
        <v>0</v>
      </c>
      <c r="I79">
        <f t="shared" ref="I79:J81" si="5">0.2*G18+(1-0.2)*C18</f>
        <v>0</v>
      </c>
      <c r="J79">
        <f t="shared" si="5"/>
        <v>0</v>
      </c>
      <c r="L79">
        <f>0.2*F25+(1-0.2)*B25</f>
        <v>2.4200000000000003E-2</v>
      </c>
      <c r="P79" s="23" t="s">
        <v>38</v>
      </c>
      <c r="Q79" t="s">
        <v>33</v>
      </c>
      <c r="R79">
        <f t="shared" ref="R79:S81" si="6">0.3*G11+(1-0.3)*C11</f>
        <v>0</v>
      </c>
      <c r="S79">
        <f t="shared" si="6"/>
        <v>0</v>
      </c>
      <c r="U79">
        <f t="shared" ref="U79:V81" si="7">0.3*G18+(1-0.3)*C18</f>
        <v>0</v>
      </c>
      <c r="V79">
        <f t="shared" si="7"/>
        <v>0</v>
      </c>
      <c r="X79">
        <f>0.3*F25+(1-0.3)*B25</f>
        <v>2.445E-2</v>
      </c>
    </row>
    <row r="80" spans="1:27" x14ac:dyDescent="0.25">
      <c r="C80" s="24"/>
      <c r="D80" s="23"/>
      <c r="E80" t="s">
        <v>35</v>
      </c>
      <c r="F80">
        <f t="shared" si="4"/>
        <v>0</v>
      </c>
      <c r="G80">
        <f t="shared" si="4"/>
        <v>0</v>
      </c>
      <c r="I80">
        <f t="shared" si="5"/>
        <v>0</v>
      </c>
      <c r="J80">
        <f t="shared" si="5"/>
        <v>0</v>
      </c>
      <c r="P80" s="23"/>
      <c r="Q80" t="s">
        <v>35</v>
      </c>
      <c r="R80">
        <f t="shared" si="6"/>
        <v>0</v>
      </c>
      <c r="S80">
        <f t="shared" si="6"/>
        <v>0</v>
      </c>
      <c r="U80">
        <f t="shared" si="7"/>
        <v>0</v>
      </c>
      <c r="V80">
        <f t="shared" si="7"/>
        <v>0</v>
      </c>
    </row>
    <row r="81" spans="2:25" x14ac:dyDescent="0.25">
      <c r="C81" s="24"/>
      <c r="D81" s="23"/>
      <c r="E81" t="s">
        <v>36</v>
      </c>
      <c r="F81">
        <f t="shared" si="4"/>
        <v>2.4220000000000002E-2</v>
      </c>
      <c r="G81">
        <f t="shared" si="4"/>
        <v>2.4220000000000002E-2</v>
      </c>
      <c r="I81">
        <f t="shared" si="5"/>
        <v>2.4220000000000002E-2</v>
      </c>
      <c r="J81">
        <f t="shared" si="5"/>
        <v>2.4220000000000002E-2</v>
      </c>
      <c r="P81" s="23"/>
      <c r="Q81" t="s">
        <v>36</v>
      </c>
      <c r="R81">
        <f t="shared" si="6"/>
        <v>2.4479999999999995E-2</v>
      </c>
      <c r="S81">
        <f t="shared" si="6"/>
        <v>2.4479999999999995E-2</v>
      </c>
      <c r="U81">
        <f t="shared" si="7"/>
        <v>2.4479999999999995E-2</v>
      </c>
      <c r="V81">
        <f t="shared" si="7"/>
        <v>2.4479999999999995E-2</v>
      </c>
    </row>
    <row r="84" spans="2:25" x14ac:dyDescent="0.25">
      <c r="D84" s="19" t="s">
        <v>12</v>
      </c>
      <c r="E84" s="19"/>
      <c r="F84" s="19"/>
      <c r="G84" s="19"/>
      <c r="H84" s="19"/>
      <c r="I84" s="20" t="s">
        <v>23</v>
      </c>
      <c r="J84" s="20"/>
      <c r="K84" s="20"/>
      <c r="L84" s="21" t="s">
        <v>24</v>
      </c>
      <c r="M84" s="21"/>
      <c r="N84" s="6"/>
      <c r="P84" s="19" t="s">
        <v>12</v>
      </c>
      <c r="Q84" s="19"/>
      <c r="R84" s="19"/>
      <c r="S84" s="19"/>
      <c r="T84" s="19"/>
      <c r="U84" s="20" t="s">
        <v>23</v>
      </c>
      <c r="V84" s="20"/>
      <c r="W84" s="20"/>
      <c r="X84" s="21" t="s">
        <v>24</v>
      </c>
      <c r="Y84" s="21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24" t="s">
        <v>10</v>
      </c>
      <c r="C86" s="22" t="s">
        <v>39</v>
      </c>
      <c r="D86" s="23" t="s">
        <v>32</v>
      </c>
      <c r="E86" t="s">
        <v>33</v>
      </c>
      <c r="F86">
        <f t="shared" ref="F86:G88" si="8">(0.05*(1-0.05)+0.05*(1-0.05))*G11+0.05*0.05*K11+(1-0.05*(1-0.05)-0.05*(1-0.05)-0.05*0.05)*C11</f>
        <v>0</v>
      </c>
      <c r="G86">
        <f t="shared" si="8"/>
        <v>0</v>
      </c>
      <c r="H86">
        <f>M11+I11+E11</f>
        <v>0</v>
      </c>
      <c r="I86">
        <f t="shared" ref="I86:J88" si="9">(0.05*(1-0.05)+0.05*(1-0.05))*G18+0.05*0.05*K18+(1-0.05*(1-0.05)-0.05*(1-0.05)-0.05*0.05)*C18</f>
        <v>0</v>
      </c>
      <c r="J86">
        <f t="shared" si="9"/>
        <v>0</v>
      </c>
      <c r="K86">
        <f>M18+I18+E18</f>
        <v>0</v>
      </c>
      <c r="L86">
        <f>(0.05*(1-0.05)+0.05*(1-0.05))*F25+0.05*0.05*J25+(1-0.05*(1-0.05)-0.05*(1-0.05)-0.05*0.05)*B25</f>
        <v>2.3950750000000003E-2</v>
      </c>
      <c r="M86">
        <f>M25+I25+E25</f>
        <v>6.1604270000000003</v>
      </c>
      <c r="O86" s="22" t="s">
        <v>40</v>
      </c>
      <c r="P86" s="23" t="s">
        <v>34</v>
      </c>
      <c r="Q86" t="s">
        <v>33</v>
      </c>
      <c r="R86">
        <f t="shared" ref="R86:S88" si="10">(0.1*0.9+0.1*0.9)*G11+0.1*0.1*K11+(1-0.1*0.9-0.1*0.9-0.1*0.1)*C11</f>
        <v>0</v>
      </c>
      <c r="S86">
        <f t="shared" si="10"/>
        <v>0</v>
      </c>
      <c r="U86">
        <f t="shared" ref="U86:V88" si="11">(0.1*0.9+0.1*0.9)*G18+0.1*0.1*K18+(1-0.1*0.9-0.1*0.9-0.1*0.1)*C18</f>
        <v>0</v>
      </c>
      <c r="V86">
        <f t="shared" si="11"/>
        <v>0</v>
      </c>
      <c r="X86">
        <f>(0.1*0.9+0.1*0.9)*F25+0.1*0.1*J25+(1-0.1*0.9-0.1*0.9-0.1*0.1)*B25</f>
        <v>2.4202999999999999E-2</v>
      </c>
    </row>
    <row r="87" spans="2:25" x14ac:dyDescent="0.25">
      <c r="B87" s="24"/>
      <c r="C87" s="22"/>
      <c r="D87" s="23"/>
      <c r="E87" t="s">
        <v>35</v>
      </c>
      <c r="F87">
        <f t="shared" si="8"/>
        <v>0</v>
      </c>
      <c r="G87">
        <f t="shared" si="8"/>
        <v>0</v>
      </c>
      <c r="H87">
        <f>M12+I12+E12</f>
        <v>0</v>
      </c>
      <c r="I87">
        <f t="shared" si="9"/>
        <v>0</v>
      </c>
      <c r="J87">
        <f t="shared" si="9"/>
        <v>0</v>
      </c>
      <c r="K87">
        <f>M19+I19+E19</f>
        <v>0</v>
      </c>
      <c r="O87" s="22"/>
      <c r="P87" s="23"/>
      <c r="Q87" t="s">
        <v>35</v>
      </c>
      <c r="R87">
        <f t="shared" si="10"/>
        <v>0</v>
      </c>
      <c r="S87">
        <f t="shared" si="10"/>
        <v>0</v>
      </c>
      <c r="U87">
        <f t="shared" si="11"/>
        <v>0</v>
      </c>
      <c r="V87">
        <f t="shared" si="11"/>
        <v>0</v>
      </c>
    </row>
    <row r="88" spans="2:25" x14ac:dyDescent="0.25">
      <c r="B88" s="24"/>
      <c r="C88" s="22"/>
      <c r="D88" s="23"/>
      <c r="E88" t="s">
        <v>36</v>
      </c>
      <c r="F88">
        <f t="shared" si="8"/>
        <v>2.3960000000000002E-2</v>
      </c>
      <c r="G88">
        <f t="shared" si="8"/>
        <v>2.3960250000000002E-2</v>
      </c>
      <c r="H88">
        <f>M13+I13+E13</f>
        <v>3.1854449999999996</v>
      </c>
      <c r="I88">
        <f t="shared" si="9"/>
        <v>2.3960000000000002E-2</v>
      </c>
      <c r="J88">
        <f t="shared" si="9"/>
        <v>2.3960250000000002E-2</v>
      </c>
      <c r="K88">
        <f>M20+I20+E20</f>
        <v>3.4004340000000002</v>
      </c>
      <c r="O88" s="22"/>
      <c r="P88" s="23"/>
      <c r="Q88" t="s">
        <v>36</v>
      </c>
      <c r="R88">
        <f t="shared" si="10"/>
        <v>2.4219999999999998E-2</v>
      </c>
      <c r="S88">
        <f t="shared" si="10"/>
        <v>2.4220999999999999E-2</v>
      </c>
      <c r="U88">
        <f t="shared" si="11"/>
        <v>2.4219999999999998E-2</v>
      </c>
      <c r="V88">
        <f t="shared" si="11"/>
        <v>2.4220999999999999E-2</v>
      </c>
    </row>
    <row r="89" spans="2:25" x14ac:dyDescent="0.25">
      <c r="B89" s="24"/>
      <c r="C89" s="6"/>
    </row>
    <row r="90" spans="2:25" x14ac:dyDescent="0.25">
      <c r="B90" s="24"/>
      <c r="C90" s="6"/>
    </row>
    <row r="91" spans="2:25" x14ac:dyDescent="0.25">
      <c r="B91" s="24"/>
      <c r="C91" s="6"/>
    </row>
    <row r="92" spans="2:25" x14ac:dyDescent="0.25">
      <c r="B92" s="24"/>
      <c r="C92" s="22" t="s">
        <v>41</v>
      </c>
      <c r="D92" s="23" t="s">
        <v>37</v>
      </c>
      <c r="E92" t="s">
        <v>33</v>
      </c>
      <c r="F92">
        <f t="shared" ref="F92:G94" si="12">(0.2*0.8+0.2*0.8)*G11+0.2*0.2*K11+(1-0.2*0.8-0.2*0.8-0.2*0.2)*C11</f>
        <v>0</v>
      </c>
      <c r="G92">
        <f t="shared" si="12"/>
        <v>0</v>
      </c>
      <c r="I92">
        <f t="shared" ref="I92:J94" si="13">(0.2*0.8+0.2*0.8)*G18+0.2*0.2*K18+(1-0.2*0.8-0.2*0.8-0.2*0.2)*C18</f>
        <v>0</v>
      </c>
      <c r="J92">
        <f t="shared" si="13"/>
        <v>0</v>
      </c>
      <c r="L92">
        <f>(0.2*0.8+0.2*0.8)*F25+0.2*0.2*J25+(1-0.2*0.8-0.2*0.8-0.2*0.2)*B25</f>
        <v>2.4711999999999998E-2</v>
      </c>
      <c r="O92" s="22" t="s">
        <v>42</v>
      </c>
      <c r="P92" s="23" t="s">
        <v>38</v>
      </c>
      <c r="Q92" t="s">
        <v>33</v>
      </c>
      <c r="R92">
        <f t="shared" ref="R92:S94" si="14">(0.3*0.7+0.3*0.7)*G11+0.3*0.3*K11+(1-0.3*0.7-0.3*0.7-0.3*0.3)*C11</f>
        <v>0</v>
      </c>
      <c r="S92">
        <f t="shared" si="14"/>
        <v>0</v>
      </c>
      <c r="U92">
        <f t="shared" ref="U92:V94" si="15">(0.3*0.7+0.3*0.7)*G18+0.3*0.3*K18+(1-0.3*0.7-0.3*0.7-0.3*0.3)*C18</f>
        <v>0</v>
      </c>
      <c r="V92">
        <f t="shared" si="15"/>
        <v>0</v>
      </c>
      <c r="X92">
        <f>(0.3*0.7+0.3*0.7)*F25+0.3*0.3*J25+(1-0.3*0.7-0.3*0.7-0.3*0.3)*B25</f>
        <v>2.5226999999999999E-2</v>
      </c>
    </row>
    <row r="93" spans="2:25" x14ac:dyDescent="0.25">
      <c r="B93" s="24"/>
      <c r="C93" s="22"/>
      <c r="D93" s="23"/>
      <c r="E93" t="s">
        <v>35</v>
      </c>
      <c r="F93">
        <f t="shared" si="12"/>
        <v>0</v>
      </c>
      <c r="G93">
        <f t="shared" si="12"/>
        <v>0</v>
      </c>
      <c r="I93">
        <f t="shared" si="13"/>
        <v>0</v>
      </c>
      <c r="J93">
        <f t="shared" si="13"/>
        <v>0</v>
      </c>
      <c r="O93" s="22"/>
      <c r="P93" s="23"/>
      <c r="Q93" t="s">
        <v>35</v>
      </c>
      <c r="R93">
        <f t="shared" si="14"/>
        <v>0</v>
      </c>
      <c r="S93">
        <f t="shared" si="14"/>
        <v>0</v>
      </c>
      <c r="U93">
        <f t="shared" si="15"/>
        <v>0</v>
      </c>
      <c r="V93">
        <f t="shared" si="15"/>
        <v>0</v>
      </c>
    </row>
    <row r="94" spans="2:25" x14ac:dyDescent="0.25">
      <c r="B94" s="24"/>
      <c r="C94" s="22"/>
      <c r="D94" s="23"/>
      <c r="E94" t="s">
        <v>36</v>
      </c>
      <c r="F94">
        <f t="shared" si="12"/>
        <v>2.4739999999999998E-2</v>
      </c>
      <c r="G94">
        <f t="shared" si="12"/>
        <v>2.4743999999999999E-2</v>
      </c>
      <c r="I94">
        <f t="shared" si="13"/>
        <v>2.4739999999999998E-2</v>
      </c>
      <c r="J94">
        <f t="shared" si="13"/>
        <v>2.4743999999999999E-2</v>
      </c>
      <c r="O94" s="22"/>
      <c r="P94" s="23"/>
      <c r="Q94" t="s">
        <v>36</v>
      </c>
      <c r="R94">
        <f t="shared" si="14"/>
        <v>2.5260000000000001E-2</v>
      </c>
      <c r="S94">
        <f t="shared" si="14"/>
        <v>2.5269E-2</v>
      </c>
      <c r="U94">
        <f t="shared" si="15"/>
        <v>2.5260000000000001E-2</v>
      </c>
      <c r="V94">
        <f t="shared" si="15"/>
        <v>2.5269E-2</v>
      </c>
    </row>
    <row r="97" spans="1:25" x14ac:dyDescent="0.25">
      <c r="D97" s="19" t="s">
        <v>12</v>
      </c>
      <c r="E97" s="19"/>
      <c r="F97" s="19"/>
      <c r="G97" s="19"/>
      <c r="H97" s="19"/>
      <c r="I97" s="20" t="s">
        <v>23</v>
      </c>
      <c r="J97" s="20"/>
      <c r="K97" s="20"/>
      <c r="L97" s="21" t="s">
        <v>24</v>
      </c>
      <c r="M97" s="21"/>
      <c r="N97" s="6"/>
      <c r="P97" s="19" t="s">
        <v>12</v>
      </c>
      <c r="Q97" s="19"/>
      <c r="R97" s="19"/>
      <c r="S97" s="19"/>
      <c r="T97" s="19"/>
      <c r="U97" s="20" t="s">
        <v>23</v>
      </c>
      <c r="V97" s="20"/>
      <c r="W97" s="20"/>
      <c r="X97" s="21" t="s">
        <v>24</v>
      </c>
      <c r="Y97" s="21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24" t="s">
        <v>11</v>
      </c>
      <c r="B99" s="26" t="s">
        <v>43</v>
      </c>
      <c r="C99" s="22" t="s">
        <v>39</v>
      </c>
      <c r="D99" s="23" t="s">
        <v>32</v>
      </c>
      <c r="E99" t="s">
        <v>33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0</v>
      </c>
      <c r="H99">
        <f>Q11+M11+I11+E11</f>
        <v>0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0</v>
      </c>
      <c r="K99">
        <f>Q18+M18+E18+I18</f>
        <v>0</v>
      </c>
      <c r="L99">
        <f>3*0.05*(1-0.05)*(1-0.05)*F25+3*0.05*0.05*(1-0.05)*J25+0.05*0.05*0.05*N25+(1-3*0.05*(1-0.05)*(1-0.05)-3*0.05*0.05*(1-0.05)-0.05*0.05*0.05)*B25</f>
        <v>2.4077187499999996E-2</v>
      </c>
      <c r="M99">
        <f>Q25+M25+I25+E25</f>
        <v>8.2545970000000004</v>
      </c>
      <c r="N99" s="26" t="s">
        <v>44</v>
      </c>
      <c r="O99" s="22" t="s">
        <v>40</v>
      </c>
      <c r="P99" s="23" t="s">
        <v>34</v>
      </c>
      <c r="Q99" t="s">
        <v>33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0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0</v>
      </c>
      <c r="X99">
        <f>3*0.1*(1-0.1)*(1-0.1)*F25+3*0.1*0.1*(1-0.1)*J25+0.1*0.1*0.1*N25+(1-3*0.1*(1-0.1)*(1-0.1)-3*0.1*0.1*(1-0.1)-0.1*0.1*0.1)*B25</f>
        <v>2.4458499999999998E-2</v>
      </c>
    </row>
    <row r="100" spans="1:25" x14ac:dyDescent="0.25">
      <c r="A100" s="24"/>
      <c r="B100" s="26"/>
      <c r="C100" s="22"/>
      <c r="D100" s="23"/>
      <c r="E100" t="s">
        <v>35</v>
      </c>
      <c r="F100">
        <f t="shared" si="16"/>
        <v>0</v>
      </c>
      <c r="G100">
        <f t="shared" si="16"/>
        <v>0</v>
      </c>
      <c r="H100">
        <f>Q12+M12+I12+E12</f>
        <v>0</v>
      </c>
      <c r="I100">
        <f t="shared" si="17"/>
        <v>0</v>
      </c>
      <c r="J100">
        <f t="shared" si="17"/>
        <v>0</v>
      </c>
      <c r="K100">
        <f>Q19+M19+E19+I19</f>
        <v>0</v>
      </c>
      <c r="N100" s="26"/>
      <c r="O100" s="22"/>
      <c r="P100" s="23"/>
      <c r="Q100" t="s">
        <v>35</v>
      </c>
      <c r="R100">
        <f t="shared" si="18"/>
        <v>0</v>
      </c>
      <c r="S100">
        <f t="shared" si="18"/>
        <v>0</v>
      </c>
      <c r="U100">
        <f t="shared" si="19"/>
        <v>0</v>
      </c>
      <c r="V100">
        <f t="shared" si="19"/>
        <v>0</v>
      </c>
    </row>
    <row r="101" spans="1:25" x14ac:dyDescent="0.25">
      <c r="A101" s="24"/>
      <c r="B101" s="26"/>
      <c r="C101" s="22"/>
      <c r="D101" s="23"/>
      <c r="E101" t="s">
        <v>36</v>
      </c>
      <c r="F101">
        <f t="shared" si="16"/>
        <v>2.4089999999999993E-2</v>
      </c>
      <c r="G101">
        <f t="shared" si="16"/>
        <v>2.4090724999999993E-2</v>
      </c>
      <c r="H101">
        <f>Q13+M13+I13+E13</f>
        <v>4.3224850000000004</v>
      </c>
      <c r="I101">
        <f t="shared" si="17"/>
        <v>2.4089999999999993E-2</v>
      </c>
      <c r="J101">
        <f t="shared" si="17"/>
        <v>2.4090724999999993E-2</v>
      </c>
      <c r="K101">
        <f>Q20+M20+E20+I20</f>
        <v>4.5275090000000002</v>
      </c>
      <c r="N101" s="26"/>
      <c r="O101" s="22"/>
      <c r="P101" s="23"/>
      <c r="Q101" t="s">
        <v>36</v>
      </c>
      <c r="R101">
        <f t="shared" si="18"/>
        <v>2.4479999999999998E-2</v>
      </c>
      <c r="S101">
        <f t="shared" si="18"/>
        <v>2.4482799999999999E-2</v>
      </c>
      <c r="U101">
        <f t="shared" si="19"/>
        <v>2.4479999999999998E-2</v>
      </c>
      <c r="V101">
        <f t="shared" si="19"/>
        <v>2.4482799999999999E-2</v>
      </c>
    </row>
    <row r="102" spans="1:25" x14ac:dyDescent="0.25">
      <c r="A102" s="24"/>
      <c r="C102" s="6"/>
    </row>
    <row r="103" spans="1:25" x14ac:dyDescent="0.25">
      <c r="A103" s="24"/>
      <c r="C103" s="6"/>
    </row>
    <row r="104" spans="1:25" x14ac:dyDescent="0.25">
      <c r="A104" s="24"/>
      <c r="C104" s="6"/>
    </row>
    <row r="105" spans="1:25" x14ac:dyDescent="0.25">
      <c r="A105" s="24"/>
      <c r="B105" s="26" t="s">
        <v>45</v>
      </c>
      <c r="C105" s="22" t="s">
        <v>41</v>
      </c>
      <c r="D105" s="23" t="s">
        <v>37</v>
      </c>
      <c r="E105" t="s">
        <v>33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0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0</v>
      </c>
      <c r="L105">
        <f>3*0.2*(1-0.2)*(1-0.2)*F25+3*0.2*0.2*(1-0.2)*J25+0.2*0.2*0.2*N25+(1-3*0.2*(1-0.2)*(1-0.2)-3*0.2*0.2*(1-0.2)-0.2*0.2*0.2)*B25</f>
        <v>2.5231999999999997E-2</v>
      </c>
      <c r="N105" s="26" t="s">
        <v>46</v>
      </c>
      <c r="O105" s="22" t="s">
        <v>42</v>
      </c>
      <c r="P105" s="23" t="s">
        <v>38</v>
      </c>
      <c r="Q105" t="s">
        <v>33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0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0</v>
      </c>
      <c r="X105">
        <f>3*0.3*(1-0.3)*(1-0.3)*F25+3*0.3*0.3*(1-0.3)*J25+0.3*0.3*0.3*N25+(1-3*0.3*(1-0.3)*(1-0.3)-3*0.3*0.3*(1-0.3)-0.3*0.3*0.3)*B25</f>
        <v>2.6017499999999999E-2</v>
      </c>
    </row>
    <row r="106" spans="1:25" x14ac:dyDescent="0.25">
      <c r="A106" s="24"/>
      <c r="B106" s="26"/>
      <c r="C106" s="22"/>
      <c r="D106" s="23"/>
      <c r="E106" t="s">
        <v>35</v>
      </c>
      <c r="F106">
        <f t="shared" si="20"/>
        <v>0</v>
      </c>
      <c r="G106">
        <f t="shared" si="20"/>
        <v>0</v>
      </c>
      <c r="I106">
        <f t="shared" si="21"/>
        <v>0</v>
      </c>
      <c r="J106">
        <f t="shared" si="21"/>
        <v>0</v>
      </c>
      <c r="N106" s="26"/>
      <c r="O106" s="22"/>
      <c r="P106" s="23"/>
      <c r="Q106" t="s">
        <v>35</v>
      </c>
      <c r="R106">
        <f t="shared" si="22"/>
        <v>0</v>
      </c>
      <c r="S106">
        <f t="shared" si="22"/>
        <v>0</v>
      </c>
      <c r="U106">
        <f t="shared" si="23"/>
        <v>0</v>
      </c>
      <c r="V106">
        <f t="shared" si="23"/>
        <v>0</v>
      </c>
    </row>
    <row r="107" spans="1:25" x14ac:dyDescent="0.25">
      <c r="A107" s="24"/>
      <c r="B107" s="26"/>
      <c r="C107" s="22"/>
      <c r="D107" s="23"/>
      <c r="E107" t="s">
        <v>36</v>
      </c>
      <c r="F107">
        <f t="shared" si="20"/>
        <v>2.5259999999999998E-2</v>
      </c>
      <c r="G107">
        <f t="shared" si="20"/>
        <v>2.5270399999999998E-2</v>
      </c>
      <c r="I107">
        <f t="shared" si="21"/>
        <v>2.5259999999999998E-2</v>
      </c>
      <c r="J107">
        <f t="shared" si="21"/>
        <v>2.5270399999999998E-2</v>
      </c>
      <c r="N107" s="26"/>
      <c r="O107" s="22"/>
      <c r="P107" s="23"/>
      <c r="Q107" t="s">
        <v>36</v>
      </c>
      <c r="R107">
        <f t="shared" si="22"/>
        <v>2.6040000000000001E-2</v>
      </c>
      <c r="S107">
        <f t="shared" si="22"/>
        <v>2.6061600000000001E-2</v>
      </c>
      <c r="U107">
        <f t="shared" si="23"/>
        <v>2.6040000000000001E-2</v>
      </c>
      <c r="V107">
        <f t="shared" si="23"/>
        <v>2.6061600000000001E-2</v>
      </c>
    </row>
    <row r="110" spans="1:25" x14ac:dyDescent="0.25">
      <c r="A110" s="1" t="s">
        <v>7</v>
      </c>
      <c r="D110" s="19" t="s">
        <v>12</v>
      </c>
      <c r="E110" s="19"/>
      <c r="F110" s="19"/>
      <c r="G110" s="19"/>
      <c r="H110" s="19"/>
      <c r="I110" s="20" t="s">
        <v>23</v>
      </c>
      <c r="J110" s="20"/>
      <c r="K110" s="20"/>
      <c r="L110" s="21" t="s">
        <v>24</v>
      </c>
      <c r="M110" s="21"/>
      <c r="N110" s="11"/>
      <c r="P110" s="19" t="s">
        <v>12</v>
      </c>
      <c r="Q110" s="19"/>
      <c r="R110" s="19"/>
      <c r="S110" s="19"/>
      <c r="T110" s="19"/>
      <c r="U110" s="20" t="s">
        <v>23</v>
      </c>
      <c r="V110" s="20"/>
      <c r="W110" s="20"/>
      <c r="X110" s="21" t="s">
        <v>24</v>
      </c>
      <c r="Y110" s="21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24" t="s">
        <v>9</v>
      </c>
      <c r="D112" s="23" t="s">
        <v>32</v>
      </c>
      <c r="E112" t="s">
        <v>33</v>
      </c>
      <c r="F112">
        <f t="shared" ref="F112:G114" si="24">0.05*Y11+(1-0.05)*U11</f>
        <v>0</v>
      </c>
      <c r="G112">
        <f t="shared" si="24"/>
        <v>0</v>
      </c>
      <c r="H112">
        <f>AA11+W11</f>
        <v>0</v>
      </c>
      <c r="I112">
        <f t="shared" ref="I112:J114" si="25">0.05*Y18+(1-0.05)*U18</f>
        <v>0</v>
      </c>
      <c r="J112">
        <f t="shared" si="25"/>
        <v>0</v>
      </c>
      <c r="K112">
        <f>AA18+W18</f>
        <v>0</v>
      </c>
      <c r="L112">
        <f>0.05*X25+(1-0.05)*T25</f>
        <v>2.2520000000000002E-2</v>
      </c>
      <c r="M112">
        <f>AA25+W25</f>
        <v>4.1543399999999995</v>
      </c>
      <c r="P112" s="23" t="s">
        <v>34</v>
      </c>
      <c r="Q112" t="s">
        <v>33</v>
      </c>
      <c r="R112">
        <f t="shared" ref="R112:S114" si="26">0.1*Y11+(1-0.1)*U11</f>
        <v>0</v>
      </c>
      <c r="S112">
        <f t="shared" si="26"/>
        <v>0</v>
      </c>
      <c r="U112">
        <f t="shared" ref="U112:V114" si="27">0.1*Y18+(1-0.1)*U18</f>
        <v>0</v>
      </c>
      <c r="V112">
        <f t="shared" si="27"/>
        <v>0</v>
      </c>
      <c r="X112">
        <f>0.1*X25+(1-0.1)*T25</f>
        <v>2.264E-2</v>
      </c>
    </row>
    <row r="113" spans="2:25" x14ac:dyDescent="0.25">
      <c r="C113" s="24"/>
      <c r="D113" s="23"/>
      <c r="E113" t="s">
        <v>35</v>
      </c>
      <c r="F113">
        <f t="shared" si="24"/>
        <v>0</v>
      </c>
      <c r="G113">
        <f t="shared" si="24"/>
        <v>0</v>
      </c>
      <c r="H113">
        <f>AA12+W12</f>
        <v>0</v>
      </c>
      <c r="I113">
        <f t="shared" si="25"/>
        <v>0</v>
      </c>
      <c r="J113">
        <f t="shared" si="25"/>
        <v>0</v>
      </c>
      <c r="K113">
        <f>AA19+W19</f>
        <v>0</v>
      </c>
      <c r="P113" s="23"/>
      <c r="Q113" t="s">
        <v>35</v>
      </c>
      <c r="R113">
        <f t="shared" si="26"/>
        <v>0</v>
      </c>
      <c r="S113">
        <f t="shared" si="26"/>
        <v>0</v>
      </c>
      <c r="U113">
        <f t="shared" si="27"/>
        <v>0</v>
      </c>
      <c r="V113">
        <f t="shared" si="27"/>
        <v>0</v>
      </c>
    </row>
    <row r="114" spans="2:25" x14ac:dyDescent="0.25">
      <c r="C114" s="24"/>
      <c r="D114" s="23"/>
      <c r="E114" t="s">
        <v>36</v>
      </c>
      <c r="F114">
        <f t="shared" si="24"/>
        <v>2.232E-2</v>
      </c>
      <c r="G114">
        <f t="shared" si="24"/>
        <v>2.2520000000000002E-2</v>
      </c>
      <c r="H114">
        <f>AA13+W13</f>
        <v>2.1154390000000003</v>
      </c>
      <c r="I114">
        <f t="shared" si="25"/>
        <v>2.232E-2</v>
      </c>
      <c r="J114">
        <f t="shared" si="25"/>
        <v>2.2520000000000002E-2</v>
      </c>
      <c r="K114">
        <f>AA20+W20</f>
        <v>2.258235</v>
      </c>
      <c r="P114" s="23"/>
      <c r="Q114" t="s">
        <v>36</v>
      </c>
      <c r="R114">
        <f t="shared" si="26"/>
        <v>2.2440000000000002E-2</v>
      </c>
      <c r="S114">
        <f t="shared" si="26"/>
        <v>2.264E-2</v>
      </c>
      <c r="U114">
        <f t="shared" si="27"/>
        <v>2.2440000000000002E-2</v>
      </c>
      <c r="V114">
        <f t="shared" si="27"/>
        <v>2.264E-2</v>
      </c>
    </row>
    <row r="115" spans="2:25" x14ac:dyDescent="0.25">
      <c r="C115" s="24"/>
    </row>
    <row r="116" spans="2:25" x14ac:dyDescent="0.25">
      <c r="C116" s="24"/>
    </row>
    <row r="117" spans="2:25" x14ac:dyDescent="0.25">
      <c r="C117" s="24"/>
    </row>
    <row r="118" spans="2:25" x14ac:dyDescent="0.25">
      <c r="C118" s="24"/>
      <c r="D118" s="23" t="s">
        <v>37</v>
      </c>
      <c r="E118" t="s">
        <v>33</v>
      </c>
      <c r="F118">
        <f t="shared" ref="F118:G120" si="28">0.2*Y11+(1-0.2)*U11</f>
        <v>0</v>
      </c>
      <c r="G118">
        <f t="shared" si="28"/>
        <v>0</v>
      </c>
      <c r="I118">
        <f t="shared" ref="I118:J120" si="29">0.2*Y18+(1-0.2)*U18</f>
        <v>0</v>
      </c>
      <c r="J118">
        <f t="shared" si="29"/>
        <v>0</v>
      </c>
      <c r="L118">
        <f>0.2*X25+(1-0.2)*T25</f>
        <v>2.2880000000000001E-2</v>
      </c>
      <c r="P118" s="23" t="s">
        <v>38</v>
      </c>
      <c r="Q118" t="s">
        <v>33</v>
      </c>
      <c r="R118">
        <f t="shared" ref="R118:S120" si="30">0.3*Y11+(1-0.3)*U11</f>
        <v>0</v>
      </c>
      <c r="S118">
        <f t="shared" si="30"/>
        <v>0</v>
      </c>
      <c r="U118">
        <f t="shared" ref="U118:V120" si="31">0.3*Y18+(1-0.3)*U18</f>
        <v>0</v>
      </c>
      <c r="V118">
        <f t="shared" si="31"/>
        <v>0</v>
      </c>
      <c r="X118">
        <f>0.3*X25+(1-0.3)*T25</f>
        <v>2.3119999999999998E-2</v>
      </c>
    </row>
    <row r="119" spans="2:25" x14ac:dyDescent="0.25">
      <c r="C119" s="24"/>
      <c r="D119" s="23"/>
      <c r="E119" t="s">
        <v>35</v>
      </c>
      <c r="F119">
        <f t="shared" si="28"/>
        <v>0</v>
      </c>
      <c r="G119">
        <f t="shared" si="28"/>
        <v>0</v>
      </c>
      <c r="I119">
        <f t="shared" si="29"/>
        <v>0</v>
      </c>
      <c r="J119">
        <f t="shared" si="29"/>
        <v>0</v>
      </c>
      <c r="P119" s="23"/>
      <c r="Q119" t="s">
        <v>35</v>
      </c>
      <c r="R119">
        <f t="shared" si="30"/>
        <v>0</v>
      </c>
      <c r="S119">
        <f t="shared" si="30"/>
        <v>0</v>
      </c>
      <c r="U119">
        <f t="shared" si="31"/>
        <v>0</v>
      </c>
      <c r="V119">
        <f t="shared" si="31"/>
        <v>0</v>
      </c>
    </row>
    <row r="120" spans="2:25" x14ac:dyDescent="0.25">
      <c r="C120" s="24"/>
      <c r="D120" s="23"/>
      <c r="E120" t="s">
        <v>36</v>
      </c>
      <c r="F120">
        <f t="shared" si="28"/>
        <v>2.2680000000000002E-2</v>
      </c>
      <c r="G120">
        <f t="shared" si="28"/>
        <v>2.2880000000000001E-2</v>
      </c>
      <c r="I120">
        <f t="shared" si="29"/>
        <v>2.2680000000000002E-2</v>
      </c>
      <c r="J120">
        <f t="shared" si="29"/>
        <v>2.2880000000000001E-2</v>
      </c>
      <c r="P120" s="23"/>
      <c r="Q120" t="s">
        <v>36</v>
      </c>
      <c r="R120">
        <f t="shared" si="30"/>
        <v>2.2919999999999999E-2</v>
      </c>
      <c r="S120">
        <f t="shared" si="30"/>
        <v>2.3119999999999998E-2</v>
      </c>
      <c r="U120">
        <f t="shared" si="31"/>
        <v>2.2919999999999999E-2</v>
      </c>
      <c r="V120">
        <f t="shared" si="31"/>
        <v>2.3119999999999998E-2</v>
      </c>
    </row>
    <row r="123" spans="2:25" x14ac:dyDescent="0.25">
      <c r="D123" s="19" t="s">
        <v>12</v>
      </c>
      <c r="E123" s="19"/>
      <c r="F123" s="19"/>
      <c r="G123" s="19"/>
      <c r="H123" s="19"/>
      <c r="I123" s="20" t="s">
        <v>23</v>
      </c>
      <c r="J123" s="20"/>
      <c r="K123" s="20"/>
      <c r="L123" s="21" t="s">
        <v>24</v>
      </c>
      <c r="M123" s="21"/>
      <c r="N123" s="6"/>
      <c r="P123" s="19" t="s">
        <v>12</v>
      </c>
      <c r="Q123" s="19"/>
      <c r="R123" s="19"/>
      <c r="S123" s="19"/>
      <c r="T123" s="19"/>
      <c r="U123" s="20" t="s">
        <v>23</v>
      </c>
      <c r="V123" s="20"/>
      <c r="W123" s="20"/>
      <c r="X123" s="21" t="s">
        <v>24</v>
      </c>
      <c r="Y123" s="21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24" t="s">
        <v>10</v>
      </c>
      <c r="C125" s="22" t="s">
        <v>39</v>
      </c>
      <c r="D125" s="23" t="s">
        <v>32</v>
      </c>
      <c r="E125" t="s">
        <v>33</v>
      </c>
      <c r="F125">
        <f t="shared" ref="F125:G127" si="32">(0.05*(1-0.05)+0.05*(1-0.05))*Y11+0.05*0.05*AC11+(1-0.05*(1-0.05)-0.05*(1-0.05)-0.05*0.05)*U11</f>
        <v>0</v>
      </c>
      <c r="G125">
        <f t="shared" si="32"/>
        <v>0</v>
      </c>
      <c r="H125">
        <f>AE11+AA11+W11</f>
        <v>0</v>
      </c>
      <c r="I125">
        <f t="shared" ref="I125:J127" si="33">(0.05*(1-0.05)+0.05*(1-0.05))*Y18+0.05*0.05*AC18+(1-0.05*(1-0.05)-0.05*(1-0.05)-0.05*0.05)*U18</f>
        <v>0</v>
      </c>
      <c r="J125">
        <f t="shared" si="33"/>
        <v>0</v>
      </c>
      <c r="K125">
        <f>AE18+AA18+W18</f>
        <v>0</v>
      </c>
      <c r="L125">
        <f>(0.05*(1-0.05)+0.05*(1-0.05))*X25+0.05*0.05*AB25+(1-0.05*(1-0.05)-0.05*(1-0.05)-0.05*0.05)*T25</f>
        <v>2.264E-2</v>
      </c>
      <c r="M125">
        <f>AE25+AA25+W25</f>
        <v>6.1939039999999999</v>
      </c>
      <c r="O125" s="22" t="s">
        <v>40</v>
      </c>
      <c r="P125" s="23" t="s">
        <v>34</v>
      </c>
      <c r="Q125" t="s">
        <v>33</v>
      </c>
      <c r="R125">
        <f t="shared" ref="R125:S127" si="34">(0.1*0.9+0.1*0.9)*Y11+0.1*0.1*AC11+(1-0.1*0.9-0.1*0.9-0.1*0.1)*U11</f>
        <v>0</v>
      </c>
      <c r="S125">
        <f t="shared" si="34"/>
        <v>0</v>
      </c>
      <c r="U125">
        <f t="shared" ref="U125:V127" si="35">(0.1*0.9+0.1*0.9)*Y18+0.1*0.1*AC18+(1-0.1*0.9-0.1*0.9-0.1*0.1)*U18</f>
        <v>0</v>
      </c>
      <c r="V125">
        <f t="shared" si="35"/>
        <v>0</v>
      </c>
      <c r="X125">
        <f>(0.1*0.9+0.1*0.9)*X25+0.1*0.1*AB25+(1-0.1*0.9-0.1*0.9-0.1*0.1)*T25</f>
        <v>2.2880000000000001E-2</v>
      </c>
    </row>
    <row r="126" spans="2:25" x14ac:dyDescent="0.25">
      <c r="B126" s="24"/>
      <c r="C126" s="22"/>
      <c r="D126" s="23"/>
      <c r="E126" t="s">
        <v>35</v>
      </c>
      <c r="F126">
        <f t="shared" si="32"/>
        <v>0</v>
      </c>
      <c r="G126">
        <f t="shared" si="32"/>
        <v>0</v>
      </c>
      <c r="H126">
        <f>AE12+AA12+W12</f>
        <v>0</v>
      </c>
      <c r="I126">
        <f t="shared" si="33"/>
        <v>0</v>
      </c>
      <c r="J126">
        <f t="shared" si="33"/>
        <v>0</v>
      </c>
      <c r="K126">
        <f>AE19+AA19+W19</f>
        <v>0</v>
      </c>
      <c r="O126" s="22"/>
      <c r="P126" s="23"/>
      <c r="Q126" t="s">
        <v>35</v>
      </c>
      <c r="R126">
        <f t="shared" si="34"/>
        <v>0</v>
      </c>
      <c r="S126">
        <f t="shared" si="34"/>
        <v>0</v>
      </c>
      <c r="U126">
        <f t="shared" si="35"/>
        <v>0</v>
      </c>
      <c r="V126">
        <f t="shared" si="35"/>
        <v>0</v>
      </c>
    </row>
    <row r="127" spans="2:25" x14ac:dyDescent="0.25">
      <c r="B127" s="24"/>
      <c r="C127" s="22"/>
      <c r="D127" s="23"/>
      <c r="E127" t="s">
        <v>36</v>
      </c>
      <c r="F127">
        <f t="shared" si="32"/>
        <v>2.2440000000000002E-2</v>
      </c>
      <c r="G127">
        <f t="shared" si="32"/>
        <v>2.264E-2</v>
      </c>
      <c r="H127">
        <f>AE13+AA13+W13</f>
        <v>2.142639</v>
      </c>
      <c r="I127">
        <f t="shared" si="33"/>
        <v>2.2440000000000002E-2</v>
      </c>
      <c r="J127">
        <f t="shared" si="33"/>
        <v>2.264E-2</v>
      </c>
      <c r="K127">
        <f>AE20+AA20+W20</f>
        <v>3.425338</v>
      </c>
      <c r="O127" s="22"/>
      <c r="P127" s="23"/>
      <c r="Q127" t="s">
        <v>36</v>
      </c>
      <c r="R127">
        <f t="shared" si="34"/>
        <v>2.2680000000000002E-2</v>
      </c>
      <c r="S127">
        <f t="shared" si="34"/>
        <v>2.2880000000000001E-2</v>
      </c>
      <c r="U127">
        <f t="shared" si="35"/>
        <v>2.2680000000000002E-2</v>
      </c>
      <c r="V127">
        <f t="shared" si="35"/>
        <v>2.2880000000000001E-2</v>
      </c>
    </row>
    <row r="128" spans="2:25" x14ac:dyDescent="0.25">
      <c r="B128" s="24"/>
      <c r="C128" s="6"/>
    </row>
    <row r="129" spans="1:25" x14ac:dyDescent="0.25">
      <c r="B129" s="24"/>
      <c r="C129" s="6"/>
    </row>
    <row r="130" spans="1:25" x14ac:dyDescent="0.25">
      <c r="B130" s="24"/>
      <c r="C130" s="6"/>
    </row>
    <row r="131" spans="1:25" x14ac:dyDescent="0.25">
      <c r="B131" s="24"/>
      <c r="C131" s="22" t="s">
        <v>41</v>
      </c>
      <c r="D131" s="23" t="s">
        <v>37</v>
      </c>
      <c r="E131" t="s">
        <v>33</v>
      </c>
      <c r="F131">
        <f t="shared" ref="F131:G133" si="36">(0.2*0.8+0.2*0.8)*Y11+0.2*0.2*AC11+(1-0.2*0.8-0.2*0.8-0.2*0.2)*U11</f>
        <v>0</v>
      </c>
      <c r="G131">
        <f t="shared" si="36"/>
        <v>0</v>
      </c>
      <c r="I131">
        <f t="shared" ref="I131:J133" si="37">(0.2*0.8+0.2*0.8)*Y18+0.2*0.2*AC18+(1-0.2*0.8-0.2*0.8-0.2*0.2)*U18</f>
        <v>0</v>
      </c>
      <c r="J131">
        <f t="shared" si="37"/>
        <v>0</v>
      </c>
      <c r="L131">
        <f>(0.2*0.8+0.2*0.8)*X25+0.2*0.2*AB25+(1-0.2*0.8-0.2*0.8-0.2*0.2)*T25</f>
        <v>2.3359999999999999E-2</v>
      </c>
      <c r="O131" s="22" t="s">
        <v>42</v>
      </c>
      <c r="P131" s="23" t="s">
        <v>38</v>
      </c>
      <c r="Q131" t="s">
        <v>33</v>
      </c>
      <c r="R131">
        <f t="shared" ref="R131:S133" si="38">(0.3*0.7+0.3*0.7)*Y11+0.3*0.3*AC11+(1-0.3*0.7-0.3*0.7-0.3*0.3)*U11</f>
        <v>0</v>
      </c>
      <c r="S131">
        <f t="shared" si="38"/>
        <v>0</v>
      </c>
      <c r="U131">
        <f t="shared" ref="U131:V133" si="39">(0.3*0.7+0.3*0.7)*Y18+0.3*0.3*AC18+(1-0.3*0.7-0.3*0.7-0.3*0.3)*U18</f>
        <v>0</v>
      </c>
      <c r="V131">
        <f t="shared" si="39"/>
        <v>0</v>
      </c>
      <c r="X131">
        <f>(0.3*0.7+0.3*0.7)*X25+0.3*0.3*AB25+(1-0.3*0.7-0.3*0.7-0.3*0.3)*T25</f>
        <v>2.384E-2</v>
      </c>
    </row>
    <row r="132" spans="1:25" x14ac:dyDescent="0.25">
      <c r="B132" s="24"/>
      <c r="C132" s="22"/>
      <c r="D132" s="23"/>
      <c r="E132" t="s">
        <v>35</v>
      </c>
      <c r="F132">
        <f t="shared" si="36"/>
        <v>0</v>
      </c>
      <c r="G132">
        <f t="shared" si="36"/>
        <v>0</v>
      </c>
      <c r="I132">
        <f t="shared" si="37"/>
        <v>0</v>
      </c>
      <c r="J132">
        <f t="shared" si="37"/>
        <v>0</v>
      </c>
      <c r="O132" s="22"/>
      <c r="P132" s="23"/>
      <c r="Q132" t="s">
        <v>35</v>
      </c>
      <c r="R132">
        <f t="shared" si="38"/>
        <v>0</v>
      </c>
      <c r="S132">
        <f t="shared" si="38"/>
        <v>0</v>
      </c>
      <c r="U132">
        <f t="shared" si="39"/>
        <v>0</v>
      </c>
      <c r="V132">
        <f t="shared" si="39"/>
        <v>0</v>
      </c>
    </row>
    <row r="133" spans="1:25" x14ac:dyDescent="0.25">
      <c r="B133" s="24"/>
      <c r="C133" s="22"/>
      <c r="D133" s="23"/>
      <c r="E133" t="s">
        <v>36</v>
      </c>
      <c r="F133">
        <f t="shared" si="36"/>
        <v>2.316E-2</v>
      </c>
      <c r="G133">
        <f t="shared" si="36"/>
        <v>2.3359999999999999E-2</v>
      </c>
      <c r="I133">
        <f t="shared" si="37"/>
        <v>2.316E-2</v>
      </c>
      <c r="J133">
        <f t="shared" si="37"/>
        <v>2.3359999999999999E-2</v>
      </c>
      <c r="O133" s="22"/>
      <c r="P133" s="23"/>
      <c r="Q133" t="s">
        <v>36</v>
      </c>
      <c r="R133">
        <f t="shared" si="38"/>
        <v>2.3640000000000001E-2</v>
      </c>
      <c r="S133">
        <f t="shared" si="38"/>
        <v>2.384E-2</v>
      </c>
      <c r="U133">
        <f t="shared" si="39"/>
        <v>2.3640000000000001E-2</v>
      </c>
      <c r="V133">
        <f t="shared" si="39"/>
        <v>2.384E-2</v>
      </c>
    </row>
    <row r="136" spans="1:25" x14ac:dyDescent="0.25">
      <c r="D136" s="19" t="s">
        <v>12</v>
      </c>
      <c r="E136" s="19"/>
      <c r="F136" s="19"/>
      <c r="G136" s="19"/>
      <c r="H136" s="19"/>
      <c r="I136" s="20" t="s">
        <v>23</v>
      </c>
      <c r="J136" s="20"/>
      <c r="K136" s="20"/>
      <c r="L136" s="21" t="s">
        <v>24</v>
      </c>
      <c r="M136" s="21"/>
      <c r="N136" s="6"/>
      <c r="P136" s="19" t="s">
        <v>12</v>
      </c>
      <c r="Q136" s="19"/>
      <c r="R136" s="19"/>
      <c r="S136" s="19"/>
      <c r="T136" s="19"/>
      <c r="U136" s="20" t="s">
        <v>23</v>
      </c>
      <c r="V136" s="20"/>
      <c r="W136" s="20"/>
      <c r="X136" s="21" t="s">
        <v>24</v>
      </c>
      <c r="Y136" s="21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24" t="s">
        <v>11</v>
      </c>
      <c r="B138" s="26" t="s">
        <v>43</v>
      </c>
      <c r="C138" s="22" t="s">
        <v>39</v>
      </c>
      <c r="D138" s="23" t="s">
        <v>32</v>
      </c>
      <c r="E138" t="s">
        <v>33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0</v>
      </c>
      <c r="H138">
        <f>AI11+AE11+AA11+W11</f>
        <v>0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0</v>
      </c>
      <c r="K138">
        <f>AI18+AE18+AA18+W18</f>
        <v>0</v>
      </c>
      <c r="L138">
        <f>3*0.05*(1-0.05)*(1-0.05)*X25+3*0.05*0.05*(1-0.05)*AB25+0.05*0.05*0.05*AF25+(1-3*0.05*(1-0.05)*(1-0.05)-3*0.05*0.05*(1-0.05)-0.05*0.05*0.05)*T25</f>
        <v>2.2759999999999999E-2</v>
      </c>
      <c r="M138">
        <f>AI25+AE25+AA25+W25</f>
        <v>8.2447809999999997</v>
      </c>
      <c r="N138" s="26" t="s">
        <v>44</v>
      </c>
      <c r="O138" s="22" t="s">
        <v>40</v>
      </c>
      <c r="P138" s="23" t="s">
        <v>34</v>
      </c>
      <c r="Q138" t="s">
        <v>33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0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0</v>
      </c>
      <c r="X138">
        <f>3*0.1*(1-0.1)*(1-0.1)*X25+3*0.1*0.1*(1-0.1)*AB25+0.1*0.1*0.1*AF25+(1-3*0.1*(1-0.1)*(1-0.1)-3*0.1*0.1*(1-0.1)-0.1*0.1*0.1)*T25</f>
        <v>2.3119999999999998E-2</v>
      </c>
    </row>
    <row r="139" spans="1:25" x14ac:dyDescent="0.25">
      <c r="A139" s="24"/>
      <c r="B139" s="26"/>
      <c r="C139" s="22"/>
      <c r="D139" s="23"/>
      <c r="E139" t="s">
        <v>35</v>
      </c>
      <c r="F139">
        <f t="shared" si="40"/>
        <v>0</v>
      </c>
      <c r="G139">
        <f t="shared" si="40"/>
        <v>0</v>
      </c>
      <c r="H139">
        <f>AI12+AE12+AA12+W12</f>
        <v>0</v>
      </c>
      <c r="I139">
        <f t="shared" si="41"/>
        <v>0</v>
      </c>
      <c r="J139">
        <f t="shared" si="41"/>
        <v>0</v>
      </c>
      <c r="K139">
        <f>AI19+AE19+AA19+W19</f>
        <v>0</v>
      </c>
      <c r="N139" s="26"/>
      <c r="O139" s="22"/>
      <c r="P139" s="23"/>
      <c r="Q139" t="s">
        <v>35</v>
      </c>
      <c r="R139">
        <f t="shared" si="42"/>
        <v>0</v>
      </c>
      <c r="S139">
        <f t="shared" si="42"/>
        <v>0</v>
      </c>
      <c r="U139">
        <f t="shared" si="43"/>
        <v>0</v>
      </c>
      <c r="V139">
        <f t="shared" si="43"/>
        <v>0</v>
      </c>
    </row>
    <row r="140" spans="1:25" x14ac:dyDescent="0.25">
      <c r="A140" s="24"/>
      <c r="B140" s="26"/>
      <c r="C140" s="22"/>
      <c r="D140" s="23"/>
      <c r="E140" t="s">
        <v>36</v>
      </c>
      <c r="F140">
        <f t="shared" si="40"/>
        <v>2.2559999999999997E-2</v>
      </c>
      <c r="G140">
        <f t="shared" si="40"/>
        <v>2.2759999999999999E-2</v>
      </c>
      <c r="H140">
        <f>AI13+AE13+AA13+W13</f>
        <v>3.2597930000000002</v>
      </c>
      <c r="I140">
        <f t="shared" si="41"/>
        <v>2.2559999999999997E-2</v>
      </c>
      <c r="J140">
        <f t="shared" si="41"/>
        <v>2.2759999999999999E-2</v>
      </c>
      <c r="K140">
        <f>AI20+AE20+AA20+W20</f>
        <v>4.5701679999999998</v>
      </c>
      <c r="N140" s="26"/>
      <c r="O140" s="22"/>
      <c r="P140" s="23"/>
      <c r="Q140" t="s">
        <v>36</v>
      </c>
      <c r="R140">
        <f t="shared" si="42"/>
        <v>2.2919999999999999E-2</v>
      </c>
      <c r="S140">
        <f t="shared" si="42"/>
        <v>2.3119999999999998E-2</v>
      </c>
      <c r="U140">
        <f t="shared" si="43"/>
        <v>2.2919999999999999E-2</v>
      </c>
      <c r="V140">
        <f t="shared" si="43"/>
        <v>2.3119999999999998E-2</v>
      </c>
    </row>
    <row r="141" spans="1:25" x14ac:dyDescent="0.25">
      <c r="A141" s="24"/>
      <c r="C141" s="6"/>
    </row>
    <row r="142" spans="1:25" x14ac:dyDescent="0.25">
      <c r="A142" s="24"/>
      <c r="C142" s="6"/>
    </row>
    <row r="143" spans="1:25" x14ac:dyDescent="0.25">
      <c r="A143" s="24"/>
      <c r="C143" s="6"/>
    </row>
    <row r="144" spans="1:25" x14ac:dyDescent="0.25">
      <c r="A144" s="24"/>
      <c r="B144" s="26" t="s">
        <v>45</v>
      </c>
      <c r="C144" s="22" t="s">
        <v>41</v>
      </c>
      <c r="D144" s="23" t="s">
        <v>37</v>
      </c>
      <c r="E144" t="s">
        <v>33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0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0</v>
      </c>
      <c r="L144">
        <f>3*0.2*(1-0.2)*(1-0.2)*X25+3*0.2*0.2*(1-0.2)*AB25+0.2*0.2*0.2*AF25+(1-3*0.2*(1-0.2)*(1-0.2)-3*0.2*0.2*(1-0.2)-0.2*0.2*0.2)*T25</f>
        <v>2.384E-2</v>
      </c>
      <c r="N144" s="26" t="s">
        <v>46</v>
      </c>
      <c r="O144" s="22" t="s">
        <v>42</v>
      </c>
      <c r="P144" s="23" t="s">
        <v>38</v>
      </c>
      <c r="Q144" t="s">
        <v>33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0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0</v>
      </c>
      <c r="X144">
        <f>3*0.3*(1-0.3)*(1-0.3)*X25+3*0.3*0.3*(1-0.3)*AB25+0.3*0.3*0.3*AF25+(1-3*0.3*(1-0.3)*(1-0.3)-3*0.3*0.3*(1-0.3)-0.3*0.3*0.3)*T25</f>
        <v>2.4560000000000002E-2</v>
      </c>
    </row>
    <row r="145" spans="1:25" x14ac:dyDescent="0.25">
      <c r="A145" s="24"/>
      <c r="B145" s="26"/>
      <c r="C145" s="22"/>
      <c r="D145" s="23"/>
      <c r="E145" t="s">
        <v>35</v>
      </c>
      <c r="F145">
        <f t="shared" si="44"/>
        <v>0</v>
      </c>
      <c r="G145">
        <f t="shared" si="44"/>
        <v>0</v>
      </c>
      <c r="I145">
        <f t="shared" si="45"/>
        <v>0</v>
      </c>
      <c r="J145">
        <f t="shared" si="45"/>
        <v>0</v>
      </c>
      <c r="N145" s="26"/>
      <c r="O145" s="22"/>
      <c r="P145" s="23"/>
      <c r="Q145" t="s">
        <v>35</v>
      </c>
      <c r="R145">
        <f t="shared" si="46"/>
        <v>0</v>
      </c>
      <c r="S145">
        <f t="shared" si="46"/>
        <v>0</v>
      </c>
      <c r="U145">
        <f t="shared" si="47"/>
        <v>0</v>
      </c>
      <c r="V145">
        <f t="shared" si="47"/>
        <v>0</v>
      </c>
    </row>
    <row r="146" spans="1:25" x14ac:dyDescent="0.25">
      <c r="A146" s="24"/>
      <c r="B146" s="26"/>
      <c r="C146" s="22"/>
      <c r="D146" s="23"/>
      <c r="E146" t="s">
        <v>36</v>
      </c>
      <c r="F146">
        <f t="shared" si="44"/>
        <v>2.3639999999999998E-2</v>
      </c>
      <c r="G146">
        <f t="shared" si="44"/>
        <v>2.384E-2</v>
      </c>
      <c r="I146">
        <f t="shared" si="45"/>
        <v>2.3639999999999998E-2</v>
      </c>
      <c r="J146">
        <f t="shared" si="45"/>
        <v>2.384E-2</v>
      </c>
      <c r="N146" s="26"/>
      <c r="O146" s="22"/>
      <c r="P146" s="23"/>
      <c r="Q146" t="s">
        <v>36</v>
      </c>
      <c r="R146">
        <f t="shared" si="46"/>
        <v>2.436E-2</v>
      </c>
      <c r="S146">
        <f t="shared" si="46"/>
        <v>2.4560000000000002E-2</v>
      </c>
      <c r="U146">
        <f t="shared" si="47"/>
        <v>2.436E-2</v>
      </c>
      <c r="V146">
        <f t="shared" si="47"/>
        <v>2.4560000000000002E-2</v>
      </c>
    </row>
    <row r="149" spans="1:25" x14ac:dyDescent="0.25">
      <c r="A149" s="1" t="s">
        <v>26</v>
      </c>
      <c r="D149" s="19" t="s">
        <v>12</v>
      </c>
      <c r="E149" s="19"/>
      <c r="F149" s="19"/>
      <c r="G149" s="19"/>
      <c r="H149" s="19"/>
      <c r="I149" s="20" t="s">
        <v>23</v>
      </c>
      <c r="J149" s="20"/>
      <c r="K149" s="20"/>
      <c r="L149" s="21" t="s">
        <v>24</v>
      </c>
      <c r="M149" s="21"/>
      <c r="N149" s="11"/>
      <c r="P149" s="19" t="s">
        <v>12</v>
      </c>
      <c r="Q149" s="19"/>
      <c r="R149" s="19"/>
      <c r="S149" s="19"/>
      <c r="T149" s="19"/>
      <c r="U149" s="20" t="s">
        <v>23</v>
      </c>
      <c r="V149" s="20"/>
      <c r="W149" s="20"/>
      <c r="X149" s="21" t="s">
        <v>24</v>
      </c>
      <c r="Y149" s="21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24" t="s">
        <v>9</v>
      </c>
      <c r="D151" s="23" t="s">
        <v>32</v>
      </c>
      <c r="E151" t="s">
        <v>33</v>
      </c>
      <c r="F151">
        <f t="shared" ref="F151:G153" si="48">0.05*G32+(1-0.05)*C32</f>
        <v>0</v>
      </c>
      <c r="G151">
        <f t="shared" si="48"/>
        <v>0</v>
      </c>
      <c r="H151">
        <f>I32++E32</f>
        <v>0</v>
      </c>
      <c r="I151">
        <f t="shared" ref="I151:J153" si="49">0.05*G39+(1-0.05)*C39</f>
        <v>0</v>
      </c>
      <c r="J151">
        <f t="shared" si="49"/>
        <v>0</v>
      </c>
      <c r="K151">
        <f>I39+E39</f>
        <v>0</v>
      </c>
      <c r="L151">
        <f>0.05*F46+(1-0.05)*B46</f>
        <v>1.9809999999999998E-2</v>
      </c>
      <c r="M151">
        <f>I46+E46</f>
        <v>4.109375</v>
      </c>
      <c r="P151" s="23" t="s">
        <v>34</v>
      </c>
      <c r="Q151" t="s">
        <v>33</v>
      </c>
      <c r="R151">
        <f t="shared" ref="R151:S153" si="50">0.1*G32+(1-0.1)*C32</f>
        <v>0</v>
      </c>
      <c r="S151">
        <f t="shared" si="50"/>
        <v>0</v>
      </c>
      <c r="U151">
        <f t="shared" ref="U151:V153" si="51">0.1*G39+(1-0.1)*C39</f>
        <v>0</v>
      </c>
      <c r="V151">
        <f t="shared" si="51"/>
        <v>0</v>
      </c>
      <c r="X151">
        <f>0.1*F46+(1-0.1)*B46</f>
        <v>1.992E-2</v>
      </c>
    </row>
    <row r="152" spans="1:25" x14ac:dyDescent="0.25">
      <c r="C152" s="24"/>
      <c r="D152" s="23"/>
      <c r="E152" t="s">
        <v>35</v>
      </c>
      <c r="F152">
        <f t="shared" si="48"/>
        <v>0</v>
      </c>
      <c r="G152">
        <f t="shared" si="48"/>
        <v>0</v>
      </c>
      <c r="H152">
        <f>I33++E33</f>
        <v>0</v>
      </c>
      <c r="I152">
        <f t="shared" si="49"/>
        <v>0</v>
      </c>
      <c r="J152">
        <f t="shared" si="49"/>
        <v>0</v>
      </c>
      <c r="K152">
        <f>I40+E40</f>
        <v>0</v>
      </c>
      <c r="P152" s="23"/>
      <c r="Q152" t="s">
        <v>35</v>
      </c>
      <c r="R152">
        <f t="shared" si="50"/>
        <v>0</v>
      </c>
      <c r="S152">
        <f t="shared" si="50"/>
        <v>0</v>
      </c>
      <c r="U152">
        <f t="shared" si="51"/>
        <v>0</v>
      </c>
      <c r="V152">
        <f t="shared" si="51"/>
        <v>0</v>
      </c>
    </row>
    <row r="153" spans="1:25" x14ac:dyDescent="0.25">
      <c r="C153" s="24"/>
      <c r="D153" s="23"/>
      <c r="E153" t="s">
        <v>36</v>
      </c>
      <c r="F153">
        <f t="shared" si="48"/>
        <v>1.9105E-2</v>
      </c>
      <c r="G153">
        <f t="shared" si="48"/>
        <v>2.0309999999999998E-2</v>
      </c>
      <c r="H153">
        <f>I34++E34</f>
        <v>2.1380850000000002</v>
      </c>
      <c r="I153">
        <f t="shared" si="49"/>
        <v>1.9109999999999999E-2</v>
      </c>
      <c r="J153">
        <f t="shared" si="49"/>
        <v>2.0309999999999998E-2</v>
      </c>
      <c r="K153">
        <f>I41+E41</f>
        <v>2.260249</v>
      </c>
      <c r="P153" s="23"/>
      <c r="Q153" t="s">
        <v>36</v>
      </c>
      <c r="R153">
        <f t="shared" si="50"/>
        <v>1.9210000000000001E-2</v>
      </c>
      <c r="S153">
        <f t="shared" si="50"/>
        <v>2.0419999999999997E-2</v>
      </c>
      <c r="U153">
        <f t="shared" si="51"/>
        <v>1.9220000000000001E-2</v>
      </c>
      <c r="V153">
        <f t="shared" si="51"/>
        <v>2.0419999999999997E-2</v>
      </c>
    </row>
    <row r="154" spans="1:25" x14ac:dyDescent="0.25">
      <c r="C154" s="24"/>
    </row>
    <row r="155" spans="1:25" x14ac:dyDescent="0.25">
      <c r="C155" s="24"/>
    </row>
    <row r="156" spans="1:25" x14ac:dyDescent="0.25">
      <c r="C156" s="24"/>
    </row>
    <row r="157" spans="1:25" x14ac:dyDescent="0.25">
      <c r="C157" s="24"/>
      <c r="D157" s="23" t="s">
        <v>37</v>
      </c>
      <c r="E157" t="s">
        <v>33</v>
      </c>
      <c r="F157">
        <f t="shared" ref="F157:G159" si="52">0.2*G32+(1-0.2)*C32</f>
        <v>0</v>
      </c>
      <c r="G157">
        <f t="shared" si="52"/>
        <v>0</v>
      </c>
      <c r="I157">
        <f t="shared" ref="I157:J159" si="53">0.2*G39+(1-0.2)*C39</f>
        <v>0</v>
      </c>
      <c r="J157">
        <f t="shared" si="53"/>
        <v>0</v>
      </c>
      <c r="L157">
        <f>0.2*F46+(1-0.2)*B46</f>
        <v>2.0139999999999998E-2</v>
      </c>
      <c r="P157" s="23" t="s">
        <v>38</v>
      </c>
      <c r="Q157" t="s">
        <v>33</v>
      </c>
      <c r="R157">
        <f t="shared" ref="R157:S159" si="54">0.3*G32+(1-0.3)*C32</f>
        <v>0</v>
      </c>
      <c r="S157">
        <f t="shared" si="54"/>
        <v>0</v>
      </c>
      <c r="U157">
        <f t="shared" ref="U157:V159" si="55">0.3*G39+(1-0.3)*C39</f>
        <v>0</v>
      </c>
      <c r="V157">
        <f t="shared" si="55"/>
        <v>0</v>
      </c>
      <c r="X157">
        <f>0.3*F46+(1-0.3)*B46</f>
        <v>2.0359999999999996E-2</v>
      </c>
    </row>
    <row r="158" spans="1:25" x14ac:dyDescent="0.25">
      <c r="C158" s="24"/>
      <c r="D158" s="23"/>
      <c r="E158" t="s">
        <v>35</v>
      </c>
      <c r="F158">
        <f t="shared" si="52"/>
        <v>0</v>
      </c>
      <c r="G158">
        <f t="shared" si="52"/>
        <v>0</v>
      </c>
      <c r="I158">
        <f t="shared" si="53"/>
        <v>0</v>
      </c>
      <c r="J158">
        <f t="shared" si="53"/>
        <v>0</v>
      </c>
      <c r="P158" s="23"/>
      <c r="Q158" t="s">
        <v>35</v>
      </c>
      <c r="R158">
        <f t="shared" si="54"/>
        <v>0</v>
      </c>
      <c r="S158">
        <f t="shared" si="54"/>
        <v>0</v>
      </c>
      <c r="U158">
        <f t="shared" si="55"/>
        <v>0</v>
      </c>
      <c r="V158">
        <f t="shared" si="55"/>
        <v>0</v>
      </c>
    </row>
    <row r="159" spans="1:25" x14ac:dyDescent="0.25">
      <c r="C159" s="24"/>
      <c r="D159" s="23"/>
      <c r="E159" t="s">
        <v>36</v>
      </c>
      <c r="F159">
        <f t="shared" si="52"/>
        <v>1.942E-2</v>
      </c>
      <c r="G159">
        <f t="shared" si="52"/>
        <v>2.0640000000000002E-2</v>
      </c>
      <c r="I159">
        <f t="shared" si="53"/>
        <v>1.9439999999999999E-2</v>
      </c>
      <c r="J159">
        <f t="shared" si="53"/>
        <v>2.0640000000000002E-2</v>
      </c>
      <c r="P159" s="23"/>
      <c r="Q159" t="s">
        <v>36</v>
      </c>
      <c r="R159">
        <f t="shared" si="54"/>
        <v>1.9629999999999998E-2</v>
      </c>
      <c r="S159">
        <f t="shared" si="54"/>
        <v>2.0859999999999997E-2</v>
      </c>
      <c r="U159">
        <f t="shared" si="55"/>
        <v>1.966E-2</v>
      </c>
      <c r="V159">
        <f t="shared" si="55"/>
        <v>2.0859999999999997E-2</v>
      </c>
    </row>
    <row r="162" spans="2:25" x14ac:dyDescent="0.25">
      <c r="D162" s="19" t="s">
        <v>12</v>
      </c>
      <c r="E162" s="19"/>
      <c r="F162" s="19"/>
      <c r="G162" s="19"/>
      <c r="H162" s="19"/>
      <c r="I162" s="20" t="s">
        <v>23</v>
      </c>
      <c r="J162" s="20"/>
      <c r="K162" s="20"/>
      <c r="L162" s="21" t="s">
        <v>24</v>
      </c>
      <c r="M162" s="21"/>
      <c r="N162" s="6"/>
      <c r="P162" s="19" t="s">
        <v>12</v>
      </c>
      <c r="Q162" s="19"/>
      <c r="R162" s="19"/>
      <c r="S162" s="19"/>
      <c r="T162" s="19"/>
      <c r="U162" s="20" t="s">
        <v>23</v>
      </c>
      <c r="V162" s="20"/>
      <c r="W162" s="20"/>
      <c r="X162" s="21" t="s">
        <v>24</v>
      </c>
      <c r="Y162" s="21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24" t="s">
        <v>10</v>
      </c>
      <c r="C164" s="22" t="s">
        <v>39</v>
      </c>
      <c r="D164" s="23" t="s">
        <v>32</v>
      </c>
      <c r="E164" t="s">
        <v>33</v>
      </c>
      <c r="F164">
        <f t="shared" ref="F164:G166" si="56">(0.05*(1-0.05)+0.05*(1-0.05))*G32+0.05*0.05*K32+(1-0.05*(1-0.05)-0.05*(1-0.05)-0.05*0.05)*C32</f>
        <v>0</v>
      </c>
      <c r="G164">
        <f t="shared" si="56"/>
        <v>0</v>
      </c>
      <c r="H164">
        <f>M32+I32+E32</f>
        <v>0</v>
      </c>
      <c r="I164">
        <f t="shared" ref="I164:J166" si="57">(0.05*(1-0.05)+0.05*(1-0.05))*G39+0.05*0.05*K39+(1-0.05*(1-0.05)-0.05*(1-0.05)-0.05*0.05)*C39</f>
        <v>0</v>
      </c>
      <c r="J164">
        <f t="shared" si="57"/>
        <v>0</v>
      </c>
      <c r="K164">
        <f>M39+I39+E39</f>
        <v>0</v>
      </c>
      <c r="L164">
        <f>(0.05*(1-0.05)+0.05*(1-0.05))*F46+0.05*0.05*J46+(1-0.05*(1-0.05)-0.05*(1-0.05)-0.05*0.05)*B46</f>
        <v>1.99195E-2</v>
      </c>
      <c r="M164">
        <f>M46+I46+E46</f>
        <v>6.1337789999999996</v>
      </c>
      <c r="O164" s="22" t="s">
        <v>40</v>
      </c>
      <c r="P164" s="23" t="s">
        <v>34</v>
      </c>
      <c r="Q164" t="s">
        <v>33</v>
      </c>
      <c r="R164">
        <f t="shared" ref="R164:S166" si="58">(0.1*0.9+0.1*0.9)*G32+0.1*0.1*K32+(1-0.1*0.9-0.1*0.9-0.1*0.1)*C32</f>
        <v>0</v>
      </c>
      <c r="S164">
        <f t="shared" si="58"/>
        <v>0</v>
      </c>
      <c r="U164">
        <f t="shared" ref="U164:V166" si="59">(0.1*0.9+0.1*0.9)*G39+0.1*0.1*K39+(1-0.1*0.9-0.1*0.9-0.1*0.1)*C39</f>
        <v>0</v>
      </c>
      <c r="V164">
        <f t="shared" si="59"/>
        <v>0</v>
      </c>
      <c r="X164">
        <f>(0.1*0.9+0.1*0.9)*F46+0.1*0.1*J46+(1-0.1*0.9-0.1*0.9-0.1*0.1)*B46</f>
        <v>2.0138E-2</v>
      </c>
    </row>
    <row r="165" spans="2:25" x14ac:dyDescent="0.25">
      <c r="B165" s="24"/>
      <c r="C165" s="22"/>
      <c r="D165" s="23"/>
      <c r="E165" t="s">
        <v>35</v>
      </c>
      <c r="F165">
        <f t="shared" si="56"/>
        <v>0</v>
      </c>
      <c r="G165">
        <f t="shared" si="56"/>
        <v>0</v>
      </c>
      <c r="H165">
        <f>M33+I33+E33</f>
        <v>0</v>
      </c>
      <c r="I165">
        <f t="shared" si="57"/>
        <v>0</v>
      </c>
      <c r="J165">
        <f t="shared" si="57"/>
        <v>0</v>
      </c>
      <c r="K165">
        <f>M40+I40+E40</f>
        <v>0</v>
      </c>
      <c r="O165" s="22"/>
      <c r="P165" s="23"/>
      <c r="Q165" t="s">
        <v>35</v>
      </c>
      <c r="R165">
        <f t="shared" si="58"/>
        <v>0</v>
      </c>
      <c r="S165">
        <f t="shared" si="58"/>
        <v>0</v>
      </c>
      <c r="U165">
        <f t="shared" si="59"/>
        <v>0</v>
      </c>
      <c r="V165">
        <f t="shared" si="59"/>
        <v>0</v>
      </c>
    </row>
    <row r="166" spans="2:25" x14ac:dyDescent="0.25">
      <c r="B166" s="24"/>
      <c r="C166" s="22"/>
      <c r="D166" s="23"/>
      <c r="E166" t="s">
        <v>36</v>
      </c>
      <c r="F166">
        <f t="shared" si="56"/>
        <v>1.9209750000000001E-2</v>
      </c>
      <c r="G166">
        <f t="shared" si="56"/>
        <v>2.041975E-2</v>
      </c>
      <c r="H166">
        <f>M34+I34+E34</f>
        <v>3.2043080000000002</v>
      </c>
      <c r="I166">
        <f t="shared" si="57"/>
        <v>1.92195E-2</v>
      </c>
      <c r="J166">
        <f t="shared" si="57"/>
        <v>2.041975E-2</v>
      </c>
      <c r="K166">
        <f>M41+I41+E41</f>
        <v>3.3874519999999997</v>
      </c>
      <c r="O166" s="22"/>
      <c r="P166" s="23"/>
      <c r="Q166" t="s">
        <v>36</v>
      </c>
      <c r="R166">
        <f t="shared" si="58"/>
        <v>1.9419000000000002E-2</v>
      </c>
      <c r="S166">
        <f t="shared" si="58"/>
        <v>2.0639000000000005E-2</v>
      </c>
      <c r="U166">
        <f t="shared" si="59"/>
        <v>1.9438E-2</v>
      </c>
      <c r="V166">
        <f t="shared" si="59"/>
        <v>2.0639000000000005E-2</v>
      </c>
    </row>
    <row r="167" spans="2:25" x14ac:dyDescent="0.25">
      <c r="B167" s="24"/>
      <c r="C167" s="6"/>
    </row>
    <row r="168" spans="2:25" x14ac:dyDescent="0.25">
      <c r="B168" s="24"/>
      <c r="C168" s="6"/>
    </row>
    <row r="169" spans="2:25" x14ac:dyDescent="0.25">
      <c r="B169" s="24"/>
      <c r="C169" s="6"/>
    </row>
    <row r="170" spans="2:25" x14ac:dyDescent="0.25">
      <c r="B170" s="24"/>
      <c r="C170" s="22" t="s">
        <v>41</v>
      </c>
      <c r="D170" s="23" t="s">
        <v>37</v>
      </c>
      <c r="E170" t="s">
        <v>33</v>
      </c>
      <c r="F170">
        <f t="shared" ref="F170:G172" si="60">(0.2*0.8+0.2*0.8)*G32+0.2*0.2*K32+(1-0.2*0.8-0.2*0.8-0.2*0.2)*C32</f>
        <v>0</v>
      </c>
      <c r="G170">
        <f t="shared" si="60"/>
        <v>0</v>
      </c>
      <c r="I170">
        <f t="shared" ref="I170:J172" si="61">(0.2*0.8+0.2*0.8)*G39+0.2*0.2*K39+(1-0.2*0.8-0.2*0.8-0.2*0.2)*C39</f>
        <v>0</v>
      </c>
      <c r="J170">
        <f t="shared" si="61"/>
        <v>0</v>
      </c>
      <c r="L170">
        <f>(0.2*0.8+0.2*0.8)*F46+0.2*0.2*J46+(1-0.2*0.8-0.2*0.8-0.2*0.2)*B46</f>
        <v>2.0572E-2</v>
      </c>
      <c r="O170" s="22" t="s">
        <v>42</v>
      </c>
      <c r="P170" s="23" t="s">
        <v>38</v>
      </c>
      <c r="Q170" t="s">
        <v>33</v>
      </c>
      <c r="R170">
        <f t="shared" ref="R170:S172" si="62">(0.3*0.7+0.3*0.7)*G32+0.3*0.3*K32+(1-0.3*0.7-0.3*0.7-0.3*0.3)*C32</f>
        <v>0</v>
      </c>
      <c r="S170">
        <f t="shared" si="62"/>
        <v>0</v>
      </c>
      <c r="U170">
        <f t="shared" ref="U170:V172" si="63">(0.3*0.7+0.3*0.7)*G39+0.3*0.3*K39+(1-0.3*0.7-0.3*0.7-0.3*0.3)*C39</f>
        <v>0</v>
      </c>
      <c r="V170">
        <f t="shared" si="63"/>
        <v>0</v>
      </c>
      <c r="X170">
        <f>(0.3*0.7+0.3*0.7)*F46+0.3*0.3*J46+(1-0.3*0.7-0.3*0.7-0.3*0.3)*B46</f>
        <v>2.1002E-2</v>
      </c>
    </row>
    <row r="171" spans="2:25" x14ac:dyDescent="0.25">
      <c r="B171" s="24"/>
      <c r="C171" s="22"/>
      <c r="D171" s="23"/>
      <c r="E171" t="s">
        <v>35</v>
      </c>
      <c r="F171">
        <f t="shared" si="60"/>
        <v>0</v>
      </c>
      <c r="G171">
        <f t="shared" si="60"/>
        <v>0</v>
      </c>
      <c r="I171">
        <f t="shared" si="61"/>
        <v>0</v>
      </c>
      <c r="J171">
        <f t="shared" si="61"/>
        <v>0</v>
      </c>
      <c r="O171" s="22"/>
      <c r="P171" s="23"/>
      <c r="Q171" t="s">
        <v>35</v>
      </c>
      <c r="R171">
        <f t="shared" si="62"/>
        <v>0</v>
      </c>
      <c r="S171">
        <f t="shared" si="62"/>
        <v>0</v>
      </c>
      <c r="U171">
        <f t="shared" si="63"/>
        <v>0</v>
      </c>
      <c r="V171">
        <f t="shared" si="63"/>
        <v>0</v>
      </c>
    </row>
    <row r="172" spans="2:25" x14ac:dyDescent="0.25">
      <c r="B172" s="24"/>
      <c r="C172" s="22"/>
      <c r="D172" s="23"/>
      <c r="E172" t="s">
        <v>36</v>
      </c>
      <c r="F172">
        <f t="shared" si="60"/>
        <v>1.9835999999999999E-2</v>
      </c>
      <c r="G172">
        <f t="shared" si="60"/>
        <v>2.1075999999999998E-2</v>
      </c>
      <c r="I172">
        <f t="shared" si="61"/>
        <v>1.9871999999999997E-2</v>
      </c>
      <c r="J172">
        <f t="shared" si="61"/>
        <v>2.1075999999999998E-2</v>
      </c>
      <c r="O172" s="22"/>
      <c r="P172" s="23"/>
      <c r="Q172" t="s">
        <v>36</v>
      </c>
      <c r="R172">
        <f t="shared" si="62"/>
        <v>2.0251000000000002E-2</v>
      </c>
      <c r="S172">
        <f t="shared" si="62"/>
        <v>2.1511000000000002E-2</v>
      </c>
      <c r="U172">
        <f t="shared" si="63"/>
        <v>2.0302000000000001E-2</v>
      </c>
      <c r="V172">
        <f t="shared" si="63"/>
        <v>2.1511000000000002E-2</v>
      </c>
    </row>
    <row r="175" spans="2:25" x14ac:dyDescent="0.25">
      <c r="D175" s="19" t="s">
        <v>12</v>
      </c>
      <c r="E175" s="19"/>
      <c r="F175" s="19"/>
      <c r="G175" s="19"/>
      <c r="H175" s="19"/>
      <c r="I175" s="20" t="s">
        <v>23</v>
      </c>
      <c r="J175" s="20"/>
      <c r="K175" s="20"/>
      <c r="L175" s="21" t="s">
        <v>24</v>
      </c>
      <c r="M175" s="21"/>
      <c r="N175" s="6"/>
      <c r="P175" s="19" t="s">
        <v>12</v>
      </c>
      <c r="Q175" s="19"/>
      <c r="R175" s="19"/>
      <c r="S175" s="19"/>
      <c r="T175" s="19"/>
      <c r="U175" s="20" t="s">
        <v>23</v>
      </c>
      <c r="V175" s="20"/>
      <c r="W175" s="20"/>
      <c r="X175" s="21" t="s">
        <v>24</v>
      </c>
      <c r="Y175" s="21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24" t="s">
        <v>11</v>
      </c>
      <c r="B177" s="26" t="s">
        <v>43</v>
      </c>
      <c r="C177" s="22" t="s">
        <v>39</v>
      </c>
      <c r="D177" s="23" t="s">
        <v>32</v>
      </c>
      <c r="E177" t="s">
        <v>33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0</v>
      </c>
      <c r="H177">
        <f>Q32+M32+I32+E32</f>
        <v>0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0</v>
      </c>
      <c r="K177">
        <f>Q39+M39+I39+E39</f>
        <v>0</v>
      </c>
      <c r="L177">
        <f>3*0.05*(1-0.05)*(1-0.05)*F46+3*0.05*0.05*(1-0.05)*J46+0.05*0.05*0.05*N46+(1-3*0.05*(1-0.05)*(1-0.05)-3*0.05*0.05*(1-0.05)-0.05*0.05*0.05)*B46</f>
        <v>2.0028537499999995E-2</v>
      </c>
      <c r="M177">
        <f>Q46+M46+I46+E46</f>
        <v>8.1897649999999995</v>
      </c>
      <c r="N177" s="26" t="s">
        <v>44</v>
      </c>
      <c r="O177" s="22" t="s">
        <v>40</v>
      </c>
      <c r="P177" s="23" t="s">
        <v>34</v>
      </c>
      <c r="Q177" t="s">
        <v>33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0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0</v>
      </c>
      <c r="X177">
        <f>3*0.1*(1-0.1)*(1-0.1)*F46+3*0.1*0.1*(1-0.1)*J46+0.1*0.1*0.1*N46+(1-3*0.1*(1-0.1)*(1-0.1)-3*0.1*0.1*(1-0.1)-0.1*0.1*0.1)*B46</f>
        <v>2.0354299999999999E-2</v>
      </c>
    </row>
    <row r="178" spans="1:25" x14ac:dyDescent="0.25">
      <c r="A178" s="24"/>
      <c r="B178" s="26"/>
      <c r="C178" s="22"/>
      <c r="D178" s="23"/>
      <c r="E178" t="s">
        <v>35</v>
      </c>
      <c r="F178">
        <f t="shared" si="64"/>
        <v>0</v>
      </c>
      <c r="G178">
        <f t="shared" si="64"/>
        <v>0</v>
      </c>
      <c r="H178">
        <f>Q33+M33+I33+E33</f>
        <v>0</v>
      </c>
      <c r="I178">
        <f t="shared" si="65"/>
        <v>0</v>
      </c>
      <c r="J178">
        <f t="shared" si="65"/>
        <v>0</v>
      </c>
      <c r="K178">
        <f>Q40+M40+I40+E40</f>
        <v>0</v>
      </c>
      <c r="N178" s="26"/>
      <c r="O178" s="22"/>
      <c r="P178" s="23"/>
      <c r="Q178" t="s">
        <v>35</v>
      </c>
      <c r="R178">
        <f t="shared" si="66"/>
        <v>0</v>
      </c>
      <c r="S178">
        <f t="shared" si="66"/>
        <v>0</v>
      </c>
      <c r="U178">
        <f t="shared" si="67"/>
        <v>0</v>
      </c>
      <c r="V178">
        <f t="shared" si="67"/>
        <v>0</v>
      </c>
    </row>
    <row r="179" spans="1:25" x14ac:dyDescent="0.25">
      <c r="A179" s="24"/>
      <c r="B179" s="26"/>
      <c r="C179" s="22"/>
      <c r="D179" s="23"/>
      <c r="E179" t="s">
        <v>36</v>
      </c>
      <c r="F179">
        <f t="shared" si="64"/>
        <v>1.9314249999999998E-2</v>
      </c>
      <c r="G179">
        <f t="shared" si="64"/>
        <v>2.0529274999999996E-2</v>
      </c>
      <c r="H179">
        <f>Q34+M34+I34+E34</f>
        <v>4.3287279999999999</v>
      </c>
      <c r="I179">
        <f t="shared" si="65"/>
        <v>1.9328512499999999E-2</v>
      </c>
      <c r="J179">
        <f t="shared" si="65"/>
        <v>2.0529262499999996E-2</v>
      </c>
      <c r="K179">
        <f>Q41+M41+I41+E41</f>
        <v>4.5173449999999997</v>
      </c>
      <c r="N179" s="26"/>
      <c r="O179" s="22"/>
      <c r="P179" s="23"/>
      <c r="Q179" t="s">
        <v>36</v>
      </c>
      <c r="R179">
        <f t="shared" si="66"/>
        <v>1.9626999999999999E-2</v>
      </c>
      <c r="S179">
        <f t="shared" si="66"/>
        <v>2.0857199999999999E-2</v>
      </c>
      <c r="U179">
        <f t="shared" si="67"/>
        <v>1.9654100000000001E-2</v>
      </c>
      <c r="V179">
        <f t="shared" si="67"/>
        <v>2.0857099999999996E-2</v>
      </c>
    </row>
    <row r="180" spans="1:25" x14ac:dyDescent="0.25">
      <c r="A180" s="24"/>
      <c r="C180" s="6"/>
    </row>
    <row r="181" spans="1:25" x14ac:dyDescent="0.25">
      <c r="A181" s="24"/>
      <c r="C181" s="6"/>
    </row>
    <row r="182" spans="1:25" x14ac:dyDescent="0.25">
      <c r="A182" s="24"/>
      <c r="C182" s="6"/>
    </row>
    <row r="183" spans="1:25" x14ac:dyDescent="0.25">
      <c r="A183" s="24"/>
      <c r="B183" s="26" t="s">
        <v>45</v>
      </c>
      <c r="C183" s="22" t="s">
        <v>41</v>
      </c>
      <c r="D183" s="23" t="s">
        <v>37</v>
      </c>
      <c r="E183" t="s">
        <v>33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0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0</v>
      </c>
      <c r="L183">
        <f>3*0.2*(1-0.2)*(1-0.2)*F46+3*0.2*0.2*(1-0.2)*J46+0.2*0.2*0.2*N46+(1-3*0.2*(1-0.2)*(1-0.2)-3*0.2*0.2*(1-0.2)-0.2*0.2*0.2)*B46</f>
        <v>2.09984E-2</v>
      </c>
      <c r="N183" s="26" t="s">
        <v>46</v>
      </c>
      <c r="O183" s="22" t="s">
        <v>42</v>
      </c>
      <c r="P183" s="23" t="s">
        <v>38</v>
      </c>
      <c r="Q183" t="s">
        <v>33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0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0</v>
      </c>
      <c r="X183">
        <f>3*0.3*(1-0.3)*(1-0.3)*F46+3*0.3*0.3*(1-0.3)*J46+0.3*0.3*0.3*N46+(1-3*0.3*(1-0.3)*(1-0.3)-3*0.3*0.3*(1-0.3)-0.3*0.3*0.3)*B46</f>
        <v>2.16341E-2</v>
      </c>
    </row>
    <row r="184" spans="1:25" x14ac:dyDescent="0.25">
      <c r="A184" s="24"/>
      <c r="B184" s="26"/>
      <c r="C184" s="22"/>
      <c r="D184" s="23"/>
      <c r="E184" t="s">
        <v>35</v>
      </c>
      <c r="F184">
        <f t="shared" si="68"/>
        <v>0</v>
      </c>
      <c r="G184">
        <f t="shared" si="68"/>
        <v>0</v>
      </c>
      <c r="I184">
        <f t="shared" si="69"/>
        <v>0</v>
      </c>
      <c r="J184">
        <f t="shared" si="69"/>
        <v>0</v>
      </c>
      <c r="N184" s="26"/>
      <c r="O184" s="22"/>
      <c r="P184" s="23"/>
      <c r="Q184" t="s">
        <v>35</v>
      </c>
      <c r="R184">
        <f t="shared" si="70"/>
        <v>0</v>
      </c>
      <c r="S184">
        <f t="shared" si="70"/>
        <v>0</v>
      </c>
      <c r="U184">
        <f t="shared" si="71"/>
        <v>0</v>
      </c>
      <c r="V184">
        <f t="shared" si="71"/>
        <v>0</v>
      </c>
    </row>
    <row r="185" spans="1:25" x14ac:dyDescent="0.25">
      <c r="A185" s="24"/>
      <c r="B185" s="26"/>
      <c r="C185" s="22"/>
      <c r="D185" s="23"/>
      <c r="E185" t="s">
        <v>36</v>
      </c>
      <c r="F185">
        <f t="shared" si="68"/>
        <v>2.0247999999999999E-2</v>
      </c>
      <c r="G185">
        <f t="shared" si="68"/>
        <v>2.1509599999999997E-2</v>
      </c>
      <c r="I185">
        <f t="shared" si="69"/>
        <v>2.0296799999999997E-2</v>
      </c>
      <c r="J185">
        <f t="shared" si="69"/>
        <v>2.1508800000000002E-2</v>
      </c>
      <c r="N185" s="26"/>
      <c r="O185" s="22"/>
      <c r="P185" s="23"/>
      <c r="Q185" t="s">
        <v>36</v>
      </c>
      <c r="R185">
        <f t="shared" si="70"/>
        <v>2.0863E-2</v>
      </c>
      <c r="S185">
        <f t="shared" si="70"/>
        <v>2.2158400000000002E-2</v>
      </c>
      <c r="U185">
        <f t="shared" si="71"/>
        <v>2.0928700000000001E-2</v>
      </c>
      <c r="V185">
        <f t="shared" si="71"/>
        <v>2.21557E-2</v>
      </c>
    </row>
    <row r="188" spans="1:25" x14ac:dyDescent="0.25">
      <c r="A188" s="1" t="s">
        <v>27</v>
      </c>
      <c r="D188" s="19" t="s">
        <v>12</v>
      </c>
      <c r="E188" s="19"/>
      <c r="F188" s="19"/>
      <c r="G188" s="19"/>
      <c r="H188" s="19"/>
      <c r="I188" s="20" t="s">
        <v>23</v>
      </c>
      <c r="J188" s="20"/>
      <c r="K188" s="20"/>
      <c r="L188" s="21" t="s">
        <v>24</v>
      </c>
      <c r="M188" s="21"/>
      <c r="N188" s="11"/>
      <c r="P188" s="19" t="s">
        <v>12</v>
      </c>
      <c r="Q188" s="19"/>
      <c r="R188" s="19"/>
      <c r="S188" s="19"/>
      <c r="T188" s="19"/>
      <c r="U188" s="20" t="s">
        <v>23</v>
      </c>
      <c r="V188" s="20"/>
      <c r="W188" s="20"/>
      <c r="X188" s="21" t="s">
        <v>24</v>
      </c>
      <c r="Y188" s="21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24" t="s">
        <v>9</v>
      </c>
      <c r="D190" s="23" t="s">
        <v>32</v>
      </c>
      <c r="E190" t="s">
        <v>33</v>
      </c>
      <c r="F190">
        <f t="shared" ref="F190:G192" si="72">0.05*Y32+(1-0.05)*U32</f>
        <v>0</v>
      </c>
      <c r="G190">
        <f t="shared" si="72"/>
        <v>0</v>
      </c>
      <c r="H190">
        <f>AA32+W32</f>
        <v>0</v>
      </c>
      <c r="I190">
        <f t="shared" ref="I190:J192" si="73">0.05*Y39+(1-0.05)*U39</f>
        <v>0</v>
      </c>
      <c r="J190">
        <f t="shared" si="73"/>
        <v>0</v>
      </c>
      <c r="K190">
        <f>AA39+W39</f>
        <v>0</v>
      </c>
      <c r="L190">
        <f>0.05*X46+(1-0.05)*T46</f>
        <v>1.5684999999999998E-2</v>
      </c>
      <c r="M190">
        <f>AA46+W46</f>
        <v>4.1243180000000006</v>
      </c>
      <c r="P190" s="23" t="s">
        <v>34</v>
      </c>
      <c r="Q190" t="s">
        <v>33</v>
      </c>
      <c r="R190">
        <f t="shared" ref="R190:S192" si="74">0.1*Y32+(1-0.1)*U32</f>
        <v>0</v>
      </c>
      <c r="S190">
        <f t="shared" si="74"/>
        <v>0</v>
      </c>
      <c r="U190">
        <f t="shared" ref="U190:V192" si="75">0.1*Y39+(1-0.1)*U39</f>
        <v>0</v>
      </c>
      <c r="V190">
        <f t="shared" si="75"/>
        <v>0</v>
      </c>
      <c r="X190">
        <f>0.1*X46+(1-0.1)*T46</f>
        <v>1.5769999999999999E-2</v>
      </c>
    </row>
    <row r="191" spans="1:25" x14ac:dyDescent="0.25">
      <c r="C191" s="24"/>
      <c r="D191" s="23"/>
      <c r="E191" t="s">
        <v>35</v>
      </c>
      <c r="F191">
        <f t="shared" si="72"/>
        <v>0</v>
      </c>
      <c r="G191">
        <f t="shared" si="72"/>
        <v>0</v>
      </c>
      <c r="H191">
        <f>AA33+W33</f>
        <v>0</v>
      </c>
      <c r="I191">
        <f t="shared" si="73"/>
        <v>0</v>
      </c>
      <c r="J191">
        <f t="shared" si="73"/>
        <v>0</v>
      </c>
      <c r="K191">
        <f>AA40+W40</f>
        <v>0</v>
      </c>
      <c r="P191" s="23"/>
      <c r="Q191" t="s">
        <v>35</v>
      </c>
      <c r="R191">
        <f t="shared" si="74"/>
        <v>0</v>
      </c>
      <c r="S191">
        <f t="shared" si="74"/>
        <v>0</v>
      </c>
      <c r="U191">
        <f t="shared" si="75"/>
        <v>0</v>
      </c>
      <c r="V191">
        <f t="shared" si="75"/>
        <v>0</v>
      </c>
    </row>
    <row r="192" spans="1:25" x14ac:dyDescent="0.25">
      <c r="C192" s="24"/>
      <c r="D192" s="23"/>
      <c r="E192" t="s">
        <v>36</v>
      </c>
      <c r="F192">
        <f t="shared" si="72"/>
        <v>1.3585E-2</v>
      </c>
      <c r="G192">
        <f t="shared" si="72"/>
        <v>1.6889999999999999E-2</v>
      </c>
      <c r="H192">
        <f>AA34+W34</f>
        <v>2.1250830000000001</v>
      </c>
      <c r="I192">
        <f t="shared" si="73"/>
        <v>1.3609999999999999E-2</v>
      </c>
      <c r="J192">
        <f t="shared" si="73"/>
        <v>1.6889999999999999E-2</v>
      </c>
      <c r="K192">
        <f>AA41+W41</f>
        <v>2.2441249999999999</v>
      </c>
      <c r="P192" s="23"/>
      <c r="Q192" t="s">
        <v>36</v>
      </c>
      <c r="R192">
        <f t="shared" si="74"/>
        <v>1.367E-2</v>
      </c>
      <c r="S192">
        <f t="shared" si="74"/>
        <v>1.6979999999999999E-2</v>
      </c>
      <c r="U192">
        <f t="shared" si="75"/>
        <v>1.372E-2</v>
      </c>
      <c r="V192">
        <f t="shared" si="75"/>
        <v>1.6979999999999999E-2</v>
      </c>
    </row>
    <row r="193" spans="2:25" x14ac:dyDescent="0.25">
      <c r="C193" s="24"/>
    </row>
    <row r="194" spans="2:25" x14ac:dyDescent="0.25">
      <c r="C194" s="24"/>
    </row>
    <row r="195" spans="2:25" x14ac:dyDescent="0.25">
      <c r="C195" s="24"/>
    </row>
    <row r="196" spans="2:25" x14ac:dyDescent="0.25">
      <c r="C196" s="24"/>
      <c r="D196" s="23" t="s">
        <v>37</v>
      </c>
      <c r="E196" t="s">
        <v>33</v>
      </c>
      <c r="F196">
        <f t="shared" ref="F196:G198" si="76">0.2*Y32+(1-0.2)*U32</f>
        <v>0</v>
      </c>
      <c r="G196">
        <f t="shared" si="76"/>
        <v>0</v>
      </c>
      <c r="I196">
        <f t="shared" ref="I196:J198" si="77">0.2*Y39+(1-0.2)*U39</f>
        <v>0</v>
      </c>
      <c r="J196">
        <f t="shared" si="77"/>
        <v>0</v>
      </c>
      <c r="L196">
        <f>0.2*X46+(1-0.2)*T46</f>
        <v>1.5939999999999999E-2</v>
      </c>
      <c r="P196" s="23" t="s">
        <v>38</v>
      </c>
      <c r="Q196" t="s">
        <v>33</v>
      </c>
      <c r="R196">
        <f t="shared" ref="R196:S198" si="78">0.3*Y32+(1-0.3)*U32</f>
        <v>0</v>
      </c>
      <c r="S196">
        <f t="shared" si="78"/>
        <v>0</v>
      </c>
      <c r="U196">
        <f t="shared" ref="U196:V198" si="79">0.3*Y39+(1-0.3)*U39</f>
        <v>0</v>
      </c>
      <c r="V196">
        <f t="shared" si="79"/>
        <v>0</v>
      </c>
      <c r="X196">
        <f>0.3*X46+(1-0.3)*T46</f>
        <v>1.6109999999999999E-2</v>
      </c>
    </row>
    <row r="197" spans="2:25" x14ac:dyDescent="0.25">
      <c r="C197" s="24"/>
      <c r="D197" s="23"/>
      <c r="E197" t="s">
        <v>35</v>
      </c>
      <c r="F197">
        <f t="shared" si="76"/>
        <v>0</v>
      </c>
      <c r="G197">
        <f t="shared" si="76"/>
        <v>0</v>
      </c>
      <c r="I197">
        <f t="shared" si="77"/>
        <v>0</v>
      </c>
      <c r="J197">
        <f t="shared" si="77"/>
        <v>0</v>
      </c>
      <c r="P197" s="23"/>
      <c r="Q197" t="s">
        <v>35</v>
      </c>
      <c r="R197">
        <f t="shared" si="78"/>
        <v>0</v>
      </c>
      <c r="S197">
        <f t="shared" si="78"/>
        <v>0</v>
      </c>
      <c r="U197">
        <f t="shared" si="79"/>
        <v>0</v>
      </c>
      <c r="V197">
        <f t="shared" si="79"/>
        <v>0</v>
      </c>
    </row>
    <row r="198" spans="2:25" x14ac:dyDescent="0.25">
      <c r="C198" s="24"/>
      <c r="D198" s="23"/>
      <c r="E198" t="s">
        <v>36</v>
      </c>
      <c r="F198">
        <f t="shared" si="76"/>
        <v>1.3840000000000002E-2</v>
      </c>
      <c r="G198">
        <f t="shared" si="76"/>
        <v>1.7160000000000002E-2</v>
      </c>
      <c r="I198">
        <f t="shared" si="77"/>
        <v>1.3940000000000001E-2</v>
      </c>
      <c r="J198">
        <f t="shared" si="77"/>
        <v>1.7160000000000002E-2</v>
      </c>
      <c r="P198" s="23"/>
      <c r="Q198" t="s">
        <v>36</v>
      </c>
      <c r="R198">
        <f t="shared" si="78"/>
        <v>1.401E-2</v>
      </c>
      <c r="S198">
        <f t="shared" si="78"/>
        <v>1.7339999999999998E-2</v>
      </c>
      <c r="U198">
        <f t="shared" si="79"/>
        <v>1.4159999999999999E-2</v>
      </c>
      <c r="V198">
        <f t="shared" si="79"/>
        <v>1.7339999999999998E-2</v>
      </c>
    </row>
    <row r="201" spans="2:25" x14ac:dyDescent="0.25">
      <c r="D201" s="19" t="s">
        <v>12</v>
      </c>
      <c r="E201" s="19"/>
      <c r="F201" s="19"/>
      <c r="G201" s="19"/>
      <c r="H201" s="19"/>
      <c r="I201" s="20" t="s">
        <v>23</v>
      </c>
      <c r="J201" s="20"/>
      <c r="K201" s="20"/>
      <c r="L201" s="21" t="s">
        <v>24</v>
      </c>
      <c r="M201" s="21"/>
      <c r="N201" s="6"/>
      <c r="P201" s="19" t="s">
        <v>12</v>
      </c>
      <c r="Q201" s="19"/>
      <c r="R201" s="19"/>
      <c r="S201" s="19"/>
      <c r="T201" s="19"/>
      <c r="U201" s="20" t="s">
        <v>23</v>
      </c>
      <c r="V201" s="20"/>
      <c r="W201" s="20"/>
      <c r="X201" s="21" t="s">
        <v>24</v>
      </c>
      <c r="Y201" s="21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24" t="s">
        <v>10</v>
      </c>
      <c r="C203" s="22" t="s">
        <v>39</v>
      </c>
      <c r="D203" s="23" t="s">
        <v>32</v>
      </c>
      <c r="E203" t="s">
        <v>33</v>
      </c>
      <c r="F203">
        <f t="shared" ref="F203:G205" si="80">(0.05*(1-0.05)+0.05*(1-0.05))*Y32+0.05*0.05*AC32+(1-0.05*(1-0.05)-0.05*(1-0.05)-0.05*0.05)*U32</f>
        <v>0</v>
      </c>
      <c r="G203">
        <f t="shared" si="80"/>
        <v>0</v>
      </c>
      <c r="H203">
        <f>AE32+AA32+W32</f>
        <v>0</v>
      </c>
      <c r="I203">
        <f t="shared" ref="I203:J205" si="81">(0.05*(1-0.05)+0.05*(1-0.05))*Y39+0.05*0.05*AC39+(1-0.05*(1-0.05)-0.05*(1-0.05)-0.05*0.05)*U39</f>
        <v>0</v>
      </c>
      <c r="J203">
        <f t="shared" si="81"/>
        <v>0</v>
      </c>
      <c r="K203">
        <f>AE39+AA39+W39</f>
        <v>0</v>
      </c>
      <c r="L203">
        <f>(0.05*(1-0.05)+0.05*(1-0.05))*X46+0.05*0.05*AB46+(1-0.05*(1-0.05)-0.05*(1-0.05)-0.05*0.05)*T46</f>
        <v>1.5770000000000003E-2</v>
      </c>
      <c r="M203">
        <f>AE46+AA46+W46</f>
        <v>6.1897489999999991</v>
      </c>
      <c r="O203" s="22" t="s">
        <v>40</v>
      </c>
      <c r="P203" s="23" t="s">
        <v>34</v>
      </c>
      <c r="Q203" t="s">
        <v>33</v>
      </c>
      <c r="R203">
        <f t="shared" ref="R203:S205" si="82">(0.1*0.9+0.1*0.9)*Y32+0.1*0.1*AC32+(1-0.1*0.9-0.1*0.9-0.1*0.1)*U32</f>
        <v>0</v>
      </c>
      <c r="S203">
        <f t="shared" si="82"/>
        <v>0</v>
      </c>
      <c r="U203">
        <f t="shared" ref="U203:V205" si="83">(0.1*0.9+0.1*0.9)*Y39+0.1*0.1*AC39+(1-0.1*0.9-0.1*0.9-0.1*0.1)*U39</f>
        <v>0</v>
      </c>
      <c r="V203">
        <f t="shared" si="83"/>
        <v>0</v>
      </c>
      <c r="X203">
        <f>(0.1*0.9+0.1*0.9)*X46+0.1*0.1*AB46+(1-0.1*0.9-0.1*0.9-0.1*0.1)*T46</f>
        <v>1.5939999999999999E-2</v>
      </c>
    </row>
    <row r="204" spans="2:25" x14ac:dyDescent="0.25">
      <c r="B204" s="24"/>
      <c r="C204" s="22"/>
      <c r="D204" s="23"/>
      <c r="E204" t="s">
        <v>35</v>
      </c>
      <c r="F204">
        <f t="shared" si="80"/>
        <v>0</v>
      </c>
      <c r="G204">
        <f t="shared" si="80"/>
        <v>0</v>
      </c>
      <c r="H204">
        <f>AE33+AA33+W33</f>
        <v>0</v>
      </c>
      <c r="I204">
        <f t="shared" si="81"/>
        <v>0</v>
      </c>
      <c r="J204">
        <f t="shared" si="81"/>
        <v>0</v>
      </c>
      <c r="K204">
        <f t="shared" ref="K204:K205" si="84">AE117+AA117+W117</f>
        <v>0</v>
      </c>
      <c r="O204" s="22"/>
      <c r="P204" s="23"/>
      <c r="Q204" t="s">
        <v>35</v>
      </c>
      <c r="R204">
        <f t="shared" si="82"/>
        <v>0</v>
      </c>
      <c r="S204">
        <f t="shared" si="82"/>
        <v>0</v>
      </c>
      <c r="U204">
        <f t="shared" si="83"/>
        <v>0</v>
      </c>
      <c r="V204">
        <f t="shared" si="83"/>
        <v>0</v>
      </c>
    </row>
    <row r="205" spans="2:25" x14ac:dyDescent="0.25">
      <c r="B205" s="24"/>
      <c r="C205" s="22"/>
      <c r="D205" s="23"/>
      <c r="E205" t="s">
        <v>36</v>
      </c>
      <c r="F205">
        <f t="shared" si="80"/>
        <v>1.367E-2</v>
      </c>
      <c r="G205">
        <f t="shared" si="80"/>
        <v>1.6979999999999999E-2</v>
      </c>
      <c r="H205">
        <f>AE34+AA34+W34</f>
        <v>3.1769480000000003</v>
      </c>
      <c r="I205">
        <f t="shared" si="81"/>
        <v>1.3718000000000001E-2</v>
      </c>
      <c r="J205">
        <f t="shared" si="81"/>
        <v>1.6979750000000002E-2</v>
      </c>
      <c r="K205">
        <f t="shared" si="84"/>
        <v>0</v>
      </c>
      <c r="O205" s="22"/>
      <c r="P205" s="23"/>
      <c r="Q205" t="s">
        <v>36</v>
      </c>
      <c r="R205">
        <f t="shared" si="82"/>
        <v>1.384E-2</v>
      </c>
      <c r="S205">
        <f t="shared" si="82"/>
        <v>1.7160000000000002E-2</v>
      </c>
      <c r="U205">
        <f t="shared" si="83"/>
        <v>1.3932E-2</v>
      </c>
      <c r="V205">
        <f t="shared" si="83"/>
        <v>1.7159000000000001E-2</v>
      </c>
    </row>
    <row r="206" spans="2:25" x14ac:dyDescent="0.25">
      <c r="B206" s="24"/>
      <c r="C206" s="6"/>
    </row>
    <row r="207" spans="2:25" x14ac:dyDescent="0.25">
      <c r="B207" s="24"/>
      <c r="C207" s="6"/>
    </row>
    <row r="208" spans="2:25" x14ac:dyDescent="0.25">
      <c r="B208" s="24"/>
      <c r="C208" s="6"/>
    </row>
    <row r="209" spans="1:25" x14ac:dyDescent="0.25">
      <c r="B209" s="24"/>
      <c r="C209" s="22" t="s">
        <v>41</v>
      </c>
      <c r="D209" s="23" t="s">
        <v>37</v>
      </c>
      <c r="E209" t="s">
        <v>33</v>
      </c>
      <c r="F209">
        <f t="shared" ref="F209:G211" si="85">(0.2*0.8+0.2*0.8)*Y32+0.2*0.2*AC32+(1-0.2*0.8-0.2*0.8-0.2*0.2)*U32</f>
        <v>0</v>
      </c>
      <c r="G209">
        <f t="shared" si="85"/>
        <v>0</v>
      </c>
      <c r="I209">
        <f t="shared" ref="I209:J211" si="86">(0.2*0.8+0.2*0.8)*Y39+0.2*0.2*AC39+(1-0.2*0.8-0.2*0.8-0.2*0.2)*U39</f>
        <v>0</v>
      </c>
      <c r="J209">
        <f t="shared" si="86"/>
        <v>0</v>
      </c>
      <c r="L209">
        <f>(0.2*0.8+0.2*0.8)*X46+0.2*0.2*AB46+(1-0.2*0.8-0.2*0.8-0.2*0.2)*T46</f>
        <v>1.6279999999999999E-2</v>
      </c>
      <c r="O209" s="22" t="s">
        <v>42</v>
      </c>
      <c r="P209" s="23" t="s">
        <v>38</v>
      </c>
      <c r="Q209" t="s">
        <v>33</v>
      </c>
      <c r="R209">
        <f t="shared" ref="R209:S211" si="87">(0.3*0.7+0.3*0.7)*Y32+0.3*0.3*AC32+(1-0.3*0.7-0.3*0.7-0.3*0.3)*U32</f>
        <v>0</v>
      </c>
      <c r="S209">
        <f t="shared" si="87"/>
        <v>0</v>
      </c>
      <c r="U209">
        <f t="shared" ref="U209:V211" si="88">(0.3*0.7+0.3*0.7)*Y39+0.3*0.3*AC39+(1-0.3*0.7-0.3*0.7-0.3*0.3)*U39</f>
        <v>0</v>
      </c>
      <c r="V209">
        <f t="shared" si="88"/>
        <v>0</v>
      </c>
      <c r="X209">
        <f>(0.3*0.7+0.3*0.7)*X46+0.3*0.3*AB46+(1-0.3*0.7-0.3*0.7-0.3*0.3)*T46</f>
        <v>1.6620000000000003E-2</v>
      </c>
    </row>
    <row r="210" spans="1:25" x14ac:dyDescent="0.25">
      <c r="B210" s="24"/>
      <c r="C210" s="22"/>
      <c r="D210" s="23"/>
      <c r="E210" t="s">
        <v>35</v>
      </c>
      <c r="F210">
        <f t="shared" si="85"/>
        <v>0</v>
      </c>
      <c r="G210">
        <f t="shared" si="85"/>
        <v>0</v>
      </c>
      <c r="I210">
        <f t="shared" si="86"/>
        <v>0</v>
      </c>
      <c r="J210">
        <f t="shared" si="86"/>
        <v>0</v>
      </c>
      <c r="O210" s="22"/>
      <c r="P210" s="23"/>
      <c r="Q210" t="s">
        <v>35</v>
      </c>
      <c r="R210">
        <f t="shared" si="87"/>
        <v>0</v>
      </c>
      <c r="S210">
        <f t="shared" si="87"/>
        <v>0</v>
      </c>
      <c r="U210">
        <f t="shared" si="88"/>
        <v>0</v>
      </c>
      <c r="V210">
        <f t="shared" si="88"/>
        <v>0</v>
      </c>
    </row>
    <row r="211" spans="1:25" x14ac:dyDescent="0.25">
      <c r="B211" s="24"/>
      <c r="C211" s="22"/>
      <c r="D211" s="23"/>
      <c r="E211" t="s">
        <v>36</v>
      </c>
      <c r="F211">
        <f t="shared" si="85"/>
        <v>1.418E-2</v>
      </c>
      <c r="G211">
        <f t="shared" si="85"/>
        <v>1.7519999999999997E-2</v>
      </c>
      <c r="I211">
        <f t="shared" si="86"/>
        <v>1.4348E-2</v>
      </c>
      <c r="J211">
        <f t="shared" si="86"/>
        <v>1.7515999999999997E-2</v>
      </c>
      <c r="O211" s="22"/>
      <c r="P211" s="23"/>
      <c r="Q211" t="s">
        <v>36</v>
      </c>
      <c r="R211">
        <f t="shared" si="87"/>
        <v>1.452E-2</v>
      </c>
      <c r="S211">
        <f t="shared" si="87"/>
        <v>1.788E-2</v>
      </c>
      <c r="U211">
        <f t="shared" si="88"/>
        <v>1.4748000000000001E-2</v>
      </c>
      <c r="V211">
        <f t="shared" si="88"/>
        <v>1.7871000000000001E-2</v>
      </c>
    </row>
    <row r="214" spans="1:25" x14ac:dyDescent="0.25">
      <c r="D214" s="19" t="s">
        <v>12</v>
      </c>
      <c r="E214" s="19"/>
      <c r="F214" s="19"/>
      <c r="G214" s="19"/>
      <c r="H214" s="19"/>
      <c r="I214" s="20" t="s">
        <v>23</v>
      </c>
      <c r="J214" s="20"/>
      <c r="K214" s="20"/>
      <c r="L214" s="21" t="s">
        <v>24</v>
      </c>
      <c r="M214" s="21"/>
      <c r="N214" s="6"/>
      <c r="P214" s="19" t="s">
        <v>12</v>
      </c>
      <c r="Q214" s="19"/>
      <c r="R214" s="19"/>
      <c r="S214" s="19"/>
      <c r="T214" s="19"/>
      <c r="U214" s="20" t="s">
        <v>23</v>
      </c>
      <c r="V214" s="20"/>
      <c r="W214" s="20"/>
      <c r="X214" s="21" t="s">
        <v>24</v>
      </c>
      <c r="Y214" s="21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24" t="s">
        <v>11</v>
      </c>
      <c r="B216" s="26" t="s">
        <v>43</v>
      </c>
      <c r="C216" s="22" t="s">
        <v>39</v>
      </c>
      <c r="D216" s="23" t="s">
        <v>32</v>
      </c>
      <c r="E216" t="s">
        <v>33</v>
      </c>
      <c r="F216">
        <f t="shared" ref="F216:G218" si="89">3*0.05*(1-0.05)*(1-0.05)*Y32+3*0.05*0.05*(1-0.05)*AC32+0.05*0.05*0.05*AG32+(1-3*0.05*(1-0.05)*(1-0.05)-3*0.05*0.05*(1-0.05)-0.05*0.05*0.05)*U32</f>
        <v>0</v>
      </c>
      <c r="G216">
        <f t="shared" si="89"/>
        <v>0</v>
      </c>
      <c r="H216">
        <f>AI32+AE32+AA32+W32</f>
        <v>0</v>
      </c>
      <c r="I216">
        <f t="shared" ref="I216:J218" si="90">3*0.05*(1-0.05)*(1-0.05)*Y39+3*0.05*0.05*(1-0.05)*AC39+0.05*0.05*0.05*AG39+(1-3*0.05*(1-0.05)*(1-0.05)-3*0.05*0.05*(1-0.05)-0.05*0.05*0.05)*U39</f>
        <v>0</v>
      </c>
      <c r="J216">
        <f t="shared" si="90"/>
        <v>0</v>
      </c>
      <c r="K216">
        <f>AI39+AE39+AA39+W39</f>
        <v>0</v>
      </c>
      <c r="L216">
        <f>3*0.05*(1-0.05)*(1-0.05)*X46+3*0.05*0.05*(1-0.05)*AB46+0.05*0.05*0.05*AF46+(1-3*0.05*(1-0.05)*(1-0.05)-3*0.05*0.05*(1-0.05)-0.05*0.05*0.05)*T46</f>
        <v>1.5854987499999997E-2</v>
      </c>
      <c r="M216">
        <f>AI46+AE46+AA46+W46</f>
        <v>8.3319609999999997</v>
      </c>
      <c r="N216" s="26" t="s">
        <v>44</v>
      </c>
      <c r="O216" s="22" t="s">
        <v>40</v>
      </c>
      <c r="P216" s="23" t="s">
        <v>34</v>
      </c>
      <c r="Q216" t="s">
        <v>33</v>
      </c>
      <c r="R216">
        <f t="shared" ref="R216:S218" si="91">3*0.1*(1-0.1)*(1-0.1)*Y32+3*0.1*0.1*(1-0.1)*AC32+0.1*0.1*0.1*AG32+(1-3*0.1*(1-0.1)*(1-0.1)-3*0.1*0.1*(1-0.1)-0.1*0.1*0.1)*U32</f>
        <v>0</v>
      </c>
      <c r="S216">
        <f t="shared" si="91"/>
        <v>0</v>
      </c>
      <c r="U216">
        <f t="shared" ref="U216:V218" si="92">3*0.1*(1-0.1)*(1-0.1)*Y39+3*0.1*0.1*(1-0.1)*AC39+0.1*0.1*0.1*AG39+(1-3*0.1*(1-0.1)*(1-0.1)-3*0.1*0.1*(1-0.1)-0.1*0.1*0.1)*U39</f>
        <v>0</v>
      </c>
      <c r="V216">
        <f t="shared" si="92"/>
        <v>0</v>
      </c>
      <c r="X216">
        <f>3*0.1*(1-0.1)*(1-0.1)*X46+3*0.1*0.1*(1-0.1)*AB46+0.1*0.1*0.1*AF46+(1-3*0.1*(1-0.1)*(1-0.1)-3*0.1*0.1*(1-0.1)-0.1*0.1*0.1)*T46</f>
        <v>1.61099E-2</v>
      </c>
    </row>
    <row r="217" spans="1:25" x14ac:dyDescent="0.25">
      <c r="A217" s="24"/>
      <c r="B217" s="26"/>
      <c r="C217" s="22"/>
      <c r="D217" s="23"/>
      <c r="E217" t="s">
        <v>35</v>
      </c>
      <c r="F217">
        <f t="shared" si="89"/>
        <v>0</v>
      </c>
      <c r="G217">
        <f t="shared" si="89"/>
        <v>0</v>
      </c>
      <c r="H217">
        <f>AI33+AE33+AA33+W33</f>
        <v>0</v>
      </c>
      <c r="I217">
        <f t="shared" si="90"/>
        <v>0</v>
      </c>
      <c r="J217">
        <f t="shared" si="90"/>
        <v>0</v>
      </c>
      <c r="K217">
        <f>AI40+AE40+AA40+W40</f>
        <v>0</v>
      </c>
      <c r="N217" s="26"/>
      <c r="O217" s="22"/>
      <c r="P217" s="23"/>
      <c r="Q217" t="s">
        <v>35</v>
      </c>
      <c r="R217">
        <f t="shared" si="91"/>
        <v>0</v>
      </c>
      <c r="S217">
        <f t="shared" si="91"/>
        <v>0</v>
      </c>
      <c r="U217">
        <f t="shared" si="92"/>
        <v>0</v>
      </c>
      <c r="V217">
        <f t="shared" si="92"/>
        <v>0</v>
      </c>
    </row>
    <row r="218" spans="1:25" x14ac:dyDescent="0.25">
      <c r="A218" s="24"/>
      <c r="B218" s="26"/>
      <c r="C218" s="22"/>
      <c r="D218" s="23"/>
      <c r="E218" t="s">
        <v>36</v>
      </c>
      <c r="F218">
        <f t="shared" si="89"/>
        <v>1.3754962499999999E-2</v>
      </c>
      <c r="G218">
        <f t="shared" si="89"/>
        <v>1.7069999999999995E-2</v>
      </c>
      <c r="H218">
        <f>AI34+AE34+AA34+W34</f>
        <v>4.3019689999999997</v>
      </c>
      <c r="I218">
        <f t="shared" si="90"/>
        <v>1.3824087499999997E-2</v>
      </c>
      <c r="J218">
        <f t="shared" si="90"/>
        <v>1.7069274999999998E-2</v>
      </c>
      <c r="K218">
        <f>AI41+AE41+AA41+W41</f>
        <v>4.5037059999999993</v>
      </c>
      <c r="N218" s="26"/>
      <c r="O218" s="22"/>
      <c r="P218" s="23"/>
      <c r="Q218" t="s">
        <v>36</v>
      </c>
      <c r="R218">
        <f t="shared" si="91"/>
        <v>1.40097E-2</v>
      </c>
      <c r="S218">
        <f t="shared" si="91"/>
        <v>1.7339999999999998E-2</v>
      </c>
      <c r="U218">
        <f t="shared" si="92"/>
        <v>1.4136699999999999E-2</v>
      </c>
      <c r="V218">
        <f t="shared" si="92"/>
        <v>1.7337199999999997E-2</v>
      </c>
    </row>
    <row r="219" spans="1:25" x14ac:dyDescent="0.25">
      <c r="A219" s="24"/>
      <c r="C219" s="6"/>
    </row>
    <row r="220" spans="1:25" x14ac:dyDescent="0.25">
      <c r="A220" s="24"/>
      <c r="C220" s="6"/>
    </row>
    <row r="221" spans="1:25" x14ac:dyDescent="0.25">
      <c r="A221" s="24"/>
      <c r="C221" s="6"/>
    </row>
    <row r="222" spans="1:25" x14ac:dyDescent="0.25">
      <c r="A222" s="24"/>
      <c r="B222" s="26" t="s">
        <v>45</v>
      </c>
      <c r="C222" s="22" t="s">
        <v>41</v>
      </c>
      <c r="D222" s="23" t="s">
        <v>37</v>
      </c>
      <c r="E222" t="s">
        <v>33</v>
      </c>
      <c r="F222">
        <f t="shared" ref="F222:G224" si="93">3*0.2*(1-0.2)*(1-0.2)*Y32+3*0.2*0.2*(1-0.2)*AC32+0.2*0.2*0.2*AG32+(1-3*0.2*(1-0.2)*(1-0.2)-3*0.2*0.2*(1-0.2)-0.2*0.2*0.2)*U32</f>
        <v>0</v>
      </c>
      <c r="G222">
        <f t="shared" si="93"/>
        <v>0</v>
      </c>
      <c r="I222">
        <f t="shared" ref="I222:J224" si="94">3*0.2*(1-0.2)*(1-0.2)*Y39+3*0.2*0.2*(1-0.2)*AC39+0.2*0.2*0.2*AG39+(1-3*0.2*(1-0.2)*(1-0.2)-3*0.2*0.2*(1-0.2)-0.2*0.2*0.2)*U39</f>
        <v>0</v>
      </c>
      <c r="J222">
        <f t="shared" si="94"/>
        <v>0</v>
      </c>
      <c r="L222">
        <f>3*0.2*(1-0.2)*(1-0.2)*X46+3*0.2*0.2*(1-0.2)*AB46+0.2*0.2*0.2*AF46+(1-3*0.2*(1-0.2)*(1-0.2)-3*0.2*0.2*(1-0.2)-0.2*0.2*0.2)*T46</f>
        <v>1.6619200000000001E-2</v>
      </c>
      <c r="N222" s="26" t="s">
        <v>46</v>
      </c>
      <c r="O222" s="22" t="s">
        <v>42</v>
      </c>
      <c r="P222" s="23" t="s">
        <v>38</v>
      </c>
      <c r="Q222" t="s">
        <v>33</v>
      </c>
      <c r="R222">
        <f t="shared" ref="R222:S224" si="95">3*0.3*(1-0.3)*(1-0.3)*Y32+3*0.3*0.3*(1-0.3)*AC32+0.3*0.3*0.3*AG32+(1-3*0.3*(1-0.3)*(1-0.3)-3*0.3*0.3*(1-0.3)-0.3*0.3*0.3)*U32</f>
        <v>0</v>
      </c>
      <c r="S222">
        <f t="shared" si="95"/>
        <v>0</v>
      </c>
      <c r="U222">
        <f t="shared" ref="U222:V224" si="96">3*0.3*(1-0.3)*(1-0.3)*Y39+3*0.3*0.3*(1-0.3)*AC39+0.3*0.3*0.3*AG39+(1-3*0.3*(1-0.3)*(1-0.3)-3*0.3*0.3*(1-0.3)-0.3*0.3*0.3)*U39</f>
        <v>0</v>
      </c>
      <c r="V222">
        <f t="shared" si="96"/>
        <v>0</v>
      </c>
      <c r="X222">
        <f>3*0.3*(1-0.3)*(1-0.3)*X46+3*0.3*0.3*(1-0.3)*AB46+0.3*0.3*0.3*AF46+(1-3*0.3*(1-0.3)*(1-0.3)-3*0.3*0.3*(1-0.3)-0.3*0.3*0.3)*T46</f>
        <v>1.7127299999999998E-2</v>
      </c>
    </row>
    <row r="223" spans="1:25" x14ac:dyDescent="0.25">
      <c r="A223" s="24"/>
      <c r="B223" s="26"/>
      <c r="C223" s="22"/>
      <c r="D223" s="23"/>
      <c r="E223" t="s">
        <v>35</v>
      </c>
      <c r="F223">
        <f t="shared" si="93"/>
        <v>0</v>
      </c>
      <c r="G223">
        <f t="shared" si="93"/>
        <v>0</v>
      </c>
      <c r="I223">
        <f t="shared" si="94"/>
        <v>0</v>
      </c>
      <c r="J223">
        <f t="shared" si="94"/>
        <v>0</v>
      </c>
      <c r="N223" s="26"/>
      <c r="O223" s="22"/>
      <c r="P223" s="23"/>
      <c r="Q223" t="s">
        <v>35</v>
      </c>
      <c r="R223">
        <f t="shared" si="95"/>
        <v>0</v>
      </c>
      <c r="S223">
        <f t="shared" si="95"/>
        <v>0</v>
      </c>
      <c r="U223">
        <f t="shared" si="96"/>
        <v>0</v>
      </c>
      <c r="V223">
        <f t="shared" si="96"/>
        <v>0</v>
      </c>
    </row>
    <row r="224" spans="1:25" x14ac:dyDescent="0.25">
      <c r="A224" s="24"/>
      <c r="B224" s="26"/>
      <c r="C224" s="22"/>
      <c r="D224" s="23"/>
      <c r="E224" t="s">
        <v>36</v>
      </c>
      <c r="F224">
        <f t="shared" si="93"/>
        <v>1.4517599999999999E-2</v>
      </c>
      <c r="G224">
        <f t="shared" si="93"/>
        <v>1.788E-2</v>
      </c>
      <c r="I224">
        <f t="shared" si="94"/>
        <v>1.4729599999999999E-2</v>
      </c>
      <c r="J224">
        <f t="shared" si="94"/>
        <v>1.7869599999999999E-2</v>
      </c>
      <c r="N224" s="26"/>
      <c r="O224" s="22"/>
      <c r="P224" s="23"/>
      <c r="Q224" t="s">
        <v>36</v>
      </c>
      <c r="R224">
        <f t="shared" si="95"/>
        <v>1.5021900000000001E-2</v>
      </c>
      <c r="S224">
        <f t="shared" si="95"/>
        <v>1.8419999999999999E-2</v>
      </c>
      <c r="U224">
        <f t="shared" si="96"/>
        <v>1.52829E-2</v>
      </c>
      <c r="V224">
        <f t="shared" si="96"/>
        <v>1.8398399999999999E-2</v>
      </c>
    </row>
    <row r="227" spans="1:25" x14ac:dyDescent="0.25">
      <c r="A227" s="1" t="s">
        <v>28</v>
      </c>
      <c r="D227" s="19" t="s">
        <v>12</v>
      </c>
      <c r="E227" s="19"/>
      <c r="F227" s="19"/>
      <c r="G227" s="19"/>
      <c r="H227" s="19"/>
      <c r="I227" s="20" t="s">
        <v>23</v>
      </c>
      <c r="J227" s="20"/>
      <c r="K227" s="20"/>
      <c r="L227" s="21" t="s">
        <v>24</v>
      </c>
      <c r="M227" s="21"/>
      <c r="N227" s="11"/>
      <c r="P227" s="19" t="s">
        <v>12</v>
      </c>
      <c r="Q227" s="19"/>
      <c r="R227" s="19"/>
      <c r="S227" s="19"/>
      <c r="T227" s="19"/>
      <c r="U227" s="20" t="s">
        <v>23</v>
      </c>
      <c r="V227" s="20"/>
      <c r="W227" s="20"/>
      <c r="X227" s="21" t="s">
        <v>24</v>
      </c>
      <c r="Y227" s="21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24" t="s">
        <v>9</v>
      </c>
      <c r="D229" s="23" t="s">
        <v>32</v>
      </c>
      <c r="E229" t="s">
        <v>33</v>
      </c>
      <c r="F229">
        <f t="shared" ref="F229:G231" si="97">0.05*G52+(1-0.05)*C52</f>
        <v>0</v>
      </c>
      <c r="G229">
        <f t="shared" si="97"/>
        <v>0</v>
      </c>
      <c r="H229">
        <f>I52+E52</f>
        <v>0</v>
      </c>
      <c r="I229">
        <f t="shared" ref="I229:J231" si="98">0.05*G59+(1-0.05)*C59</f>
        <v>0</v>
      </c>
      <c r="J229">
        <f t="shared" si="98"/>
        <v>0</v>
      </c>
      <c r="K229">
        <f>I59+E59</f>
        <v>0</v>
      </c>
      <c r="L229">
        <f>0.05*F66+(1-0.05)*B66</f>
        <v>9.665E-3</v>
      </c>
      <c r="M229">
        <f>I66+E66</f>
        <v>4.1174269999999993</v>
      </c>
      <c r="P229" s="23" t="s">
        <v>34</v>
      </c>
      <c r="Q229" t="s">
        <v>33</v>
      </c>
      <c r="R229">
        <f t="shared" ref="R229:S231" si="99">0.1*G52+(1-0.1)*C52</f>
        <v>0</v>
      </c>
      <c r="S229">
        <f t="shared" si="99"/>
        <v>0</v>
      </c>
      <c r="U229">
        <f t="shared" ref="U229:V231" si="100">0.1*G59+(1-0.1)*C59</f>
        <v>0</v>
      </c>
      <c r="V229">
        <f t="shared" si="100"/>
        <v>0</v>
      </c>
      <c r="X229">
        <f>0.1*F66+(1-0.1)*B66</f>
        <v>9.7300000000000008E-3</v>
      </c>
    </row>
    <row r="230" spans="1:25" x14ac:dyDescent="0.25">
      <c r="C230" s="24"/>
      <c r="D230" s="23"/>
      <c r="E230" t="s">
        <v>35</v>
      </c>
      <c r="F230">
        <f t="shared" si="97"/>
        <v>0</v>
      </c>
      <c r="G230">
        <f t="shared" si="97"/>
        <v>0</v>
      </c>
      <c r="H230">
        <f>I53+E53</f>
        <v>0</v>
      </c>
      <c r="I230">
        <f t="shared" si="98"/>
        <v>0</v>
      </c>
      <c r="J230">
        <f t="shared" si="98"/>
        <v>0</v>
      </c>
      <c r="K230">
        <f>I60+E60</f>
        <v>0</v>
      </c>
      <c r="P230" s="23"/>
      <c r="Q230" t="s">
        <v>35</v>
      </c>
      <c r="R230">
        <f t="shared" si="99"/>
        <v>0</v>
      </c>
      <c r="S230">
        <f t="shared" si="99"/>
        <v>0</v>
      </c>
      <c r="U230">
        <f t="shared" si="100"/>
        <v>0</v>
      </c>
      <c r="V230">
        <f t="shared" si="100"/>
        <v>0</v>
      </c>
    </row>
    <row r="231" spans="1:25" x14ac:dyDescent="0.25">
      <c r="C231" s="24"/>
      <c r="D231" s="23"/>
      <c r="E231" t="s">
        <v>36</v>
      </c>
      <c r="F231">
        <f t="shared" si="97"/>
        <v>7.8499999999999993E-3</v>
      </c>
      <c r="G231">
        <f t="shared" si="97"/>
        <v>1.1064999999999998E-2</v>
      </c>
      <c r="H231">
        <f>I54+E54</f>
        <v>2.1126149999999999</v>
      </c>
      <c r="I231">
        <f t="shared" si="98"/>
        <v>7.8849999999999996E-3</v>
      </c>
      <c r="J231">
        <f t="shared" si="98"/>
        <v>1.1035E-2</v>
      </c>
      <c r="K231">
        <f>I61+E61</f>
        <v>2.2444999999999999</v>
      </c>
      <c r="P231" s="23"/>
      <c r="Q231" t="s">
        <v>36</v>
      </c>
      <c r="R231">
        <f t="shared" si="99"/>
        <v>7.9000000000000008E-3</v>
      </c>
      <c r="S231">
        <f t="shared" si="99"/>
        <v>1.1129999999999999E-2</v>
      </c>
      <c r="U231">
        <f t="shared" si="100"/>
        <v>7.9699999999999997E-3</v>
      </c>
      <c r="V231">
        <f t="shared" si="100"/>
        <v>1.107E-2</v>
      </c>
    </row>
    <row r="232" spans="1:25" x14ac:dyDescent="0.25">
      <c r="C232" s="24"/>
    </row>
    <row r="233" spans="1:25" x14ac:dyDescent="0.25">
      <c r="C233" s="24"/>
    </row>
    <row r="234" spans="1:25" x14ac:dyDescent="0.25">
      <c r="C234" s="24"/>
    </row>
    <row r="235" spans="1:25" x14ac:dyDescent="0.25">
      <c r="C235" s="24"/>
      <c r="D235" s="23" t="s">
        <v>37</v>
      </c>
      <c r="E235" t="s">
        <v>33</v>
      </c>
      <c r="F235">
        <f t="shared" ref="F235:G237" si="101">0.2*G52+(1-0.2)*C52</f>
        <v>0</v>
      </c>
      <c r="G235">
        <f t="shared" si="101"/>
        <v>0</v>
      </c>
      <c r="I235">
        <f t="shared" ref="I235:J237" si="102">0.2*G59+(1-0.2)*C59</f>
        <v>0</v>
      </c>
      <c r="J235">
        <f t="shared" si="102"/>
        <v>0</v>
      </c>
      <c r="L235">
        <f>0.2*F66+(1-0.2)*B66</f>
        <v>9.859999999999999E-3</v>
      </c>
      <c r="P235" s="23" t="s">
        <v>38</v>
      </c>
      <c r="Q235" t="s">
        <v>33</v>
      </c>
      <c r="R235">
        <f t="shared" ref="R235:S237" si="103">0.3*G52+(1-0.3)*C52</f>
        <v>0</v>
      </c>
      <c r="S235">
        <f t="shared" si="103"/>
        <v>0</v>
      </c>
      <c r="U235">
        <f t="shared" ref="U235:V237" si="104">0.3*G59+(1-0.3)*C59</f>
        <v>0</v>
      </c>
      <c r="V235">
        <f t="shared" si="104"/>
        <v>0</v>
      </c>
      <c r="X235">
        <f>0.3*F66+(1-0.3)*B66</f>
        <v>9.9899999999999989E-3</v>
      </c>
    </row>
    <row r="236" spans="1:25" x14ac:dyDescent="0.25">
      <c r="C236" s="24"/>
      <c r="D236" s="23"/>
      <c r="E236" t="s">
        <v>35</v>
      </c>
      <c r="F236">
        <f t="shared" si="101"/>
        <v>0</v>
      </c>
      <c r="G236">
        <f t="shared" si="101"/>
        <v>0</v>
      </c>
      <c r="I236">
        <f t="shared" si="102"/>
        <v>0</v>
      </c>
      <c r="J236">
        <f t="shared" si="102"/>
        <v>0</v>
      </c>
      <c r="P236" s="23"/>
      <c r="Q236" t="s">
        <v>35</v>
      </c>
      <c r="R236">
        <f t="shared" si="103"/>
        <v>0</v>
      </c>
      <c r="S236">
        <f t="shared" si="103"/>
        <v>0</v>
      </c>
      <c r="U236">
        <f t="shared" si="104"/>
        <v>0</v>
      </c>
      <c r="V236">
        <f t="shared" si="104"/>
        <v>0</v>
      </c>
    </row>
    <row r="237" spans="1:25" x14ac:dyDescent="0.25">
      <c r="C237" s="24"/>
      <c r="D237" s="23"/>
      <c r="E237" t="s">
        <v>36</v>
      </c>
      <c r="F237">
        <f t="shared" si="101"/>
        <v>8.0000000000000002E-3</v>
      </c>
      <c r="G237">
        <f t="shared" si="101"/>
        <v>1.1260000000000001E-2</v>
      </c>
      <c r="I237">
        <f t="shared" si="102"/>
        <v>8.1399999999999997E-3</v>
      </c>
      <c r="J237">
        <f t="shared" si="102"/>
        <v>1.1140000000000001E-2</v>
      </c>
      <c r="P237" s="23"/>
      <c r="Q237" t="s">
        <v>36</v>
      </c>
      <c r="R237">
        <f t="shared" si="103"/>
        <v>8.0999999999999996E-3</v>
      </c>
      <c r="S237">
        <f t="shared" si="103"/>
        <v>1.1389999999999999E-2</v>
      </c>
      <c r="U237">
        <f t="shared" si="104"/>
        <v>8.3099999999999997E-3</v>
      </c>
      <c r="V237">
        <f t="shared" si="104"/>
        <v>1.1209999999999999E-2</v>
      </c>
    </row>
    <row r="240" spans="1:25" x14ac:dyDescent="0.25">
      <c r="D240" s="19" t="s">
        <v>12</v>
      </c>
      <c r="E240" s="19"/>
      <c r="F240" s="19"/>
      <c r="G240" s="19"/>
      <c r="H240" s="19"/>
      <c r="I240" s="20" t="s">
        <v>23</v>
      </c>
      <c r="J240" s="20"/>
      <c r="K240" s="20"/>
      <c r="L240" s="21" t="s">
        <v>24</v>
      </c>
      <c r="M240" s="21"/>
      <c r="N240" s="6"/>
      <c r="P240" s="19" t="s">
        <v>12</v>
      </c>
      <c r="Q240" s="19"/>
      <c r="R240" s="19"/>
      <c r="S240" s="19"/>
      <c r="T240" s="19"/>
      <c r="U240" s="20" t="s">
        <v>23</v>
      </c>
      <c r="V240" s="20"/>
      <c r="W240" s="20"/>
      <c r="X240" s="21" t="s">
        <v>24</v>
      </c>
      <c r="Y240" s="21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24" t="s">
        <v>10</v>
      </c>
      <c r="C242" s="22" t="s">
        <v>39</v>
      </c>
      <c r="D242" s="23" t="s">
        <v>32</v>
      </c>
      <c r="E242" t="s">
        <v>33</v>
      </c>
      <c r="F242">
        <f t="shared" ref="F242:G244" si="105">(0.05*(1-0.05)+0.05*(1-0.05))*G52+0.05*0.05*K52+(1-0.05*(1-0.05)-0.05*(1-0.05)-0.05*0.05)*C52</f>
        <v>0</v>
      </c>
      <c r="G242">
        <f t="shared" si="105"/>
        <v>0</v>
      </c>
      <c r="H242">
        <f>M52+I52+E52</f>
        <v>0</v>
      </c>
      <c r="I242">
        <f t="shared" ref="I242:J244" si="106">(0.05*(1-0.05)+0.05*(1-0.05))*G59+0.05*0.05*K59+(1-0.05*(1-0.05)-0.05*(1-0.05)-0.05*0.05)*C59</f>
        <v>0</v>
      </c>
      <c r="J242">
        <f t="shared" si="106"/>
        <v>0</v>
      </c>
      <c r="K242">
        <f>M59+I59+E59</f>
        <v>0</v>
      </c>
      <c r="L242">
        <f>(0.05*(1-0.05)+0.05*(1-0.05))*F66+0.05*0.05*J66+(1-0.05*(1-0.05)-0.05*(1-0.05)-0.05*0.05)*B66</f>
        <v>9.7295000000000003E-3</v>
      </c>
      <c r="M242">
        <f>M66+I66+E66</f>
        <v>6.1881739999999992</v>
      </c>
      <c r="O242" s="22" t="s">
        <v>40</v>
      </c>
      <c r="P242" s="23" t="s">
        <v>34</v>
      </c>
      <c r="Q242" t="s">
        <v>33</v>
      </c>
      <c r="R242">
        <f t="shared" ref="R242:S244" si="107">(0.1*0.9+0.1*0.9)*G52+0.1*0.1*K52+(1-0.1*0.9-0.1*0.9-0.1*0.1)*C52</f>
        <v>0</v>
      </c>
      <c r="S242">
        <f t="shared" si="107"/>
        <v>0</v>
      </c>
      <c r="U242">
        <f t="shared" ref="U242:V244" si="108">(0.1*0.9+0.1*0.9)*G59+0.1*0.1*K59+(1-0.1*0.9-0.1*0.9-0.1*0.1)*C59</f>
        <v>0</v>
      </c>
      <c r="V242">
        <f t="shared" si="108"/>
        <v>0</v>
      </c>
      <c r="X242">
        <f>(0.1*0.9+0.1*0.9)*F66+0.1*0.1*J66+(1-0.1*0.9-0.1*0.9-0.1*0.1)*B66</f>
        <v>9.8580000000000004E-3</v>
      </c>
    </row>
    <row r="243" spans="1:25" x14ac:dyDescent="0.25">
      <c r="B243" s="24"/>
      <c r="C243" s="22"/>
      <c r="D243" s="23"/>
      <c r="E243" t="s">
        <v>35</v>
      </c>
      <c r="F243">
        <f t="shared" si="105"/>
        <v>0</v>
      </c>
      <c r="G243">
        <f t="shared" si="105"/>
        <v>0</v>
      </c>
      <c r="H243">
        <f>M53+I53+E53</f>
        <v>0</v>
      </c>
      <c r="I243">
        <f t="shared" si="106"/>
        <v>0</v>
      </c>
      <c r="J243">
        <f t="shared" si="106"/>
        <v>0</v>
      </c>
      <c r="K243">
        <f>M60+I60+E60</f>
        <v>0</v>
      </c>
      <c r="O243" s="22"/>
      <c r="P243" s="23"/>
      <c r="Q243" t="s">
        <v>35</v>
      </c>
      <c r="R243">
        <f t="shared" si="107"/>
        <v>0</v>
      </c>
      <c r="S243">
        <f t="shared" si="107"/>
        <v>0</v>
      </c>
      <c r="U243">
        <f t="shared" si="108"/>
        <v>0</v>
      </c>
      <c r="V243">
        <f t="shared" si="108"/>
        <v>0</v>
      </c>
    </row>
    <row r="244" spans="1:25" x14ac:dyDescent="0.25">
      <c r="B244" s="24"/>
      <c r="C244" s="22"/>
      <c r="D244" s="23"/>
      <c r="E244" t="s">
        <v>36</v>
      </c>
      <c r="F244">
        <f t="shared" si="105"/>
        <v>7.900250000000001E-3</v>
      </c>
      <c r="G244">
        <f t="shared" si="105"/>
        <v>1.1130000000000001E-2</v>
      </c>
      <c r="H244">
        <f>M54+I54+E54</f>
        <v>3.1872809999999996</v>
      </c>
      <c r="I244">
        <f t="shared" si="106"/>
        <v>7.9682500000000014E-3</v>
      </c>
      <c r="J244">
        <f t="shared" si="106"/>
        <v>1.107E-2</v>
      </c>
      <c r="K244">
        <f>M61+I61+E61</f>
        <v>3.3737589999999997</v>
      </c>
      <c r="O244" s="22"/>
      <c r="P244" s="23"/>
      <c r="Q244" t="s">
        <v>36</v>
      </c>
      <c r="R244">
        <f t="shared" si="107"/>
        <v>8.0010000000000012E-3</v>
      </c>
      <c r="S244">
        <f t="shared" si="107"/>
        <v>1.1259999999999999E-2</v>
      </c>
      <c r="U244">
        <f t="shared" si="108"/>
        <v>8.1329999999999996E-3</v>
      </c>
      <c r="V244">
        <f t="shared" si="108"/>
        <v>1.1140000000000001E-2</v>
      </c>
    </row>
    <row r="245" spans="1:25" x14ac:dyDescent="0.25">
      <c r="B245" s="24"/>
      <c r="C245" s="6"/>
    </row>
    <row r="246" spans="1:25" x14ac:dyDescent="0.25">
      <c r="B246" s="24"/>
      <c r="C246" s="6"/>
    </row>
    <row r="247" spans="1:25" x14ac:dyDescent="0.25">
      <c r="B247" s="24"/>
      <c r="C247" s="6"/>
    </row>
    <row r="248" spans="1:25" x14ac:dyDescent="0.25">
      <c r="B248" s="24"/>
      <c r="C248" s="22" t="s">
        <v>41</v>
      </c>
      <c r="D248" s="23" t="s">
        <v>37</v>
      </c>
      <c r="E248" t="s">
        <v>33</v>
      </c>
      <c r="F248">
        <f t="shared" ref="F248:G250" si="109">(0.2*0.8+0.2*0.8)*G52+0.2*0.2*K52+(1-0.2*0.8-0.2*0.8-0.2*0.2)*C52</f>
        <v>0</v>
      </c>
      <c r="G248">
        <f t="shared" si="109"/>
        <v>0</v>
      </c>
      <c r="I248">
        <f t="shared" ref="I248:J250" si="110">(0.2*0.8+0.2*0.8)*G59+0.2*0.2*K59+(1-0.2*0.8-0.2*0.8-0.2*0.2)*C59</f>
        <v>0</v>
      </c>
      <c r="J248">
        <f t="shared" si="110"/>
        <v>0</v>
      </c>
      <c r="L248">
        <f>(0.2*0.8+0.2*0.8)*F66+0.2*0.2*J66+(1-0.2*0.8-0.2*0.8-0.2*0.2)*B66</f>
        <v>1.0111999999999999E-2</v>
      </c>
      <c r="O248" s="22" t="s">
        <v>42</v>
      </c>
      <c r="P248" s="23" t="s">
        <v>38</v>
      </c>
      <c r="Q248" t="s">
        <v>33</v>
      </c>
      <c r="R248">
        <f t="shared" ref="R248:S250" si="111">(0.3*0.7+0.3*0.7)*G52+0.3*0.3*K52+(1-0.3*0.7-0.3*0.7-0.3*0.3)*C52</f>
        <v>0</v>
      </c>
      <c r="S248">
        <f t="shared" si="111"/>
        <v>0</v>
      </c>
      <c r="U248">
        <f t="shared" ref="U248:V250" si="112">(0.3*0.7+0.3*0.7)*G59+0.3*0.3*K59+(1-0.3*0.7-0.3*0.7-0.3*0.3)*C59</f>
        <v>0</v>
      </c>
      <c r="V248">
        <f t="shared" si="112"/>
        <v>0</v>
      </c>
      <c r="X248">
        <f>(0.3*0.7+0.3*0.7)*F66+0.3*0.3*J66+(1-0.3*0.7-0.3*0.7-0.3*0.3)*B66</f>
        <v>1.0362E-2</v>
      </c>
    </row>
    <row r="249" spans="1:25" x14ac:dyDescent="0.25">
      <c r="B249" s="24"/>
      <c r="C249" s="22"/>
      <c r="D249" s="23"/>
      <c r="E249" t="s">
        <v>35</v>
      </c>
      <c r="F249">
        <f t="shared" si="109"/>
        <v>0</v>
      </c>
      <c r="G249">
        <f t="shared" si="109"/>
        <v>0</v>
      </c>
      <c r="I249">
        <f t="shared" si="110"/>
        <v>0</v>
      </c>
      <c r="J249">
        <f t="shared" si="110"/>
        <v>0</v>
      </c>
      <c r="O249" s="22"/>
      <c r="P249" s="23"/>
      <c r="Q249" t="s">
        <v>35</v>
      </c>
      <c r="R249">
        <f t="shared" si="111"/>
        <v>0</v>
      </c>
      <c r="S249">
        <f t="shared" si="111"/>
        <v>0</v>
      </c>
      <c r="U249">
        <f t="shared" si="112"/>
        <v>0</v>
      </c>
      <c r="V249">
        <f t="shared" si="112"/>
        <v>0</v>
      </c>
    </row>
    <row r="250" spans="1:25" x14ac:dyDescent="0.25">
      <c r="B250" s="24"/>
      <c r="C250" s="22"/>
      <c r="D250" s="23"/>
      <c r="E250" t="s">
        <v>36</v>
      </c>
      <c r="F250">
        <f t="shared" si="109"/>
        <v>8.2039999999999995E-3</v>
      </c>
      <c r="G250">
        <f t="shared" si="109"/>
        <v>1.1519999999999999E-2</v>
      </c>
      <c r="I250">
        <f t="shared" si="110"/>
        <v>8.4519999999999994E-3</v>
      </c>
      <c r="J250">
        <f t="shared" si="110"/>
        <v>1.1279999999999998E-2</v>
      </c>
      <c r="O250" s="22"/>
      <c r="P250" s="23"/>
      <c r="Q250" t="s">
        <v>36</v>
      </c>
      <c r="R250">
        <f t="shared" si="111"/>
        <v>8.4089999999999998E-3</v>
      </c>
      <c r="S250">
        <f t="shared" si="111"/>
        <v>1.1780000000000001E-2</v>
      </c>
      <c r="U250">
        <f t="shared" si="112"/>
        <v>8.7570000000000009E-3</v>
      </c>
      <c r="V250">
        <f t="shared" si="112"/>
        <v>1.142E-2</v>
      </c>
    </row>
    <row r="253" spans="1:25" x14ac:dyDescent="0.25">
      <c r="D253" s="19" t="s">
        <v>12</v>
      </c>
      <c r="E253" s="19"/>
      <c r="F253" s="19"/>
      <c r="G253" s="19"/>
      <c r="H253" s="19"/>
      <c r="I253" s="20" t="s">
        <v>23</v>
      </c>
      <c r="J253" s="20"/>
      <c r="K253" s="20"/>
      <c r="L253" s="21" t="s">
        <v>24</v>
      </c>
      <c r="M253" s="21"/>
      <c r="N253" s="6"/>
      <c r="P253" s="19" t="s">
        <v>12</v>
      </c>
      <c r="Q253" s="19"/>
      <c r="R253" s="19"/>
      <c r="S253" s="19"/>
      <c r="T253" s="19"/>
      <c r="U253" s="20" t="s">
        <v>23</v>
      </c>
      <c r="V253" s="20"/>
      <c r="W253" s="20"/>
      <c r="X253" s="21" t="s">
        <v>24</v>
      </c>
      <c r="Y253" s="21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24" t="s">
        <v>11</v>
      </c>
      <c r="B255" s="26" t="s">
        <v>43</v>
      </c>
      <c r="C255" s="22" t="s">
        <v>39</v>
      </c>
      <c r="D255" s="23" t="s">
        <v>32</v>
      </c>
      <c r="E255" t="s">
        <v>33</v>
      </c>
      <c r="F255">
        <f t="shared" ref="F255:G257" si="113">3*0.05*(1-0.05)*(1-0.05)*G52+3*0.05*0.05*(1-0.05)*K52+0.05*0.05*0.05*O52+(1-3*0.05*(1-0.05)*(1-0.05)-3*0.05*0.05*(1-0.05)-0.05*0.05*0.05)*C52</f>
        <v>0</v>
      </c>
      <c r="G255">
        <f t="shared" si="113"/>
        <v>0</v>
      </c>
      <c r="H255">
        <f>Q52+M52+I52+E52</f>
        <v>0</v>
      </c>
      <c r="I255">
        <f t="shared" ref="I255:J257" si="114">3*0.05*(1-0.05)*(1-0.05)*G59+3*0.05*0.05*(1-0.05)*K59+0.05*0.05*0.05*O59+(1-3*0.05*(1-0.05)*(1-0.05)-3*0.05*0.05*(1-0.05)-0.05*0.05*0.05)*C59</f>
        <v>0</v>
      </c>
      <c r="J255">
        <f t="shared" si="114"/>
        <v>0</v>
      </c>
      <c r="K255">
        <f>Q59+M59+I59+E59</f>
        <v>0</v>
      </c>
      <c r="L255">
        <f>3*0.05*(1-0.05)*(1-0.05)*F66+3*0.05*0.05*(1-0.05)*J66+0.05*0.05*0.05*N66+(1-3*0.05*(1-0.05)*(1-0.05)-3*0.05*0.05*(1-0.05)-0.05*0.05*0.05)*B66</f>
        <v>9.7935124999999987E-3</v>
      </c>
      <c r="M255">
        <f>Q66+M66+I66+E66</f>
        <v>8.2745399999999982</v>
      </c>
      <c r="N255" s="26" t="s">
        <v>44</v>
      </c>
      <c r="O255" s="22" t="s">
        <v>40</v>
      </c>
      <c r="P255" s="23" t="s">
        <v>34</v>
      </c>
      <c r="Q255" t="s">
        <v>33</v>
      </c>
      <c r="R255">
        <f t="shared" ref="R255:S257" si="115">3*0.1*(1-0.1)*(1-0.1)*G52+3*0.1*0.1*(1-0.1)*K52+0.1*0.1*0.1*O52+(1-3*0.1*(1-0.1)*(1-0.1)-3*0.1*0.1*(1-0.1)-0.1*0.1*0.1)*C52</f>
        <v>0</v>
      </c>
      <c r="S255">
        <f t="shared" si="115"/>
        <v>0</v>
      </c>
      <c r="U255">
        <f t="shared" ref="U255:V257" si="116">3*0.1*(1-0.1)*(1-0.1)*G59+3*0.1*0.1*(1-0.1)*K59+0.1*0.1*0.1*O59+(1-3*0.1*(1-0.1)*(1-0.1)-3*0.1*0.1*(1-0.1)-0.1*0.1*0.1)*C59</f>
        <v>0</v>
      </c>
      <c r="V255">
        <f t="shared" si="116"/>
        <v>0</v>
      </c>
      <c r="X255">
        <f>3*0.1*(1-0.1)*(1-0.1)*F66+3*0.1*0.1*(1-0.1)*J66+0.1*0.1*0.1*N66+(1-3*0.1*(1-0.1)*(1-0.1)-3*0.1*0.1*(1-0.1)-0.1*0.1*0.1)*B66</f>
        <v>9.9840999999999992E-3</v>
      </c>
    </row>
    <row r="256" spans="1:25" x14ac:dyDescent="0.25">
      <c r="A256" s="24"/>
      <c r="B256" s="26"/>
      <c r="C256" s="22"/>
      <c r="D256" s="23"/>
      <c r="E256" t="s">
        <v>35</v>
      </c>
      <c r="F256">
        <f t="shared" si="113"/>
        <v>0</v>
      </c>
      <c r="G256">
        <f t="shared" si="113"/>
        <v>0</v>
      </c>
      <c r="H256">
        <f>Q53+M53+I53+E53</f>
        <v>0</v>
      </c>
      <c r="I256">
        <f t="shared" si="114"/>
        <v>0</v>
      </c>
      <c r="J256">
        <f t="shared" si="114"/>
        <v>0</v>
      </c>
      <c r="K256">
        <f>Q60+M60+I60+E60</f>
        <v>0</v>
      </c>
      <c r="N256" s="26"/>
      <c r="O256" s="22"/>
      <c r="P256" s="23"/>
      <c r="Q256" t="s">
        <v>35</v>
      </c>
      <c r="R256">
        <f t="shared" si="115"/>
        <v>0</v>
      </c>
      <c r="S256">
        <f t="shared" si="115"/>
        <v>0</v>
      </c>
      <c r="U256">
        <f t="shared" si="116"/>
        <v>0</v>
      </c>
      <c r="V256">
        <f t="shared" si="116"/>
        <v>0</v>
      </c>
    </row>
    <row r="257" spans="1:24" x14ac:dyDescent="0.25">
      <c r="A257" s="24"/>
      <c r="B257" s="26"/>
      <c r="C257" s="22"/>
      <c r="D257" s="23"/>
      <c r="E257" t="s">
        <v>36</v>
      </c>
      <c r="F257">
        <f t="shared" si="113"/>
        <v>7.9507249999999988E-3</v>
      </c>
      <c r="G257">
        <f t="shared" si="113"/>
        <v>1.1194987499999998E-2</v>
      </c>
      <c r="H257">
        <f>Q54+M54+I54+E54</f>
        <v>4.2438739999999999</v>
      </c>
      <c r="I257">
        <f t="shared" si="114"/>
        <v>8.0498124999999997E-3</v>
      </c>
      <c r="J257">
        <f t="shared" si="114"/>
        <v>1.1105087499999999E-2</v>
      </c>
      <c r="K257">
        <f>Q61+M61+I61+E61</f>
        <v>4.5019679999999997</v>
      </c>
      <c r="N257" s="26"/>
      <c r="O257" s="22"/>
      <c r="P257" s="23"/>
      <c r="Q257" t="s">
        <v>36</v>
      </c>
      <c r="R257">
        <f t="shared" si="115"/>
        <v>8.1028000000000003E-3</v>
      </c>
      <c r="S257">
        <f t="shared" si="115"/>
        <v>1.13899E-2</v>
      </c>
      <c r="U257">
        <f t="shared" si="116"/>
        <v>8.2895E-3</v>
      </c>
      <c r="V257">
        <f t="shared" si="116"/>
        <v>1.1210700000000001E-2</v>
      </c>
    </row>
    <row r="258" spans="1:24" x14ac:dyDescent="0.25">
      <c r="A258" s="24"/>
      <c r="C258" s="6"/>
    </row>
    <row r="259" spans="1:24" x14ac:dyDescent="0.25">
      <c r="A259" s="24"/>
      <c r="C259" s="6"/>
    </row>
    <row r="260" spans="1:24" x14ac:dyDescent="0.25">
      <c r="A260" s="24"/>
      <c r="C260" s="6"/>
    </row>
    <row r="261" spans="1:24" x14ac:dyDescent="0.25">
      <c r="A261" s="24"/>
      <c r="B261" s="26" t="s">
        <v>45</v>
      </c>
      <c r="C261" s="22" t="s">
        <v>41</v>
      </c>
      <c r="D261" s="23" t="s">
        <v>37</v>
      </c>
      <c r="E261" t="s">
        <v>33</v>
      </c>
      <c r="F261">
        <f t="shared" ref="F261:G263" si="117">3*0.2*(1-0.2)*(1-0.2)*G52+3*0.2*0.2*(1-0.2)*K52+0.2*0.2*0.2*O52+(1-3*0.2*(1-0.2)*(1-0.2)-3*0.2*0.2*(1-0.2)-0.2*0.2*0.2)*C52</f>
        <v>0</v>
      </c>
      <c r="G261">
        <f t="shared" si="117"/>
        <v>0</v>
      </c>
      <c r="I261">
        <f t="shared" ref="I261:J263" si="118">3*0.2*(1-0.2)*(1-0.2)*G59+3*0.2*0.2*(1-0.2)*K59+0.2*0.2*0.2*O59+(1-3*0.2*(1-0.2)*(1-0.2)-3*0.2*0.2*(1-0.2)-0.2*0.2*0.2)*C59</f>
        <v>0</v>
      </c>
      <c r="J261">
        <f t="shared" si="118"/>
        <v>0</v>
      </c>
      <c r="L261">
        <f>3*0.2*(1-0.2)*(1-0.2)*F66+3*0.2*0.2*(1-0.2)*J66+0.2*0.2*0.2*N66+(1-3*0.2*(1-0.2)*(1-0.2)-3*0.2*0.2*(1-0.2)-0.2*0.2*0.2)*B66</f>
        <v>1.0356799999999999E-2</v>
      </c>
      <c r="N261" s="26" t="s">
        <v>46</v>
      </c>
      <c r="O261" s="22" t="s">
        <v>42</v>
      </c>
      <c r="P261" s="23" t="s">
        <v>38</v>
      </c>
      <c r="Q261" t="s">
        <v>33</v>
      </c>
      <c r="R261">
        <f t="shared" ref="R261:S263" si="119">3*0.3*(1-0.3)*(1-0.3)*G52+3*0.3*0.3*(1-0.3)*K52+0.3*0.3*0.3*O52+(1-3*0.3*(1-0.3)*(1-0.3)-3*0.3*0.3*(1-0.3)-0.3*0.3*0.3)*C52</f>
        <v>0</v>
      </c>
      <c r="S261">
        <f t="shared" si="119"/>
        <v>0</v>
      </c>
      <c r="U261">
        <f t="shared" ref="U261:V263" si="120">3*0.3*(1-0.3)*(1-0.3)*G59+3*0.3*0.3*(1-0.3)*K59+0.3*0.3*0.3*O59+(1-3*0.3*(1-0.3)*(1-0.3)-3*0.3*0.3*(1-0.3)-0.3*0.3*0.3)*C59</f>
        <v>0</v>
      </c>
      <c r="V261">
        <f t="shared" si="120"/>
        <v>0</v>
      </c>
      <c r="X261">
        <f>3*0.3*(1-0.3)*(1-0.3)*F66+3*0.3*0.3*(1-0.3)*J66+0.3*0.3*0.3*N66+(1-3*0.3*(1-0.3)*(1-0.3)-3*0.3*0.3*(1-0.3)-0.3*0.3*0.3)*B66</f>
        <v>1.0718699999999999E-2</v>
      </c>
    </row>
    <row r="262" spans="1:24" x14ac:dyDescent="0.25">
      <c r="A262" s="24"/>
      <c r="B262" s="26"/>
      <c r="C262" s="22"/>
      <c r="D262" s="23"/>
      <c r="E262" t="s">
        <v>35</v>
      </c>
      <c r="F262">
        <f t="shared" si="117"/>
        <v>0</v>
      </c>
      <c r="G262">
        <f t="shared" si="117"/>
        <v>0</v>
      </c>
      <c r="I262">
        <f t="shared" si="118"/>
        <v>0</v>
      </c>
      <c r="J262">
        <f t="shared" si="118"/>
        <v>0</v>
      </c>
      <c r="N262" s="26"/>
      <c r="O262" s="22"/>
      <c r="P262" s="23"/>
      <c r="Q262" t="s">
        <v>35</v>
      </c>
      <c r="R262">
        <f t="shared" si="119"/>
        <v>0</v>
      </c>
      <c r="S262">
        <f t="shared" si="119"/>
        <v>0</v>
      </c>
      <c r="U262">
        <f t="shared" si="120"/>
        <v>0</v>
      </c>
      <c r="V262">
        <f t="shared" si="120"/>
        <v>0</v>
      </c>
    </row>
    <row r="263" spans="1:24" x14ac:dyDescent="0.25">
      <c r="A263" s="24"/>
      <c r="B263" s="26"/>
      <c r="C263" s="22"/>
      <c r="D263" s="23"/>
      <c r="E263" t="s">
        <v>36</v>
      </c>
      <c r="F263">
        <f t="shared" si="117"/>
        <v>8.4103999999999984E-3</v>
      </c>
      <c r="G263">
        <f t="shared" si="117"/>
        <v>1.17792E-2</v>
      </c>
      <c r="I263">
        <f t="shared" si="118"/>
        <v>8.7399999999999995E-3</v>
      </c>
      <c r="J263">
        <f t="shared" si="118"/>
        <v>1.1425599999999999E-2</v>
      </c>
      <c r="N263" s="26"/>
      <c r="O263" s="22"/>
      <c r="P263" s="23"/>
      <c r="Q263" t="s">
        <v>36</v>
      </c>
      <c r="R263">
        <f t="shared" si="119"/>
        <v>8.7215999999999995E-3</v>
      </c>
      <c r="S263">
        <f t="shared" si="119"/>
        <v>1.2167300000000001E-2</v>
      </c>
      <c r="U263">
        <f t="shared" si="120"/>
        <v>9.1544999999999994E-3</v>
      </c>
      <c r="V263">
        <f t="shared" si="120"/>
        <v>1.16489E-2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50根构件</vt:lpstr>
      <vt:lpstr>47根构件 </vt:lpstr>
      <vt:lpstr>43根构件  </vt:lpstr>
      <vt:lpstr>39根构件   </vt:lpstr>
      <vt:lpstr>35根构件   </vt:lpstr>
      <vt:lpstr>31根构件    </vt:lpstr>
      <vt:lpstr>27根构件    </vt:lpstr>
      <vt:lpstr>23根构件 </vt:lpstr>
      <vt:lpstr>19根构件 </vt:lpstr>
      <vt:lpstr>15根构件  </vt:lpstr>
      <vt:lpstr>11根构件  </vt:lpstr>
      <vt:lpstr>7根构件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Windows 用户</cp:lastModifiedBy>
  <dcterms:created xsi:type="dcterms:W3CDTF">2018-02-27T11:14:00Z</dcterms:created>
  <dcterms:modified xsi:type="dcterms:W3CDTF">2019-06-23T09:39:07Z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