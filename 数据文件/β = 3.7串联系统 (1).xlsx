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F:\科研数据\"/>
    </mc:Choice>
  </mc:AlternateContent>
  <xr:revisionPtr revIDLastSave="0" documentId="13_ncr:1_{F8B30EDA-B80A-4875-BA48-15AD406C56B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50根构件" sheetId="37" r:id="rId1"/>
    <sheet name="47根构件 " sheetId="38" r:id="rId2"/>
    <sheet name="45根构件 " sheetId="36" r:id="rId3"/>
    <sheet name="43根构件 " sheetId="39" r:id="rId4"/>
    <sheet name="40根构件 " sheetId="35" r:id="rId5"/>
    <sheet name="39根构件  " sheetId="40" r:id="rId6"/>
    <sheet name="35根构件 " sheetId="34" r:id="rId7"/>
    <sheet name="31根构件  " sheetId="41" r:id="rId8"/>
    <sheet name="30根构件 " sheetId="33" r:id="rId9"/>
    <sheet name="28根构件" sheetId="32" r:id="rId10"/>
    <sheet name="27根构件 " sheetId="42" r:id="rId11"/>
    <sheet name="26根构件" sheetId="31" r:id="rId12"/>
    <sheet name="24根构件" sheetId="43" r:id="rId13"/>
    <sheet name="23根构件 " sheetId="19" r:id="rId14"/>
    <sheet name="22根构件 " sheetId="17" r:id="rId15"/>
    <sheet name="20根构件" sheetId="15" r:id="rId16"/>
    <sheet name="19根构件 " sheetId="44" r:id="rId17"/>
    <sheet name="18根构件  " sheetId="13" r:id="rId18"/>
    <sheet name="16根构件  " sheetId="11" r:id="rId19"/>
    <sheet name="15根构件 " sheetId="3" r:id="rId20"/>
    <sheet name="14根构件" sheetId="9" r:id="rId21"/>
    <sheet name="13根构件" sheetId="30" r:id="rId22"/>
    <sheet name="12根构件  " sheetId="7" r:id="rId23"/>
    <sheet name="11根构件 " sheetId="2" r:id="rId24"/>
    <sheet name="10根构件 " sheetId="6" r:id="rId25"/>
    <sheet name="9根构件" sheetId="5" r:id="rId26"/>
    <sheet name="8根构件 " sheetId="29" r:id="rId27"/>
    <sheet name="7根构件" sheetId="1" r:id="rId28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88" i="1" l="1"/>
  <c r="R75" i="1"/>
  <c r="F75" i="1"/>
  <c r="X263" i="1"/>
  <c r="V263" i="1"/>
  <c r="U263" i="1"/>
  <c r="S263" i="1"/>
  <c r="R263" i="1"/>
  <c r="L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V261" i="1"/>
  <c r="U261" i="1"/>
  <c r="S261" i="1"/>
  <c r="R261" i="1"/>
  <c r="J261" i="1"/>
  <c r="I261" i="1"/>
  <c r="G261" i="1"/>
  <c r="F261" i="1"/>
  <c r="X257" i="1"/>
  <c r="V257" i="1"/>
  <c r="U257" i="1"/>
  <c r="S257" i="1"/>
  <c r="R257" i="1"/>
  <c r="M257" i="1"/>
  <c r="L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V255" i="1"/>
  <c r="U255" i="1"/>
  <c r="S255" i="1"/>
  <c r="R255" i="1"/>
  <c r="K255" i="1"/>
  <c r="J255" i="1"/>
  <c r="I255" i="1"/>
  <c r="H255" i="1"/>
  <c r="G255" i="1"/>
  <c r="F255" i="1"/>
  <c r="X250" i="1"/>
  <c r="V250" i="1"/>
  <c r="U250" i="1"/>
  <c r="S250" i="1"/>
  <c r="R250" i="1"/>
  <c r="L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V248" i="1"/>
  <c r="U248" i="1"/>
  <c r="S248" i="1"/>
  <c r="R248" i="1"/>
  <c r="J248" i="1"/>
  <c r="I248" i="1"/>
  <c r="G248" i="1"/>
  <c r="F248" i="1"/>
  <c r="X244" i="1"/>
  <c r="V244" i="1"/>
  <c r="U244" i="1"/>
  <c r="S244" i="1"/>
  <c r="R244" i="1"/>
  <c r="M244" i="1"/>
  <c r="L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V242" i="1"/>
  <c r="U242" i="1"/>
  <c r="S242" i="1"/>
  <c r="R242" i="1"/>
  <c r="K242" i="1"/>
  <c r="J242" i="1"/>
  <c r="I242" i="1"/>
  <c r="H242" i="1"/>
  <c r="G242" i="1"/>
  <c r="F242" i="1"/>
  <c r="X237" i="1"/>
  <c r="V237" i="1"/>
  <c r="U237" i="1"/>
  <c r="S237" i="1"/>
  <c r="R237" i="1"/>
  <c r="L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V235" i="1"/>
  <c r="U235" i="1"/>
  <c r="S235" i="1"/>
  <c r="R235" i="1"/>
  <c r="J235" i="1"/>
  <c r="I235" i="1"/>
  <c r="G235" i="1"/>
  <c r="F235" i="1"/>
  <c r="X231" i="1"/>
  <c r="V231" i="1"/>
  <c r="U231" i="1"/>
  <c r="S231" i="1"/>
  <c r="R231" i="1"/>
  <c r="M231" i="1"/>
  <c r="L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V229" i="1"/>
  <c r="U229" i="1"/>
  <c r="S229" i="1"/>
  <c r="R229" i="1"/>
  <c r="K229" i="1"/>
  <c r="J229" i="1"/>
  <c r="I229" i="1"/>
  <c r="H229" i="1"/>
  <c r="G229" i="1"/>
  <c r="F229" i="1"/>
  <c r="X224" i="1"/>
  <c r="V224" i="1"/>
  <c r="U224" i="1"/>
  <c r="S224" i="1"/>
  <c r="R224" i="1"/>
  <c r="L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V222" i="1"/>
  <c r="U222" i="1"/>
  <c r="S222" i="1"/>
  <c r="R222" i="1"/>
  <c r="J222" i="1"/>
  <c r="I222" i="1"/>
  <c r="G222" i="1"/>
  <c r="F222" i="1"/>
  <c r="X218" i="1"/>
  <c r="V218" i="1"/>
  <c r="U218" i="1"/>
  <c r="S218" i="1"/>
  <c r="R218" i="1"/>
  <c r="M218" i="1"/>
  <c r="L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V216" i="1"/>
  <c r="U216" i="1"/>
  <c r="S216" i="1"/>
  <c r="R216" i="1"/>
  <c r="K216" i="1"/>
  <c r="J216" i="1"/>
  <c r="I216" i="1"/>
  <c r="H216" i="1"/>
  <c r="G216" i="1"/>
  <c r="F216" i="1"/>
  <c r="X211" i="1"/>
  <c r="V211" i="1"/>
  <c r="U211" i="1"/>
  <c r="S211" i="1"/>
  <c r="R211" i="1"/>
  <c r="L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V209" i="1"/>
  <c r="U209" i="1"/>
  <c r="S209" i="1"/>
  <c r="R209" i="1"/>
  <c r="J209" i="1"/>
  <c r="I209" i="1"/>
  <c r="G209" i="1"/>
  <c r="F209" i="1"/>
  <c r="X205" i="1"/>
  <c r="V205" i="1"/>
  <c r="U205" i="1"/>
  <c r="S205" i="1"/>
  <c r="R205" i="1"/>
  <c r="M205" i="1"/>
  <c r="L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V203" i="1"/>
  <c r="U203" i="1"/>
  <c r="S203" i="1"/>
  <c r="R203" i="1"/>
  <c r="K203" i="1"/>
  <c r="J203" i="1"/>
  <c r="I203" i="1"/>
  <c r="H203" i="1"/>
  <c r="G203" i="1"/>
  <c r="F203" i="1"/>
  <c r="X198" i="1"/>
  <c r="V198" i="1"/>
  <c r="U198" i="1"/>
  <c r="S198" i="1"/>
  <c r="R198" i="1"/>
  <c r="L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V196" i="1"/>
  <c r="U196" i="1"/>
  <c r="S196" i="1"/>
  <c r="R196" i="1"/>
  <c r="J196" i="1"/>
  <c r="I196" i="1"/>
  <c r="G196" i="1"/>
  <c r="F196" i="1"/>
  <c r="X192" i="1"/>
  <c r="V192" i="1"/>
  <c r="U192" i="1"/>
  <c r="S192" i="1"/>
  <c r="R192" i="1"/>
  <c r="M192" i="1"/>
  <c r="L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V190" i="1"/>
  <c r="U190" i="1"/>
  <c r="S190" i="1"/>
  <c r="R190" i="1"/>
  <c r="K190" i="1"/>
  <c r="J190" i="1"/>
  <c r="I190" i="1"/>
  <c r="H190" i="1"/>
  <c r="G190" i="1"/>
  <c r="F190" i="1"/>
  <c r="X185" i="1"/>
  <c r="V185" i="1"/>
  <c r="U185" i="1"/>
  <c r="S185" i="1"/>
  <c r="R185" i="1"/>
  <c r="L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V183" i="1"/>
  <c r="U183" i="1"/>
  <c r="S183" i="1"/>
  <c r="R183" i="1"/>
  <c r="J183" i="1"/>
  <c r="I183" i="1"/>
  <c r="G183" i="1"/>
  <c r="F183" i="1"/>
  <c r="X179" i="1"/>
  <c r="V179" i="1"/>
  <c r="U179" i="1"/>
  <c r="S179" i="1"/>
  <c r="R179" i="1"/>
  <c r="M179" i="1"/>
  <c r="L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V177" i="1"/>
  <c r="U177" i="1"/>
  <c r="S177" i="1"/>
  <c r="R177" i="1"/>
  <c r="K177" i="1"/>
  <c r="J177" i="1"/>
  <c r="I177" i="1"/>
  <c r="H177" i="1"/>
  <c r="G177" i="1"/>
  <c r="F177" i="1"/>
  <c r="X172" i="1"/>
  <c r="V172" i="1"/>
  <c r="U172" i="1"/>
  <c r="S172" i="1"/>
  <c r="R172" i="1"/>
  <c r="L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V170" i="1"/>
  <c r="U170" i="1"/>
  <c r="S170" i="1"/>
  <c r="R170" i="1"/>
  <c r="J170" i="1"/>
  <c r="I170" i="1"/>
  <c r="G170" i="1"/>
  <c r="F170" i="1"/>
  <c r="X166" i="1"/>
  <c r="V166" i="1"/>
  <c r="U166" i="1"/>
  <c r="S166" i="1"/>
  <c r="R166" i="1"/>
  <c r="M166" i="1"/>
  <c r="L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V164" i="1"/>
  <c r="U164" i="1"/>
  <c r="S164" i="1"/>
  <c r="R164" i="1"/>
  <c r="K164" i="1"/>
  <c r="J164" i="1"/>
  <c r="I164" i="1"/>
  <c r="H164" i="1"/>
  <c r="G164" i="1"/>
  <c r="F164" i="1"/>
  <c r="X159" i="1"/>
  <c r="V159" i="1"/>
  <c r="U159" i="1"/>
  <c r="S159" i="1"/>
  <c r="R159" i="1"/>
  <c r="L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V157" i="1"/>
  <c r="U157" i="1"/>
  <c r="S157" i="1"/>
  <c r="R157" i="1"/>
  <c r="J157" i="1"/>
  <c r="I157" i="1"/>
  <c r="G157" i="1"/>
  <c r="F157" i="1"/>
  <c r="X153" i="1"/>
  <c r="V153" i="1"/>
  <c r="U153" i="1"/>
  <c r="S153" i="1"/>
  <c r="R153" i="1"/>
  <c r="M153" i="1"/>
  <c r="L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V151" i="1"/>
  <c r="U151" i="1"/>
  <c r="S151" i="1"/>
  <c r="R151" i="1"/>
  <c r="K151" i="1"/>
  <c r="J151" i="1"/>
  <c r="I151" i="1"/>
  <c r="H151" i="1"/>
  <c r="G151" i="1"/>
  <c r="F151" i="1"/>
  <c r="X146" i="1"/>
  <c r="V146" i="1"/>
  <c r="U146" i="1"/>
  <c r="S146" i="1"/>
  <c r="R146" i="1"/>
  <c r="L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V144" i="1"/>
  <c r="U144" i="1"/>
  <c r="S144" i="1"/>
  <c r="R144" i="1"/>
  <c r="J144" i="1"/>
  <c r="I144" i="1"/>
  <c r="G144" i="1"/>
  <c r="F144" i="1"/>
  <c r="X140" i="1"/>
  <c r="V140" i="1"/>
  <c r="U140" i="1"/>
  <c r="S140" i="1"/>
  <c r="R140" i="1"/>
  <c r="M140" i="1"/>
  <c r="L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V138" i="1"/>
  <c r="U138" i="1"/>
  <c r="S138" i="1"/>
  <c r="R138" i="1"/>
  <c r="K138" i="1"/>
  <c r="J138" i="1"/>
  <c r="I138" i="1"/>
  <c r="H138" i="1"/>
  <c r="G138" i="1"/>
  <c r="F138" i="1"/>
  <c r="X133" i="1"/>
  <c r="V133" i="1"/>
  <c r="U133" i="1"/>
  <c r="S133" i="1"/>
  <c r="R133" i="1"/>
  <c r="L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V131" i="1"/>
  <c r="U131" i="1"/>
  <c r="S131" i="1"/>
  <c r="R131" i="1"/>
  <c r="J131" i="1"/>
  <c r="I131" i="1"/>
  <c r="G131" i="1"/>
  <c r="F131" i="1"/>
  <c r="X127" i="1"/>
  <c r="V127" i="1"/>
  <c r="U127" i="1"/>
  <c r="S127" i="1"/>
  <c r="R127" i="1"/>
  <c r="M127" i="1"/>
  <c r="L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V125" i="1"/>
  <c r="U125" i="1"/>
  <c r="S125" i="1"/>
  <c r="R125" i="1"/>
  <c r="K125" i="1"/>
  <c r="J125" i="1"/>
  <c r="I125" i="1"/>
  <c r="H125" i="1"/>
  <c r="G125" i="1"/>
  <c r="F125" i="1"/>
  <c r="X120" i="1"/>
  <c r="V120" i="1"/>
  <c r="U120" i="1"/>
  <c r="S120" i="1"/>
  <c r="R120" i="1"/>
  <c r="L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V118" i="1"/>
  <c r="U118" i="1"/>
  <c r="S118" i="1"/>
  <c r="R118" i="1"/>
  <c r="J118" i="1"/>
  <c r="I118" i="1"/>
  <c r="G118" i="1"/>
  <c r="F118" i="1"/>
  <c r="X114" i="1"/>
  <c r="V114" i="1"/>
  <c r="U114" i="1"/>
  <c r="S114" i="1"/>
  <c r="R114" i="1"/>
  <c r="M114" i="1"/>
  <c r="L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V112" i="1"/>
  <c r="U112" i="1"/>
  <c r="S112" i="1"/>
  <c r="R112" i="1"/>
  <c r="K112" i="1"/>
  <c r="J112" i="1"/>
  <c r="I112" i="1"/>
  <c r="H112" i="1"/>
  <c r="G112" i="1"/>
  <c r="F112" i="1"/>
  <c r="X107" i="1"/>
  <c r="V107" i="1"/>
  <c r="U107" i="1"/>
  <c r="S107" i="1"/>
  <c r="R107" i="1"/>
  <c r="L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V105" i="1"/>
  <c r="U105" i="1"/>
  <c r="S105" i="1"/>
  <c r="R105" i="1"/>
  <c r="J105" i="1"/>
  <c r="I105" i="1"/>
  <c r="G105" i="1"/>
  <c r="F105" i="1"/>
  <c r="X101" i="1"/>
  <c r="V101" i="1"/>
  <c r="U101" i="1"/>
  <c r="S101" i="1"/>
  <c r="R101" i="1"/>
  <c r="M101" i="1"/>
  <c r="L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V99" i="1"/>
  <c r="U99" i="1"/>
  <c r="S99" i="1"/>
  <c r="R99" i="1"/>
  <c r="K99" i="1"/>
  <c r="J99" i="1"/>
  <c r="I99" i="1"/>
  <c r="H99" i="1"/>
  <c r="G99" i="1"/>
  <c r="F99" i="1"/>
  <c r="X94" i="1"/>
  <c r="V94" i="1"/>
  <c r="U94" i="1"/>
  <c r="S94" i="1"/>
  <c r="R94" i="1"/>
  <c r="L94" i="1"/>
  <c r="J94" i="1"/>
  <c r="I94" i="1"/>
  <c r="G94" i="1"/>
  <c r="F94" i="1"/>
  <c r="V93" i="1"/>
  <c r="U93" i="1"/>
  <c r="S93" i="1"/>
  <c r="R93" i="1"/>
  <c r="J93" i="1"/>
  <c r="I93" i="1"/>
  <c r="G93" i="1"/>
  <c r="F93" i="1"/>
  <c r="V92" i="1"/>
  <c r="U92" i="1"/>
  <c r="S92" i="1"/>
  <c r="R92" i="1"/>
  <c r="J92" i="1"/>
  <c r="I92" i="1"/>
  <c r="G92" i="1"/>
  <c r="F92" i="1"/>
  <c r="X88" i="1"/>
  <c r="V88" i="1"/>
  <c r="U88" i="1"/>
  <c r="S88" i="1"/>
  <c r="R88" i="1"/>
  <c r="M88" i="1"/>
  <c r="L88" i="1"/>
  <c r="K88" i="1"/>
  <c r="J88" i="1"/>
  <c r="I88" i="1"/>
  <c r="H88" i="1"/>
  <c r="G88" i="1"/>
  <c r="V87" i="1"/>
  <c r="U87" i="1"/>
  <c r="S87" i="1"/>
  <c r="R87" i="1"/>
  <c r="K87" i="1"/>
  <c r="J87" i="1"/>
  <c r="I87" i="1"/>
  <c r="H87" i="1"/>
  <c r="G87" i="1"/>
  <c r="F87" i="1"/>
  <c r="V86" i="1"/>
  <c r="U86" i="1"/>
  <c r="S86" i="1"/>
  <c r="R86" i="1"/>
  <c r="K86" i="1"/>
  <c r="J86" i="1"/>
  <c r="I86" i="1"/>
  <c r="H86" i="1"/>
  <c r="G86" i="1"/>
  <c r="F86" i="1"/>
  <c r="X81" i="1"/>
  <c r="V81" i="1"/>
  <c r="U81" i="1"/>
  <c r="S81" i="1"/>
  <c r="R81" i="1"/>
  <c r="L81" i="1"/>
  <c r="J81" i="1"/>
  <c r="I81" i="1"/>
  <c r="G81" i="1"/>
  <c r="F81" i="1"/>
  <c r="V80" i="1"/>
  <c r="U80" i="1"/>
  <c r="S80" i="1"/>
  <c r="R80" i="1"/>
  <c r="J80" i="1"/>
  <c r="I80" i="1"/>
  <c r="G80" i="1"/>
  <c r="F80" i="1"/>
  <c r="V79" i="1"/>
  <c r="U79" i="1"/>
  <c r="S79" i="1"/>
  <c r="R79" i="1"/>
  <c r="J79" i="1"/>
  <c r="I79" i="1"/>
  <c r="G79" i="1"/>
  <c r="F79" i="1"/>
  <c r="X75" i="1"/>
  <c r="V75" i="1"/>
  <c r="U75" i="1"/>
  <c r="S75" i="1"/>
  <c r="M75" i="1"/>
  <c r="L75" i="1"/>
  <c r="K75" i="1"/>
  <c r="J75" i="1"/>
  <c r="I75" i="1"/>
  <c r="H75" i="1"/>
  <c r="G75" i="1"/>
  <c r="V74" i="1"/>
  <c r="U74" i="1"/>
  <c r="S74" i="1"/>
  <c r="R74" i="1"/>
  <c r="K74" i="1"/>
  <c r="J74" i="1"/>
  <c r="I74" i="1"/>
  <c r="H74" i="1"/>
  <c r="G74" i="1"/>
  <c r="F74" i="1"/>
  <c r="V73" i="1"/>
  <c r="U73" i="1"/>
  <c r="S73" i="1"/>
  <c r="R73" i="1"/>
  <c r="K73" i="1"/>
  <c r="J73" i="1"/>
  <c r="I73" i="1"/>
  <c r="H73" i="1"/>
  <c r="G73" i="1"/>
  <c r="F73" i="1"/>
  <c r="X263" i="29"/>
  <c r="V263" i="29"/>
  <c r="U263" i="29"/>
  <c r="S263" i="29"/>
  <c r="R263" i="29"/>
  <c r="L263" i="29"/>
  <c r="J263" i="29"/>
  <c r="I263" i="29"/>
  <c r="G263" i="29"/>
  <c r="F263" i="29"/>
  <c r="V262" i="29"/>
  <c r="U262" i="29"/>
  <c r="S262" i="29"/>
  <c r="R262" i="29"/>
  <c r="J262" i="29"/>
  <c r="I262" i="29"/>
  <c r="G262" i="29"/>
  <c r="F262" i="29"/>
  <c r="V261" i="29"/>
  <c r="U261" i="29"/>
  <c r="S261" i="29"/>
  <c r="R261" i="29"/>
  <c r="J261" i="29"/>
  <c r="I261" i="29"/>
  <c r="G261" i="29"/>
  <c r="F261" i="29"/>
  <c r="X257" i="29"/>
  <c r="V257" i="29"/>
  <c r="U257" i="29"/>
  <c r="S257" i="29"/>
  <c r="R257" i="29"/>
  <c r="M257" i="29"/>
  <c r="L257" i="29"/>
  <c r="K257" i="29"/>
  <c r="J257" i="29"/>
  <c r="I257" i="29"/>
  <c r="H257" i="29"/>
  <c r="G257" i="29"/>
  <c r="F257" i="29"/>
  <c r="V256" i="29"/>
  <c r="U256" i="29"/>
  <c r="S256" i="29"/>
  <c r="R256" i="29"/>
  <c r="K256" i="29"/>
  <c r="J256" i="29"/>
  <c r="I256" i="29"/>
  <c r="H256" i="29"/>
  <c r="G256" i="29"/>
  <c r="F256" i="29"/>
  <c r="V255" i="29"/>
  <c r="U255" i="29"/>
  <c r="S255" i="29"/>
  <c r="R255" i="29"/>
  <c r="K255" i="29"/>
  <c r="J255" i="29"/>
  <c r="I255" i="29"/>
  <c r="H255" i="29"/>
  <c r="G255" i="29"/>
  <c r="F255" i="29"/>
  <c r="X250" i="29"/>
  <c r="V250" i="29"/>
  <c r="U250" i="29"/>
  <c r="S250" i="29"/>
  <c r="R250" i="29"/>
  <c r="L250" i="29"/>
  <c r="J250" i="29"/>
  <c r="I250" i="29"/>
  <c r="G250" i="29"/>
  <c r="F250" i="29"/>
  <c r="V249" i="29"/>
  <c r="U249" i="29"/>
  <c r="S249" i="29"/>
  <c r="R249" i="29"/>
  <c r="J249" i="29"/>
  <c r="I249" i="29"/>
  <c r="G249" i="29"/>
  <c r="F249" i="29"/>
  <c r="V248" i="29"/>
  <c r="U248" i="29"/>
  <c r="S248" i="29"/>
  <c r="R248" i="29"/>
  <c r="J248" i="29"/>
  <c r="I248" i="29"/>
  <c r="G248" i="29"/>
  <c r="F248" i="29"/>
  <c r="X244" i="29"/>
  <c r="V244" i="29"/>
  <c r="U244" i="29"/>
  <c r="S244" i="29"/>
  <c r="R244" i="29"/>
  <c r="M244" i="29"/>
  <c r="L244" i="29"/>
  <c r="K244" i="29"/>
  <c r="J244" i="29"/>
  <c r="I244" i="29"/>
  <c r="H244" i="29"/>
  <c r="G244" i="29"/>
  <c r="F244" i="29"/>
  <c r="V243" i="29"/>
  <c r="U243" i="29"/>
  <c r="S243" i="29"/>
  <c r="R243" i="29"/>
  <c r="K243" i="29"/>
  <c r="J243" i="29"/>
  <c r="I243" i="29"/>
  <c r="H243" i="29"/>
  <c r="G243" i="29"/>
  <c r="F243" i="29"/>
  <c r="V242" i="29"/>
  <c r="U242" i="29"/>
  <c r="S242" i="29"/>
  <c r="R242" i="29"/>
  <c r="K242" i="29"/>
  <c r="J242" i="29"/>
  <c r="I242" i="29"/>
  <c r="H242" i="29"/>
  <c r="G242" i="29"/>
  <c r="F242" i="29"/>
  <c r="X237" i="29"/>
  <c r="V237" i="29"/>
  <c r="U237" i="29"/>
  <c r="S237" i="29"/>
  <c r="R237" i="29"/>
  <c r="L237" i="29"/>
  <c r="J237" i="29"/>
  <c r="I237" i="29"/>
  <c r="G237" i="29"/>
  <c r="F237" i="29"/>
  <c r="V236" i="29"/>
  <c r="U236" i="29"/>
  <c r="S236" i="29"/>
  <c r="R236" i="29"/>
  <c r="J236" i="29"/>
  <c r="I236" i="29"/>
  <c r="G236" i="29"/>
  <c r="F236" i="29"/>
  <c r="V235" i="29"/>
  <c r="U235" i="29"/>
  <c r="S235" i="29"/>
  <c r="R235" i="29"/>
  <c r="J235" i="29"/>
  <c r="I235" i="29"/>
  <c r="G235" i="29"/>
  <c r="F235" i="29"/>
  <c r="X231" i="29"/>
  <c r="V231" i="29"/>
  <c r="U231" i="29"/>
  <c r="S231" i="29"/>
  <c r="R231" i="29"/>
  <c r="M231" i="29"/>
  <c r="L231" i="29"/>
  <c r="K231" i="29"/>
  <c r="J231" i="29"/>
  <c r="I231" i="29"/>
  <c r="H231" i="29"/>
  <c r="G231" i="29"/>
  <c r="F231" i="29"/>
  <c r="V230" i="29"/>
  <c r="U230" i="29"/>
  <c r="S230" i="29"/>
  <c r="R230" i="29"/>
  <c r="K230" i="29"/>
  <c r="J230" i="29"/>
  <c r="I230" i="29"/>
  <c r="H230" i="29"/>
  <c r="G230" i="29"/>
  <c r="F230" i="29"/>
  <c r="V229" i="29"/>
  <c r="U229" i="29"/>
  <c r="S229" i="29"/>
  <c r="R229" i="29"/>
  <c r="K229" i="29"/>
  <c r="J229" i="29"/>
  <c r="I229" i="29"/>
  <c r="H229" i="29"/>
  <c r="G229" i="29"/>
  <c r="F229" i="29"/>
  <c r="X224" i="29"/>
  <c r="V224" i="29"/>
  <c r="U224" i="29"/>
  <c r="S224" i="29"/>
  <c r="R224" i="29"/>
  <c r="L224" i="29"/>
  <c r="J224" i="29"/>
  <c r="I224" i="29"/>
  <c r="G224" i="29"/>
  <c r="F224" i="29"/>
  <c r="V223" i="29"/>
  <c r="U223" i="29"/>
  <c r="S223" i="29"/>
  <c r="R223" i="29"/>
  <c r="J223" i="29"/>
  <c r="I223" i="29"/>
  <c r="G223" i="29"/>
  <c r="F223" i="29"/>
  <c r="V222" i="29"/>
  <c r="U222" i="29"/>
  <c r="S222" i="29"/>
  <c r="R222" i="29"/>
  <c r="J222" i="29"/>
  <c r="I222" i="29"/>
  <c r="G222" i="29"/>
  <c r="F222" i="29"/>
  <c r="X218" i="29"/>
  <c r="V218" i="29"/>
  <c r="U218" i="29"/>
  <c r="S218" i="29"/>
  <c r="R218" i="29"/>
  <c r="M218" i="29"/>
  <c r="L218" i="29"/>
  <c r="K218" i="29"/>
  <c r="J218" i="29"/>
  <c r="I218" i="29"/>
  <c r="H218" i="29"/>
  <c r="G218" i="29"/>
  <c r="F218" i="29"/>
  <c r="V217" i="29"/>
  <c r="U217" i="29"/>
  <c r="S217" i="29"/>
  <c r="R217" i="29"/>
  <c r="K217" i="29"/>
  <c r="J217" i="29"/>
  <c r="I217" i="29"/>
  <c r="H217" i="29"/>
  <c r="G217" i="29"/>
  <c r="F217" i="29"/>
  <c r="V216" i="29"/>
  <c r="U216" i="29"/>
  <c r="S216" i="29"/>
  <c r="R216" i="29"/>
  <c r="K216" i="29"/>
  <c r="J216" i="29"/>
  <c r="I216" i="29"/>
  <c r="H216" i="29"/>
  <c r="G216" i="29"/>
  <c r="F216" i="29"/>
  <c r="X211" i="29"/>
  <c r="V211" i="29"/>
  <c r="U211" i="29"/>
  <c r="S211" i="29"/>
  <c r="R211" i="29"/>
  <c r="L211" i="29"/>
  <c r="J211" i="29"/>
  <c r="I211" i="29"/>
  <c r="G211" i="29"/>
  <c r="F211" i="29"/>
  <c r="V210" i="29"/>
  <c r="U210" i="29"/>
  <c r="S210" i="29"/>
  <c r="R210" i="29"/>
  <c r="J210" i="29"/>
  <c r="I210" i="29"/>
  <c r="G210" i="29"/>
  <c r="F210" i="29"/>
  <c r="V209" i="29"/>
  <c r="U209" i="29"/>
  <c r="S209" i="29"/>
  <c r="R209" i="29"/>
  <c r="J209" i="29"/>
  <c r="I209" i="29"/>
  <c r="G209" i="29"/>
  <c r="F209" i="29"/>
  <c r="X205" i="29"/>
  <c r="V205" i="29"/>
  <c r="U205" i="29"/>
  <c r="S205" i="29"/>
  <c r="R205" i="29"/>
  <c r="M205" i="29"/>
  <c r="L205" i="29"/>
  <c r="K205" i="29"/>
  <c r="J205" i="29"/>
  <c r="I205" i="29"/>
  <c r="H205" i="29"/>
  <c r="G205" i="29"/>
  <c r="F205" i="29"/>
  <c r="V204" i="29"/>
  <c r="U204" i="29"/>
  <c r="S204" i="29"/>
  <c r="R204" i="29"/>
  <c r="K204" i="29"/>
  <c r="J204" i="29"/>
  <c r="I204" i="29"/>
  <c r="H204" i="29"/>
  <c r="G204" i="29"/>
  <c r="F204" i="29"/>
  <c r="V203" i="29"/>
  <c r="U203" i="29"/>
  <c r="S203" i="29"/>
  <c r="R203" i="29"/>
  <c r="K203" i="29"/>
  <c r="J203" i="29"/>
  <c r="I203" i="29"/>
  <c r="H203" i="29"/>
  <c r="G203" i="29"/>
  <c r="F203" i="29"/>
  <c r="X198" i="29"/>
  <c r="V198" i="29"/>
  <c r="U198" i="29"/>
  <c r="S198" i="29"/>
  <c r="R198" i="29"/>
  <c r="L198" i="29"/>
  <c r="J198" i="29"/>
  <c r="I198" i="29"/>
  <c r="G198" i="29"/>
  <c r="F198" i="29"/>
  <c r="V197" i="29"/>
  <c r="U197" i="29"/>
  <c r="S197" i="29"/>
  <c r="R197" i="29"/>
  <c r="J197" i="29"/>
  <c r="I197" i="29"/>
  <c r="G197" i="29"/>
  <c r="F197" i="29"/>
  <c r="V196" i="29"/>
  <c r="U196" i="29"/>
  <c r="S196" i="29"/>
  <c r="R196" i="29"/>
  <c r="J196" i="29"/>
  <c r="I196" i="29"/>
  <c r="G196" i="29"/>
  <c r="F196" i="29"/>
  <c r="X192" i="29"/>
  <c r="V192" i="29"/>
  <c r="U192" i="29"/>
  <c r="S192" i="29"/>
  <c r="R192" i="29"/>
  <c r="M192" i="29"/>
  <c r="L192" i="29"/>
  <c r="K192" i="29"/>
  <c r="J192" i="29"/>
  <c r="I192" i="29"/>
  <c r="H192" i="29"/>
  <c r="G192" i="29"/>
  <c r="F192" i="29"/>
  <c r="V191" i="29"/>
  <c r="U191" i="29"/>
  <c r="S191" i="29"/>
  <c r="R191" i="29"/>
  <c r="K191" i="29"/>
  <c r="J191" i="29"/>
  <c r="I191" i="29"/>
  <c r="H191" i="29"/>
  <c r="G191" i="29"/>
  <c r="F191" i="29"/>
  <c r="V190" i="29"/>
  <c r="U190" i="29"/>
  <c r="S190" i="29"/>
  <c r="R190" i="29"/>
  <c r="K190" i="29"/>
  <c r="J190" i="29"/>
  <c r="I190" i="29"/>
  <c r="H190" i="29"/>
  <c r="G190" i="29"/>
  <c r="F190" i="29"/>
  <c r="X185" i="29"/>
  <c r="V185" i="29"/>
  <c r="U185" i="29"/>
  <c r="S185" i="29"/>
  <c r="R185" i="29"/>
  <c r="L185" i="29"/>
  <c r="J185" i="29"/>
  <c r="I185" i="29"/>
  <c r="G185" i="29"/>
  <c r="F185" i="29"/>
  <c r="V184" i="29"/>
  <c r="U184" i="29"/>
  <c r="S184" i="29"/>
  <c r="R184" i="29"/>
  <c r="J184" i="29"/>
  <c r="I184" i="29"/>
  <c r="G184" i="29"/>
  <c r="F184" i="29"/>
  <c r="V183" i="29"/>
  <c r="U183" i="29"/>
  <c r="S183" i="29"/>
  <c r="R183" i="29"/>
  <c r="J183" i="29"/>
  <c r="I183" i="29"/>
  <c r="G183" i="29"/>
  <c r="F183" i="29"/>
  <c r="X179" i="29"/>
  <c r="V179" i="29"/>
  <c r="U179" i="29"/>
  <c r="S179" i="29"/>
  <c r="R179" i="29"/>
  <c r="M179" i="29"/>
  <c r="L179" i="29"/>
  <c r="K179" i="29"/>
  <c r="J179" i="29"/>
  <c r="I179" i="29"/>
  <c r="H179" i="29"/>
  <c r="G179" i="29"/>
  <c r="F179" i="29"/>
  <c r="V178" i="29"/>
  <c r="U178" i="29"/>
  <c r="S178" i="29"/>
  <c r="R178" i="29"/>
  <c r="K178" i="29"/>
  <c r="J178" i="29"/>
  <c r="I178" i="29"/>
  <c r="H178" i="29"/>
  <c r="G178" i="29"/>
  <c r="F178" i="29"/>
  <c r="V177" i="29"/>
  <c r="U177" i="29"/>
  <c r="S177" i="29"/>
  <c r="R177" i="29"/>
  <c r="K177" i="29"/>
  <c r="J177" i="29"/>
  <c r="I177" i="29"/>
  <c r="H177" i="29"/>
  <c r="G177" i="29"/>
  <c r="F177" i="29"/>
  <c r="X172" i="29"/>
  <c r="V172" i="29"/>
  <c r="U172" i="29"/>
  <c r="S172" i="29"/>
  <c r="R172" i="29"/>
  <c r="L172" i="29"/>
  <c r="J172" i="29"/>
  <c r="I172" i="29"/>
  <c r="G172" i="29"/>
  <c r="F172" i="29"/>
  <c r="V171" i="29"/>
  <c r="U171" i="29"/>
  <c r="S171" i="29"/>
  <c r="R171" i="29"/>
  <c r="J171" i="29"/>
  <c r="I171" i="29"/>
  <c r="G171" i="29"/>
  <c r="F171" i="29"/>
  <c r="V170" i="29"/>
  <c r="U170" i="29"/>
  <c r="S170" i="29"/>
  <c r="R170" i="29"/>
  <c r="J170" i="29"/>
  <c r="I170" i="29"/>
  <c r="G170" i="29"/>
  <c r="F170" i="29"/>
  <c r="X166" i="29"/>
  <c r="V166" i="29"/>
  <c r="U166" i="29"/>
  <c r="S166" i="29"/>
  <c r="R166" i="29"/>
  <c r="M166" i="29"/>
  <c r="L166" i="29"/>
  <c r="K166" i="29"/>
  <c r="J166" i="29"/>
  <c r="I166" i="29"/>
  <c r="H166" i="29"/>
  <c r="G166" i="29"/>
  <c r="F166" i="29"/>
  <c r="V165" i="29"/>
  <c r="U165" i="29"/>
  <c r="S165" i="29"/>
  <c r="R165" i="29"/>
  <c r="K165" i="29"/>
  <c r="J165" i="29"/>
  <c r="I165" i="29"/>
  <c r="H165" i="29"/>
  <c r="G165" i="29"/>
  <c r="F165" i="29"/>
  <c r="V164" i="29"/>
  <c r="U164" i="29"/>
  <c r="S164" i="29"/>
  <c r="R164" i="29"/>
  <c r="K164" i="29"/>
  <c r="J164" i="29"/>
  <c r="I164" i="29"/>
  <c r="H164" i="29"/>
  <c r="G164" i="29"/>
  <c r="F164" i="29"/>
  <c r="X159" i="29"/>
  <c r="V159" i="29"/>
  <c r="U159" i="29"/>
  <c r="S159" i="29"/>
  <c r="R159" i="29"/>
  <c r="L159" i="29"/>
  <c r="J159" i="29"/>
  <c r="I159" i="29"/>
  <c r="G159" i="29"/>
  <c r="F159" i="29"/>
  <c r="V158" i="29"/>
  <c r="U158" i="29"/>
  <c r="S158" i="29"/>
  <c r="R158" i="29"/>
  <c r="J158" i="29"/>
  <c r="I158" i="29"/>
  <c r="G158" i="29"/>
  <c r="F158" i="29"/>
  <c r="V157" i="29"/>
  <c r="U157" i="29"/>
  <c r="S157" i="29"/>
  <c r="R157" i="29"/>
  <c r="J157" i="29"/>
  <c r="I157" i="29"/>
  <c r="G157" i="29"/>
  <c r="F157" i="29"/>
  <c r="X153" i="29"/>
  <c r="V153" i="29"/>
  <c r="U153" i="29"/>
  <c r="S153" i="29"/>
  <c r="R153" i="29"/>
  <c r="M153" i="29"/>
  <c r="L153" i="29"/>
  <c r="K153" i="29"/>
  <c r="J153" i="29"/>
  <c r="I153" i="29"/>
  <c r="H153" i="29"/>
  <c r="G153" i="29"/>
  <c r="F153" i="29"/>
  <c r="V152" i="29"/>
  <c r="U152" i="29"/>
  <c r="S152" i="29"/>
  <c r="R152" i="29"/>
  <c r="K152" i="29"/>
  <c r="J152" i="29"/>
  <c r="I152" i="29"/>
  <c r="H152" i="29"/>
  <c r="G152" i="29"/>
  <c r="F152" i="29"/>
  <c r="V151" i="29"/>
  <c r="U151" i="29"/>
  <c r="S151" i="29"/>
  <c r="R151" i="29"/>
  <c r="K151" i="29"/>
  <c r="J151" i="29"/>
  <c r="I151" i="29"/>
  <c r="H151" i="29"/>
  <c r="G151" i="29"/>
  <c r="F151" i="29"/>
  <c r="X146" i="29"/>
  <c r="V146" i="29"/>
  <c r="U146" i="29"/>
  <c r="S146" i="29"/>
  <c r="R146" i="29"/>
  <c r="L146" i="29"/>
  <c r="J146" i="29"/>
  <c r="I146" i="29"/>
  <c r="G146" i="29"/>
  <c r="F146" i="29"/>
  <c r="V145" i="29"/>
  <c r="U145" i="29"/>
  <c r="S145" i="29"/>
  <c r="R145" i="29"/>
  <c r="J145" i="29"/>
  <c r="I145" i="29"/>
  <c r="G145" i="29"/>
  <c r="F145" i="29"/>
  <c r="V144" i="29"/>
  <c r="U144" i="29"/>
  <c r="S144" i="29"/>
  <c r="R144" i="29"/>
  <c r="J144" i="29"/>
  <c r="I144" i="29"/>
  <c r="G144" i="29"/>
  <c r="F144" i="29"/>
  <c r="X140" i="29"/>
  <c r="V140" i="29"/>
  <c r="U140" i="29"/>
  <c r="S140" i="29"/>
  <c r="R140" i="29"/>
  <c r="M140" i="29"/>
  <c r="L140" i="29"/>
  <c r="K140" i="29"/>
  <c r="J140" i="29"/>
  <c r="I140" i="29"/>
  <c r="H140" i="29"/>
  <c r="G140" i="29"/>
  <c r="F140" i="29"/>
  <c r="V139" i="29"/>
  <c r="U139" i="29"/>
  <c r="S139" i="29"/>
  <c r="R139" i="29"/>
  <c r="K139" i="29"/>
  <c r="J139" i="29"/>
  <c r="I139" i="29"/>
  <c r="H139" i="29"/>
  <c r="G139" i="29"/>
  <c r="F139" i="29"/>
  <c r="V138" i="29"/>
  <c r="U138" i="29"/>
  <c r="S138" i="29"/>
  <c r="R138" i="29"/>
  <c r="K138" i="29"/>
  <c r="J138" i="29"/>
  <c r="I138" i="29"/>
  <c r="H138" i="29"/>
  <c r="G138" i="29"/>
  <c r="F138" i="29"/>
  <c r="X133" i="29"/>
  <c r="V133" i="29"/>
  <c r="U133" i="29"/>
  <c r="S133" i="29"/>
  <c r="R133" i="29"/>
  <c r="L133" i="29"/>
  <c r="J133" i="29"/>
  <c r="I133" i="29"/>
  <c r="G133" i="29"/>
  <c r="F133" i="29"/>
  <c r="V132" i="29"/>
  <c r="U132" i="29"/>
  <c r="S132" i="29"/>
  <c r="R132" i="29"/>
  <c r="J132" i="29"/>
  <c r="I132" i="29"/>
  <c r="G132" i="29"/>
  <c r="F132" i="29"/>
  <c r="V131" i="29"/>
  <c r="U131" i="29"/>
  <c r="S131" i="29"/>
  <c r="R131" i="29"/>
  <c r="J131" i="29"/>
  <c r="I131" i="29"/>
  <c r="G131" i="29"/>
  <c r="F131" i="29"/>
  <c r="X127" i="29"/>
  <c r="V127" i="29"/>
  <c r="U127" i="29"/>
  <c r="S127" i="29"/>
  <c r="R127" i="29"/>
  <c r="M127" i="29"/>
  <c r="L127" i="29"/>
  <c r="K127" i="29"/>
  <c r="J127" i="29"/>
  <c r="I127" i="29"/>
  <c r="H127" i="29"/>
  <c r="G127" i="29"/>
  <c r="F127" i="29"/>
  <c r="V126" i="29"/>
  <c r="U126" i="29"/>
  <c r="S126" i="29"/>
  <c r="R126" i="29"/>
  <c r="K126" i="29"/>
  <c r="J126" i="29"/>
  <c r="I126" i="29"/>
  <c r="H126" i="29"/>
  <c r="G126" i="29"/>
  <c r="F126" i="29"/>
  <c r="V125" i="29"/>
  <c r="U125" i="29"/>
  <c r="S125" i="29"/>
  <c r="R125" i="29"/>
  <c r="K125" i="29"/>
  <c r="J125" i="29"/>
  <c r="I125" i="29"/>
  <c r="H125" i="29"/>
  <c r="G125" i="29"/>
  <c r="F125" i="29"/>
  <c r="X120" i="29"/>
  <c r="V120" i="29"/>
  <c r="U120" i="29"/>
  <c r="S120" i="29"/>
  <c r="R120" i="29"/>
  <c r="L120" i="29"/>
  <c r="J120" i="29"/>
  <c r="I120" i="29"/>
  <c r="G120" i="29"/>
  <c r="F120" i="29"/>
  <c r="V119" i="29"/>
  <c r="U119" i="29"/>
  <c r="S119" i="29"/>
  <c r="R119" i="29"/>
  <c r="J119" i="29"/>
  <c r="I119" i="29"/>
  <c r="G119" i="29"/>
  <c r="F119" i="29"/>
  <c r="V118" i="29"/>
  <c r="U118" i="29"/>
  <c r="S118" i="29"/>
  <c r="R118" i="29"/>
  <c r="J118" i="29"/>
  <c r="I118" i="29"/>
  <c r="G118" i="29"/>
  <c r="F118" i="29"/>
  <c r="X114" i="29"/>
  <c r="V114" i="29"/>
  <c r="U114" i="29"/>
  <c r="S114" i="29"/>
  <c r="R114" i="29"/>
  <c r="M114" i="29"/>
  <c r="L114" i="29"/>
  <c r="K114" i="29"/>
  <c r="J114" i="29"/>
  <c r="I114" i="29"/>
  <c r="H114" i="29"/>
  <c r="G114" i="29"/>
  <c r="F114" i="29"/>
  <c r="V113" i="29"/>
  <c r="U113" i="29"/>
  <c r="S113" i="29"/>
  <c r="R113" i="29"/>
  <c r="K113" i="29"/>
  <c r="J113" i="29"/>
  <c r="I113" i="29"/>
  <c r="H113" i="29"/>
  <c r="G113" i="29"/>
  <c r="F113" i="29"/>
  <c r="V112" i="29"/>
  <c r="U112" i="29"/>
  <c r="S112" i="29"/>
  <c r="R112" i="29"/>
  <c r="K112" i="29"/>
  <c r="J112" i="29"/>
  <c r="I112" i="29"/>
  <c r="H112" i="29"/>
  <c r="G112" i="29"/>
  <c r="F112" i="29"/>
  <c r="X107" i="29"/>
  <c r="V107" i="29"/>
  <c r="U107" i="29"/>
  <c r="S107" i="29"/>
  <c r="R107" i="29"/>
  <c r="L107" i="29"/>
  <c r="J107" i="29"/>
  <c r="I107" i="29"/>
  <c r="G107" i="29"/>
  <c r="F107" i="29"/>
  <c r="V106" i="29"/>
  <c r="U106" i="29"/>
  <c r="S106" i="29"/>
  <c r="R106" i="29"/>
  <c r="J106" i="29"/>
  <c r="I106" i="29"/>
  <c r="G106" i="29"/>
  <c r="F106" i="29"/>
  <c r="V105" i="29"/>
  <c r="U105" i="29"/>
  <c r="S105" i="29"/>
  <c r="R105" i="29"/>
  <c r="J105" i="29"/>
  <c r="I105" i="29"/>
  <c r="G105" i="29"/>
  <c r="F105" i="29"/>
  <c r="X101" i="29"/>
  <c r="V101" i="29"/>
  <c r="U101" i="29"/>
  <c r="S101" i="29"/>
  <c r="R101" i="29"/>
  <c r="M101" i="29"/>
  <c r="L101" i="29"/>
  <c r="K101" i="29"/>
  <c r="J101" i="29"/>
  <c r="I101" i="29"/>
  <c r="H101" i="29"/>
  <c r="G101" i="29"/>
  <c r="F101" i="29"/>
  <c r="V100" i="29"/>
  <c r="U100" i="29"/>
  <c r="S100" i="29"/>
  <c r="R100" i="29"/>
  <c r="K100" i="29"/>
  <c r="J100" i="29"/>
  <c r="I100" i="29"/>
  <c r="H100" i="29"/>
  <c r="G100" i="29"/>
  <c r="F100" i="29"/>
  <c r="V99" i="29"/>
  <c r="U99" i="29"/>
  <c r="S99" i="29"/>
  <c r="R99" i="29"/>
  <c r="K99" i="29"/>
  <c r="J99" i="29"/>
  <c r="I99" i="29"/>
  <c r="H99" i="29"/>
  <c r="G99" i="29"/>
  <c r="F99" i="29"/>
  <c r="X94" i="29"/>
  <c r="V94" i="29"/>
  <c r="U94" i="29"/>
  <c r="S94" i="29"/>
  <c r="R94" i="29"/>
  <c r="L94" i="29"/>
  <c r="J94" i="29"/>
  <c r="I94" i="29"/>
  <c r="G94" i="29"/>
  <c r="F94" i="29"/>
  <c r="V93" i="29"/>
  <c r="U93" i="29"/>
  <c r="S93" i="29"/>
  <c r="R93" i="29"/>
  <c r="J93" i="29"/>
  <c r="I93" i="29"/>
  <c r="G93" i="29"/>
  <c r="F93" i="29"/>
  <c r="V92" i="29"/>
  <c r="U92" i="29"/>
  <c r="S92" i="29"/>
  <c r="R92" i="29"/>
  <c r="J92" i="29"/>
  <c r="I92" i="29"/>
  <c r="G92" i="29"/>
  <c r="F92" i="29"/>
  <c r="X88" i="29"/>
  <c r="V88" i="29"/>
  <c r="U88" i="29"/>
  <c r="S88" i="29"/>
  <c r="R88" i="29"/>
  <c r="M88" i="29"/>
  <c r="L88" i="29"/>
  <c r="K88" i="29"/>
  <c r="J88" i="29"/>
  <c r="I88" i="29"/>
  <c r="H88" i="29"/>
  <c r="G88" i="29"/>
  <c r="F88" i="29"/>
  <c r="V87" i="29"/>
  <c r="U87" i="29"/>
  <c r="S87" i="29"/>
  <c r="R87" i="29"/>
  <c r="K87" i="29"/>
  <c r="J87" i="29"/>
  <c r="I87" i="29"/>
  <c r="H87" i="29"/>
  <c r="G87" i="29"/>
  <c r="F87" i="29"/>
  <c r="V86" i="29"/>
  <c r="U86" i="29"/>
  <c r="S86" i="29"/>
  <c r="R86" i="29"/>
  <c r="K86" i="29"/>
  <c r="J86" i="29"/>
  <c r="I86" i="29"/>
  <c r="H86" i="29"/>
  <c r="G86" i="29"/>
  <c r="F86" i="29"/>
  <c r="X81" i="29"/>
  <c r="V81" i="29"/>
  <c r="U81" i="29"/>
  <c r="S81" i="29"/>
  <c r="R81" i="29"/>
  <c r="L81" i="29"/>
  <c r="J81" i="29"/>
  <c r="I81" i="29"/>
  <c r="G81" i="29"/>
  <c r="F81" i="29"/>
  <c r="V80" i="29"/>
  <c r="U80" i="29"/>
  <c r="S80" i="29"/>
  <c r="R80" i="29"/>
  <c r="J80" i="29"/>
  <c r="I80" i="29"/>
  <c r="G80" i="29"/>
  <c r="F80" i="29"/>
  <c r="V79" i="29"/>
  <c r="U79" i="29"/>
  <c r="S79" i="29"/>
  <c r="R79" i="29"/>
  <c r="J79" i="29"/>
  <c r="I79" i="29"/>
  <c r="G79" i="29"/>
  <c r="F79" i="29"/>
  <c r="X75" i="29"/>
  <c r="V75" i="29"/>
  <c r="U75" i="29"/>
  <c r="S75" i="29"/>
  <c r="R75" i="29"/>
  <c r="M75" i="29"/>
  <c r="L75" i="29"/>
  <c r="K75" i="29"/>
  <c r="J75" i="29"/>
  <c r="I75" i="29"/>
  <c r="H75" i="29"/>
  <c r="G75" i="29"/>
  <c r="F75" i="29"/>
  <c r="V74" i="29"/>
  <c r="U74" i="29"/>
  <c r="S74" i="29"/>
  <c r="R74" i="29"/>
  <c r="K74" i="29"/>
  <c r="J74" i="29"/>
  <c r="I74" i="29"/>
  <c r="H74" i="29"/>
  <c r="G74" i="29"/>
  <c r="F74" i="29"/>
  <c r="V73" i="29"/>
  <c r="U73" i="29"/>
  <c r="S73" i="29"/>
  <c r="R73" i="29"/>
  <c r="K73" i="29"/>
  <c r="J73" i="29"/>
  <c r="I73" i="29"/>
  <c r="H73" i="29"/>
  <c r="G73" i="29"/>
  <c r="F73" i="29"/>
  <c r="X263" i="5"/>
  <c r="V263" i="5"/>
  <c r="U263" i="5"/>
  <c r="S263" i="5"/>
  <c r="R263" i="5"/>
  <c r="L263" i="5"/>
  <c r="J263" i="5"/>
  <c r="I263" i="5"/>
  <c r="G263" i="5"/>
  <c r="F263" i="5"/>
  <c r="V262" i="5"/>
  <c r="U262" i="5"/>
  <c r="S262" i="5"/>
  <c r="R262" i="5"/>
  <c r="J262" i="5"/>
  <c r="I262" i="5"/>
  <c r="G262" i="5"/>
  <c r="F262" i="5"/>
  <c r="V261" i="5"/>
  <c r="U261" i="5"/>
  <c r="S261" i="5"/>
  <c r="R261" i="5"/>
  <c r="J261" i="5"/>
  <c r="I261" i="5"/>
  <c r="G261" i="5"/>
  <c r="F261" i="5"/>
  <c r="X257" i="5"/>
  <c r="V257" i="5"/>
  <c r="U257" i="5"/>
  <c r="S257" i="5"/>
  <c r="R257" i="5"/>
  <c r="M257" i="5"/>
  <c r="L257" i="5"/>
  <c r="K257" i="5"/>
  <c r="J257" i="5"/>
  <c r="I257" i="5"/>
  <c r="H257" i="5"/>
  <c r="G257" i="5"/>
  <c r="F257" i="5"/>
  <c r="V256" i="5"/>
  <c r="U256" i="5"/>
  <c r="S256" i="5"/>
  <c r="R256" i="5"/>
  <c r="K256" i="5"/>
  <c r="J256" i="5"/>
  <c r="I256" i="5"/>
  <c r="H256" i="5"/>
  <c r="G256" i="5"/>
  <c r="F256" i="5"/>
  <c r="V255" i="5"/>
  <c r="U255" i="5"/>
  <c r="S255" i="5"/>
  <c r="R255" i="5"/>
  <c r="K255" i="5"/>
  <c r="J255" i="5"/>
  <c r="I255" i="5"/>
  <c r="H255" i="5"/>
  <c r="G255" i="5"/>
  <c r="F255" i="5"/>
  <c r="X250" i="5"/>
  <c r="V250" i="5"/>
  <c r="U250" i="5"/>
  <c r="S250" i="5"/>
  <c r="R250" i="5"/>
  <c r="L250" i="5"/>
  <c r="J250" i="5"/>
  <c r="I250" i="5"/>
  <c r="G250" i="5"/>
  <c r="F250" i="5"/>
  <c r="V249" i="5"/>
  <c r="U249" i="5"/>
  <c r="S249" i="5"/>
  <c r="R249" i="5"/>
  <c r="J249" i="5"/>
  <c r="I249" i="5"/>
  <c r="G249" i="5"/>
  <c r="F249" i="5"/>
  <c r="V248" i="5"/>
  <c r="U248" i="5"/>
  <c r="S248" i="5"/>
  <c r="R248" i="5"/>
  <c r="J248" i="5"/>
  <c r="I248" i="5"/>
  <c r="G248" i="5"/>
  <c r="F248" i="5"/>
  <c r="X244" i="5"/>
  <c r="V244" i="5"/>
  <c r="U244" i="5"/>
  <c r="S244" i="5"/>
  <c r="R244" i="5"/>
  <c r="M244" i="5"/>
  <c r="L244" i="5"/>
  <c r="K244" i="5"/>
  <c r="J244" i="5"/>
  <c r="I244" i="5"/>
  <c r="H244" i="5"/>
  <c r="G244" i="5"/>
  <c r="F244" i="5"/>
  <c r="V243" i="5"/>
  <c r="U243" i="5"/>
  <c r="S243" i="5"/>
  <c r="R243" i="5"/>
  <c r="K243" i="5"/>
  <c r="J243" i="5"/>
  <c r="I243" i="5"/>
  <c r="H243" i="5"/>
  <c r="G243" i="5"/>
  <c r="F243" i="5"/>
  <c r="V242" i="5"/>
  <c r="U242" i="5"/>
  <c r="S242" i="5"/>
  <c r="R242" i="5"/>
  <c r="K242" i="5"/>
  <c r="J242" i="5"/>
  <c r="I242" i="5"/>
  <c r="H242" i="5"/>
  <c r="G242" i="5"/>
  <c r="F242" i="5"/>
  <c r="X237" i="5"/>
  <c r="V237" i="5"/>
  <c r="U237" i="5"/>
  <c r="S237" i="5"/>
  <c r="R237" i="5"/>
  <c r="L237" i="5"/>
  <c r="J237" i="5"/>
  <c r="I237" i="5"/>
  <c r="G237" i="5"/>
  <c r="F237" i="5"/>
  <c r="V236" i="5"/>
  <c r="U236" i="5"/>
  <c r="S236" i="5"/>
  <c r="R236" i="5"/>
  <c r="J236" i="5"/>
  <c r="I236" i="5"/>
  <c r="G236" i="5"/>
  <c r="F236" i="5"/>
  <c r="V235" i="5"/>
  <c r="U235" i="5"/>
  <c r="S235" i="5"/>
  <c r="R235" i="5"/>
  <c r="J235" i="5"/>
  <c r="I235" i="5"/>
  <c r="G235" i="5"/>
  <c r="F235" i="5"/>
  <c r="X231" i="5"/>
  <c r="V231" i="5"/>
  <c r="U231" i="5"/>
  <c r="S231" i="5"/>
  <c r="R231" i="5"/>
  <c r="M231" i="5"/>
  <c r="L231" i="5"/>
  <c r="K231" i="5"/>
  <c r="J231" i="5"/>
  <c r="I231" i="5"/>
  <c r="H231" i="5"/>
  <c r="G231" i="5"/>
  <c r="F231" i="5"/>
  <c r="V230" i="5"/>
  <c r="U230" i="5"/>
  <c r="S230" i="5"/>
  <c r="R230" i="5"/>
  <c r="K230" i="5"/>
  <c r="J230" i="5"/>
  <c r="I230" i="5"/>
  <c r="H230" i="5"/>
  <c r="G230" i="5"/>
  <c r="F230" i="5"/>
  <c r="V229" i="5"/>
  <c r="U229" i="5"/>
  <c r="S229" i="5"/>
  <c r="R229" i="5"/>
  <c r="K229" i="5"/>
  <c r="J229" i="5"/>
  <c r="I229" i="5"/>
  <c r="H229" i="5"/>
  <c r="G229" i="5"/>
  <c r="F229" i="5"/>
  <c r="X224" i="5"/>
  <c r="V224" i="5"/>
  <c r="U224" i="5"/>
  <c r="S224" i="5"/>
  <c r="R224" i="5"/>
  <c r="L224" i="5"/>
  <c r="J224" i="5"/>
  <c r="I224" i="5"/>
  <c r="G224" i="5"/>
  <c r="F224" i="5"/>
  <c r="V223" i="5"/>
  <c r="U223" i="5"/>
  <c r="S223" i="5"/>
  <c r="R223" i="5"/>
  <c r="J223" i="5"/>
  <c r="I223" i="5"/>
  <c r="G223" i="5"/>
  <c r="F223" i="5"/>
  <c r="V222" i="5"/>
  <c r="U222" i="5"/>
  <c r="S222" i="5"/>
  <c r="R222" i="5"/>
  <c r="J222" i="5"/>
  <c r="I222" i="5"/>
  <c r="G222" i="5"/>
  <c r="F222" i="5"/>
  <c r="X218" i="5"/>
  <c r="V218" i="5"/>
  <c r="U218" i="5"/>
  <c r="S218" i="5"/>
  <c r="R218" i="5"/>
  <c r="M218" i="5"/>
  <c r="L218" i="5"/>
  <c r="K218" i="5"/>
  <c r="J218" i="5"/>
  <c r="I218" i="5"/>
  <c r="H218" i="5"/>
  <c r="G218" i="5"/>
  <c r="F218" i="5"/>
  <c r="V217" i="5"/>
  <c r="U217" i="5"/>
  <c r="S217" i="5"/>
  <c r="R217" i="5"/>
  <c r="K217" i="5"/>
  <c r="J217" i="5"/>
  <c r="I217" i="5"/>
  <c r="H217" i="5"/>
  <c r="G217" i="5"/>
  <c r="F217" i="5"/>
  <c r="V216" i="5"/>
  <c r="U216" i="5"/>
  <c r="S216" i="5"/>
  <c r="R216" i="5"/>
  <c r="K216" i="5"/>
  <c r="J216" i="5"/>
  <c r="I216" i="5"/>
  <c r="H216" i="5"/>
  <c r="G216" i="5"/>
  <c r="F216" i="5"/>
  <c r="X211" i="5"/>
  <c r="V211" i="5"/>
  <c r="U211" i="5"/>
  <c r="S211" i="5"/>
  <c r="R211" i="5"/>
  <c r="L211" i="5"/>
  <c r="J211" i="5"/>
  <c r="I211" i="5"/>
  <c r="G211" i="5"/>
  <c r="F211" i="5"/>
  <c r="V210" i="5"/>
  <c r="U210" i="5"/>
  <c r="S210" i="5"/>
  <c r="R210" i="5"/>
  <c r="J210" i="5"/>
  <c r="I210" i="5"/>
  <c r="G210" i="5"/>
  <c r="F210" i="5"/>
  <c r="V209" i="5"/>
  <c r="U209" i="5"/>
  <c r="S209" i="5"/>
  <c r="R209" i="5"/>
  <c r="J209" i="5"/>
  <c r="I209" i="5"/>
  <c r="G209" i="5"/>
  <c r="F209" i="5"/>
  <c r="X205" i="5"/>
  <c r="V205" i="5"/>
  <c r="U205" i="5"/>
  <c r="S205" i="5"/>
  <c r="R205" i="5"/>
  <c r="M205" i="5"/>
  <c r="L205" i="5"/>
  <c r="K205" i="5"/>
  <c r="J205" i="5"/>
  <c r="I205" i="5"/>
  <c r="H205" i="5"/>
  <c r="G205" i="5"/>
  <c r="F205" i="5"/>
  <c r="V204" i="5"/>
  <c r="U204" i="5"/>
  <c r="S204" i="5"/>
  <c r="R204" i="5"/>
  <c r="K204" i="5"/>
  <c r="J204" i="5"/>
  <c r="I204" i="5"/>
  <c r="H204" i="5"/>
  <c r="G204" i="5"/>
  <c r="F204" i="5"/>
  <c r="V203" i="5"/>
  <c r="U203" i="5"/>
  <c r="S203" i="5"/>
  <c r="R203" i="5"/>
  <c r="K203" i="5"/>
  <c r="J203" i="5"/>
  <c r="I203" i="5"/>
  <c r="H203" i="5"/>
  <c r="G203" i="5"/>
  <c r="F203" i="5"/>
  <c r="X198" i="5"/>
  <c r="V198" i="5"/>
  <c r="U198" i="5"/>
  <c r="S198" i="5"/>
  <c r="R198" i="5"/>
  <c r="L198" i="5"/>
  <c r="J198" i="5"/>
  <c r="I198" i="5"/>
  <c r="G198" i="5"/>
  <c r="F198" i="5"/>
  <c r="V197" i="5"/>
  <c r="U197" i="5"/>
  <c r="S197" i="5"/>
  <c r="R197" i="5"/>
  <c r="J197" i="5"/>
  <c r="I197" i="5"/>
  <c r="G197" i="5"/>
  <c r="F197" i="5"/>
  <c r="V196" i="5"/>
  <c r="U196" i="5"/>
  <c r="S196" i="5"/>
  <c r="R196" i="5"/>
  <c r="J196" i="5"/>
  <c r="I196" i="5"/>
  <c r="G196" i="5"/>
  <c r="F196" i="5"/>
  <c r="X192" i="5"/>
  <c r="V192" i="5"/>
  <c r="U192" i="5"/>
  <c r="S192" i="5"/>
  <c r="R192" i="5"/>
  <c r="M192" i="5"/>
  <c r="L192" i="5"/>
  <c r="K192" i="5"/>
  <c r="J192" i="5"/>
  <c r="I192" i="5"/>
  <c r="H192" i="5"/>
  <c r="G192" i="5"/>
  <c r="F192" i="5"/>
  <c r="V191" i="5"/>
  <c r="U191" i="5"/>
  <c r="S191" i="5"/>
  <c r="R191" i="5"/>
  <c r="K191" i="5"/>
  <c r="J191" i="5"/>
  <c r="I191" i="5"/>
  <c r="H191" i="5"/>
  <c r="G191" i="5"/>
  <c r="F191" i="5"/>
  <c r="V190" i="5"/>
  <c r="U190" i="5"/>
  <c r="S190" i="5"/>
  <c r="R190" i="5"/>
  <c r="K190" i="5"/>
  <c r="J190" i="5"/>
  <c r="I190" i="5"/>
  <c r="H190" i="5"/>
  <c r="G190" i="5"/>
  <c r="F190" i="5"/>
  <c r="X185" i="5"/>
  <c r="V185" i="5"/>
  <c r="U185" i="5"/>
  <c r="S185" i="5"/>
  <c r="R185" i="5"/>
  <c r="L185" i="5"/>
  <c r="J185" i="5"/>
  <c r="I185" i="5"/>
  <c r="G185" i="5"/>
  <c r="F185" i="5"/>
  <c r="V184" i="5"/>
  <c r="U184" i="5"/>
  <c r="S184" i="5"/>
  <c r="R184" i="5"/>
  <c r="J184" i="5"/>
  <c r="I184" i="5"/>
  <c r="G184" i="5"/>
  <c r="F184" i="5"/>
  <c r="V183" i="5"/>
  <c r="U183" i="5"/>
  <c r="S183" i="5"/>
  <c r="R183" i="5"/>
  <c r="J183" i="5"/>
  <c r="I183" i="5"/>
  <c r="G183" i="5"/>
  <c r="F183" i="5"/>
  <c r="X179" i="5"/>
  <c r="V179" i="5"/>
  <c r="U179" i="5"/>
  <c r="S179" i="5"/>
  <c r="R179" i="5"/>
  <c r="M179" i="5"/>
  <c r="L179" i="5"/>
  <c r="K179" i="5"/>
  <c r="J179" i="5"/>
  <c r="I179" i="5"/>
  <c r="H179" i="5"/>
  <c r="G179" i="5"/>
  <c r="F179" i="5"/>
  <c r="V178" i="5"/>
  <c r="U178" i="5"/>
  <c r="S178" i="5"/>
  <c r="R178" i="5"/>
  <c r="K178" i="5"/>
  <c r="J178" i="5"/>
  <c r="I178" i="5"/>
  <c r="H178" i="5"/>
  <c r="G178" i="5"/>
  <c r="F178" i="5"/>
  <c r="V177" i="5"/>
  <c r="U177" i="5"/>
  <c r="S177" i="5"/>
  <c r="R177" i="5"/>
  <c r="K177" i="5"/>
  <c r="J177" i="5"/>
  <c r="I177" i="5"/>
  <c r="H177" i="5"/>
  <c r="G177" i="5"/>
  <c r="F177" i="5"/>
  <c r="X172" i="5"/>
  <c r="V172" i="5"/>
  <c r="U172" i="5"/>
  <c r="S172" i="5"/>
  <c r="R172" i="5"/>
  <c r="L172" i="5"/>
  <c r="J172" i="5"/>
  <c r="I172" i="5"/>
  <c r="G172" i="5"/>
  <c r="F172" i="5"/>
  <c r="V171" i="5"/>
  <c r="U171" i="5"/>
  <c r="S171" i="5"/>
  <c r="R171" i="5"/>
  <c r="J171" i="5"/>
  <c r="I171" i="5"/>
  <c r="G171" i="5"/>
  <c r="F171" i="5"/>
  <c r="V170" i="5"/>
  <c r="U170" i="5"/>
  <c r="S170" i="5"/>
  <c r="R170" i="5"/>
  <c r="J170" i="5"/>
  <c r="I170" i="5"/>
  <c r="G170" i="5"/>
  <c r="F170" i="5"/>
  <c r="X166" i="5"/>
  <c r="V166" i="5"/>
  <c r="U166" i="5"/>
  <c r="S166" i="5"/>
  <c r="R166" i="5"/>
  <c r="M166" i="5"/>
  <c r="L166" i="5"/>
  <c r="K166" i="5"/>
  <c r="J166" i="5"/>
  <c r="I166" i="5"/>
  <c r="H166" i="5"/>
  <c r="G166" i="5"/>
  <c r="F166" i="5"/>
  <c r="V165" i="5"/>
  <c r="U165" i="5"/>
  <c r="S165" i="5"/>
  <c r="R165" i="5"/>
  <c r="K165" i="5"/>
  <c r="J165" i="5"/>
  <c r="I165" i="5"/>
  <c r="H165" i="5"/>
  <c r="G165" i="5"/>
  <c r="F165" i="5"/>
  <c r="V164" i="5"/>
  <c r="U164" i="5"/>
  <c r="S164" i="5"/>
  <c r="R164" i="5"/>
  <c r="K164" i="5"/>
  <c r="J164" i="5"/>
  <c r="I164" i="5"/>
  <c r="H164" i="5"/>
  <c r="G164" i="5"/>
  <c r="F164" i="5"/>
  <c r="X159" i="5"/>
  <c r="V159" i="5"/>
  <c r="U159" i="5"/>
  <c r="S159" i="5"/>
  <c r="R159" i="5"/>
  <c r="L159" i="5"/>
  <c r="J159" i="5"/>
  <c r="I159" i="5"/>
  <c r="G159" i="5"/>
  <c r="F159" i="5"/>
  <c r="V158" i="5"/>
  <c r="U158" i="5"/>
  <c r="S158" i="5"/>
  <c r="R158" i="5"/>
  <c r="J158" i="5"/>
  <c r="I158" i="5"/>
  <c r="G158" i="5"/>
  <c r="F158" i="5"/>
  <c r="V157" i="5"/>
  <c r="U157" i="5"/>
  <c r="S157" i="5"/>
  <c r="R157" i="5"/>
  <c r="J157" i="5"/>
  <c r="I157" i="5"/>
  <c r="G157" i="5"/>
  <c r="F157" i="5"/>
  <c r="X153" i="5"/>
  <c r="V153" i="5"/>
  <c r="U153" i="5"/>
  <c r="S153" i="5"/>
  <c r="R153" i="5"/>
  <c r="M153" i="5"/>
  <c r="L153" i="5"/>
  <c r="K153" i="5"/>
  <c r="J153" i="5"/>
  <c r="I153" i="5"/>
  <c r="H153" i="5"/>
  <c r="G153" i="5"/>
  <c r="F153" i="5"/>
  <c r="V152" i="5"/>
  <c r="U152" i="5"/>
  <c r="S152" i="5"/>
  <c r="R152" i="5"/>
  <c r="K152" i="5"/>
  <c r="J152" i="5"/>
  <c r="I152" i="5"/>
  <c r="H152" i="5"/>
  <c r="G152" i="5"/>
  <c r="F152" i="5"/>
  <c r="V151" i="5"/>
  <c r="U151" i="5"/>
  <c r="S151" i="5"/>
  <c r="R151" i="5"/>
  <c r="K151" i="5"/>
  <c r="J151" i="5"/>
  <c r="I151" i="5"/>
  <c r="H151" i="5"/>
  <c r="G151" i="5"/>
  <c r="F151" i="5"/>
  <c r="X146" i="5"/>
  <c r="V146" i="5"/>
  <c r="U146" i="5"/>
  <c r="S146" i="5"/>
  <c r="R146" i="5"/>
  <c r="L146" i="5"/>
  <c r="J146" i="5"/>
  <c r="I146" i="5"/>
  <c r="G146" i="5"/>
  <c r="F146" i="5"/>
  <c r="V145" i="5"/>
  <c r="U145" i="5"/>
  <c r="S145" i="5"/>
  <c r="R145" i="5"/>
  <c r="J145" i="5"/>
  <c r="I145" i="5"/>
  <c r="G145" i="5"/>
  <c r="F145" i="5"/>
  <c r="V144" i="5"/>
  <c r="U144" i="5"/>
  <c r="S144" i="5"/>
  <c r="R144" i="5"/>
  <c r="J144" i="5"/>
  <c r="I144" i="5"/>
  <c r="G144" i="5"/>
  <c r="F144" i="5"/>
  <c r="X140" i="5"/>
  <c r="V140" i="5"/>
  <c r="U140" i="5"/>
  <c r="S140" i="5"/>
  <c r="R140" i="5"/>
  <c r="M140" i="5"/>
  <c r="L140" i="5"/>
  <c r="K140" i="5"/>
  <c r="J140" i="5"/>
  <c r="I140" i="5"/>
  <c r="H140" i="5"/>
  <c r="G140" i="5"/>
  <c r="F140" i="5"/>
  <c r="V139" i="5"/>
  <c r="U139" i="5"/>
  <c r="S139" i="5"/>
  <c r="R139" i="5"/>
  <c r="K139" i="5"/>
  <c r="J139" i="5"/>
  <c r="I139" i="5"/>
  <c r="H139" i="5"/>
  <c r="G139" i="5"/>
  <c r="F139" i="5"/>
  <c r="V138" i="5"/>
  <c r="U138" i="5"/>
  <c r="S138" i="5"/>
  <c r="R138" i="5"/>
  <c r="K138" i="5"/>
  <c r="J138" i="5"/>
  <c r="I138" i="5"/>
  <c r="H138" i="5"/>
  <c r="G138" i="5"/>
  <c r="F138" i="5"/>
  <c r="X133" i="5"/>
  <c r="V133" i="5"/>
  <c r="U133" i="5"/>
  <c r="S133" i="5"/>
  <c r="R133" i="5"/>
  <c r="L133" i="5"/>
  <c r="J133" i="5"/>
  <c r="I133" i="5"/>
  <c r="G133" i="5"/>
  <c r="F133" i="5"/>
  <c r="V132" i="5"/>
  <c r="U132" i="5"/>
  <c r="S132" i="5"/>
  <c r="R132" i="5"/>
  <c r="J132" i="5"/>
  <c r="I132" i="5"/>
  <c r="G132" i="5"/>
  <c r="F132" i="5"/>
  <c r="V131" i="5"/>
  <c r="U131" i="5"/>
  <c r="S131" i="5"/>
  <c r="R131" i="5"/>
  <c r="J131" i="5"/>
  <c r="I131" i="5"/>
  <c r="G131" i="5"/>
  <c r="F131" i="5"/>
  <c r="X127" i="5"/>
  <c r="V127" i="5"/>
  <c r="U127" i="5"/>
  <c r="S127" i="5"/>
  <c r="R127" i="5"/>
  <c r="M127" i="5"/>
  <c r="L127" i="5"/>
  <c r="K127" i="5"/>
  <c r="J127" i="5"/>
  <c r="I127" i="5"/>
  <c r="H127" i="5"/>
  <c r="G127" i="5"/>
  <c r="F127" i="5"/>
  <c r="V126" i="5"/>
  <c r="U126" i="5"/>
  <c r="S126" i="5"/>
  <c r="R126" i="5"/>
  <c r="K126" i="5"/>
  <c r="J126" i="5"/>
  <c r="I126" i="5"/>
  <c r="H126" i="5"/>
  <c r="G126" i="5"/>
  <c r="F126" i="5"/>
  <c r="V125" i="5"/>
  <c r="U125" i="5"/>
  <c r="S125" i="5"/>
  <c r="R125" i="5"/>
  <c r="K125" i="5"/>
  <c r="J125" i="5"/>
  <c r="I125" i="5"/>
  <c r="H125" i="5"/>
  <c r="G125" i="5"/>
  <c r="F125" i="5"/>
  <c r="X120" i="5"/>
  <c r="V120" i="5"/>
  <c r="U120" i="5"/>
  <c r="S120" i="5"/>
  <c r="R120" i="5"/>
  <c r="L120" i="5"/>
  <c r="J120" i="5"/>
  <c r="I120" i="5"/>
  <c r="G120" i="5"/>
  <c r="F120" i="5"/>
  <c r="V119" i="5"/>
  <c r="U119" i="5"/>
  <c r="S119" i="5"/>
  <c r="R119" i="5"/>
  <c r="J119" i="5"/>
  <c r="I119" i="5"/>
  <c r="G119" i="5"/>
  <c r="F119" i="5"/>
  <c r="V118" i="5"/>
  <c r="U118" i="5"/>
  <c r="S118" i="5"/>
  <c r="R118" i="5"/>
  <c r="J118" i="5"/>
  <c r="I118" i="5"/>
  <c r="G118" i="5"/>
  <c r="F118" i="5"/>
  <c r="X114" i="5"/>
  <c r="V114" i="5"/>
  <c r="U114" i="5"/>
  <c r="S114" i="5"/>
  <c r="R114" i="5"/>
  <c r="M114" i="5"/>
  <c r="L114" i="5"/>
  <c r="K114" i="5"/>
  <c r="J114" i="5"/>
  <c r="I114" i="5"/>
  <c r="H114" i="5"/>
  <c r="G114" i="5"/>
  <c r="F114" i="5"/>
  <c r="V113" i="5"/>
  <c r="U113" i="5"/>
  <c r="S113" i="5"/>
  <c r="R113" i="5"/>
  <c r="K113" i="5"/>
  <c r="J113" i="5"/>
  <c r="I113" i="5"/>
  <c r="H113" i="5"/>
  <c r="G113" i="5"/>
  <c r="F113" i="5"/>
  <c r="V112" i="5"/>
  <c r="U112" i="5"/>
  <c r="S112" i="5"/>
  <c r="R112" i="5"/>
  <c r="K112" i="5"/>
  <c r="J112" i="5"/>
  <c r="I112" i="5"/>
  <c r="H112" i="5"/>
  <c r="G112" i="5"/>
  <c r="F112" i="5"/>
  <c r="X107" i="5"/>
  <c r="V107" i="5"/>
  <c r="U107" i="5"/>
  <c r="S107" i="5"/>
  <c r="R107" i="5"/>
  <c r="L107" i="5"/>
  <c r="J107" i="5"/>
  <c r="I107" i="5"/>
  <c r="G107" i="5"/>
  <c r="F107" i="5"/>
  <c r="V106" i="5"/>
  <c r="U106" i="5"/>
  <c r="S106" i="5"/>
  <c r="R106" i="5"/>
  <c r="J106" i="5"/>
  <c r="I106" i="5"/>
  <c r="G106" i="5"/>
  <c r="F106" i="5"/>
  <c r="V105" i="5"/>
  <c r="U105" i="5"/>
  <c r="S105" i="5"/>
  <c r="R105" i="5"/>
  <c r="J105" i="5"/>
  <c r="I105" i="5"/>
  <c r="G105" i="5"/>
  <c r="F105" i="5"/>
  <c r="X101" i="5"/>
  <c r="V101" i="5"/>
  <c r="U101" i="5"/>
  <c r="S101" i="5"/>
  <c r="R101" i="5"/>
  <c r="M101" i="5"/>
  <c r="L101" i="5"/>
  <c r="K101" i="5"/>
  <c r="J101" i="5"/>
  <c r="I101" i="5"/>
  <c r="H101" i="5"/>
  <c r="G101" i="5"/>
  <c r="F101" i="5"/>
  <c r="V100" i="5"/>
  <c r="U100" i="5"/>
  <c r="S100" i="5"/>
  <c r="R100" i="5"/>
  <c r="K100" i="5"/>
  <c r="J100" i="5"/>
  <c r="I100" i="5"/>
  <c r="H100" i="5"/>
  <c r="G100" i="5"/>
  <c r="F100" i="5"/>
  <c r="V99" i="5"/>
  <c r="U99" i="5"/>
  <c r="S99" i="5"/>
  <c r="R99" i="5"/>
  <c r="K99" i="5"/>
  <c r="J99" i="5"/>
  <c r="I99" i="5"/>
  <c r="H99" i="5"/>
  <c r="G99" i="5"/>
  <c r="F99" i="5"/>
  <c r="X94" i="5"/>
  <c r="V94" i="5"/>
  <c r="U94" i="5"/>
  <c r="S94" i="5"/>
  <c r="R94" i="5"/>
  <c r="L94" i="5"/>
  <c r="J94" i="5"/>
  <c r="I94" i="5"/>
  <c r="G94" i="5"/>
  <c r="F94" i="5"/>
  <c r="V93" i="5"/>
  <c r="U93" i="5"/>
  <c r="S93" i="5"/>
  <c r="R93" i="5"/>
  <c r="J93" i="5"/>
  <c r="I93" i="5"/>
  <c r="G93" i="5"/>
  <c r="F93" i="5"/>
  <c r="V92" i="5"/>
  <c r="U92" i="5"/>
  <c r="S92" i="5"/>
  <c r="R92" i="5"/>
  <c r="J92" i="5"/>
  <c r="I92" i="5"/>
  <c r="G92" i="5"/>
  <c r="F92" i="5"/>
  <c r="X88" i="5"/>
  <c r="V88" i="5"/>
  <c r="U88" i="5"/>
  <c r="S88" i="5"/>
  <c r="R88" i="5"/>
  <c r="M88" i="5"/>
  <c r="L88" i="5"/>
  <c r="K88" i="5"/>
  <c r="J88" i="5"/>
  <c r="I88" i="5"/>
  <c r="H88" i="5"/>
  <c r="G88" i="5"/>
  <c r="F88" i="5"/>
  <c r="V87" i="5"/>
  <c r="U87" i="5"/>
  <c r="S87" i="5"/>
  <c r="R87" i="5"/>
  <c r="K87" i="5"/>
  <c r="J87" i="5"/>
  <c r="I87" i="5"/>
  <c r="H87" i="5"/>
  <c r="G87" i="5"/>
  <c r="F87" i="5"/>
  <c r="V86" i="5"/>
  <c r="U86" i="5"/>
  <c r="S86" i="5"/>
  <c r="R86" i="5"/>
  <c r="K86" i="5"/>
  <c r="J86" i="5"/>
  <c r="I86" i="5"/>
  <c r="H86" i="5"/>
  <c r="G86" i="5"/>
  <c r="F86" i="5"/>
  <c r="X81" i="5"/>
  <c r="V81" i="5"/>
  <c r="U81" i="5"/>
  <c r="S81" i="5"/>
  <c r="R81" i="5"/>
  <c r="L81" i="5"/>
  <c r="J81" i="5"/>
  <c r="I81" i="5"/>
  <c r="G81" i="5"/>
  <c r="F81" i="5"/>
  <c r="V80" i="5"/>
  <c r="U80" i="5"/>
  <c r="S80" i="5"/>
  <c r="R80" i="5"/>
  <c r="J80" i="5"/>
  <c r="I80" i="5"/>
  <c r="G80" i="5"/>
  <c r="F80" i="5"/>
  <c r="V79" i="5"/>
  <c r="U79" i="5"/>
  <c r="S79" i="5"/>
  <c r="R79" i="5"/>
  <c r="J79" i="5"/>
  <c r="I79" i="5"/>
  <c r="G79" i="5"/>
  <c r="F79" i="5"/>
  <c r="X75" i="5"/>
  <c r="V75" i="5"/>
  <c r="U75" i="5"/>
  <c r="S75" i="5"/>
  <c r="R75" i="5"/>
  <c r="M75" i="5"/>
  <c r="L75" i="5"/>
  <c r="K75" i="5"/>
  <c r="J75" i="5"/>
  <c r="I75" i="5"/>
  <c r="H75" i="5"/>
  <c r="G75" i="5"/>
  <c r="F75" i="5"/>
  <c r="V74" i="5"/>
  <c r="U74" i="5"/>
  <c r="S74" i="5"/>
  <c r="R74" i="5"/>
  <c r="K74" i="5"/>
  <c r="J74" i="5"/>
  <c r="I74" i="5"/>
  <c r="H74" i="5"/>
  <c r="G74" i="5"/>
  <c r="F74" i="5"/>
  <c r="V73" i="5"/>
  <c r="U73" i="5"/>
  <c r="S73" i="5"/>
  <c r="R73" i="5"/>
  <c r="K73" i="5"/>
  <c r="J73" i="5"/>
  <c r="I73" i="5"/>
  <c r="H73" i="5"/>
  <c r="G73" i="5"/>
  <c r="F73" i="5"/>
  <c r="X263" i="6"/>
  <c r="V263" i="6"/>
  <c r="U263" i="6"/>
  <c r="S263" i="6"/>
  <c r="R263" i="6"/>
  <c r="L263" i="6"/>
  <c r="J263" i="6"/>
  <c r="I263" i="6"/>
  <c r="G263" i="6"/>
  <c r="F263" i="6"/>
  <c r="V262" i="6"/>
  <c r="U262" i="6"/>
  <c r="S262" i="6"/>
  <c r="R262" i="6"/>
  <c r="J262" i="6"/>
  <c r="I262" i="6"/>
  <c r="G262" i="6"/>
  <c r="F262" i="6"/>
  <c r="V261" i="6"/>
  <c r="U261" i="6"/>
  <c r="S261" i="6"/>
  <c r="R261" i="6"/>
  <c r="J261" i="6"/>
  <c r="I261" i="6"/>
  <c r="G261" i="6"/>
  <c r="F261" i="6"/>
  <c r="X257" i="6"/>
  <c r="V257" i="6"/>
  <c r="U257" i="6"/>
  <c r="S257" i="6"/>
  <c r="R257" i="6"/>
  <c r="M257" i="6"/>
  <c r="L257" i="6"/>
  <c r="K257" i="6"/>
  <c r="J257" i="6"/>
  <c r="I257" i="6"/>
  <c r="H257" i="6"/>
  <c r="G257" i="6"/>
  <c r="F257" i="6"/>
  <c r="V256" i="6"/>
  <c r="U256" i="6"/>
  <c r="S256" i="6"/>
  <c r="R256" i="6"/>
  <c r="K256" i="6"/>
  <c r="J256" i="6"/>
  <c r="I256" i="6"/>
  <c r="H256" i="6"/>
  <c r="G256" i="6"/>
  <c r="F256" i="6"/>
  <c r="V255" i="6"/>
  <c r="U255" i="6"/>
  <c r="S255" i="6"/>
  <c r="R255" i="6"/>
  <c r="K255" i="6"/>
  <c r="J255" i="6"/>
  <c r="I255" i="6"/>
  <c r="H255" i="6"/>
  <c r="G255" i="6"/>
  <c r="F255" i="6"/>
  <c r="X250" i="6"/>
  <c r="V250" i="6"/>
  <c r="U250" i="6"/>
  <c r="S250" i="6"/>
  <c r="R250" i="6"/>
  <c r="L250" i="6"/>
  <c r="J250" i="6"/>
  <c r="I250" i="6"/>
  <c r="G250" i="6"/>
  <c r="F250" i="6"/>
  <c r="V249" i="6"/>
  <c r="U249" i="6"/>
  <c r="S249" i="6"/>
  <c r="R249" i="6"/>
  <c r="J249" i="6"/>
  <c r="I249" i="6"/>
  <c r="G249" i="6"/>
  <c r="F249" i="6"/>
  <c r="V248" i="6"/>
  <c r="U248" i="6"/>
  <c r="S248" i="6"/>
  <c r="R248" i="6"/>
  <c r="J248" i="6"/>
  <c r="I248" i="6"/>
  <c r="G248" i="6"/>
  <c r="F248" i="6"/>
  <c r="X244" i="6"/>
  <c r="V244" i="6"/>
  <c r="U244" i="6"/>
  <c r="S244" i="6"/>
  <c r="R244" i="6"/>
  <c r="M244" i="6"/>
  <c r="L244" i="6"/>
  <c r="K244" i="6"/>
  <c r="J244" i="6"/>
  <c r="I244" i="6"/>
  <c r="H244" i="6"/>
  <c r="G244" i="6"/>
  <c r="F244" i="6"/>
  <c r="V243" i="6"/>
  <c r="U243" i="6"/>
  <c r="S243" i="6"/>
  <c r="R243" i="6"/>
  <c r="K243" i="6"/>
  <c r="J243" i="6"/>
  <c r="I243" i="6"/>
  <c r="H243" i="6"/>
  <c r="G243" i="6"/>
  <c r="F243" i="6"/>
  <c r="V242" i="6"/>
  <c r="U242" i="6"/>
  <c r="S242" i="6"/>
  <c r="R242" i="6"/>
  <c r="K242" i="6"/>
  <c r="J242" i="6"/>
  <c r="I242" i="6"/>
  <c r="H242" i="6"/>
  <c r="G242" i="6"/>
  <c r="F242" i="6"/>
  <c r="X237" i="6"/>
  <c r="V237" i="6"/>
  <c r="U237" i="6"/>
  <c r="S237" i="6"/>
  <c r="R237" i="6"/>
  <c r="L237" i="6"/>
  <c r="J237" i="6"/>
  <c r="I237" i="6"/>
  <c r="G237" i="6"/>
  <c r="F237" i="6"/>
  <c r="V236" i="6"/>
  <c r="U236" i="6"/>
  <c r="S236" i="6"/>
  <c r="R236" i="6"/>
  <c r="J236" i="6"/>
  <c r="I236" i="6"/>
  <c r="G236" i="6"/>
  <c r="F236" i="6"/>
  <c r="V235" i="6"/>
  <c r="U235" i="6"/>
  <c r="S235" i="6"/>
  <c r="R235" i="6"/>
  <c r="J235" i="6"/>
  <c r="I235" i="6"/>
  <c r="G235" i="6"/>
  <c r="F235" i="6"/>
  <c r="X231" i="6"/>
  <c r="V231" i="6"/>
  <c r="U231" i="6"/>
  <c r="S231" i="6"/>
  <c r="R231" i="6"/>
  <c r="M231" i="6"/>
  <c r="L231" i="6"/>
  <c r="K231" i="6"/>
  <c r="J231" i="6"/>
  <c r="I231" i="6"/>
  <c r="H231" i="6"/>
  <c r="G231" i="6"/>
  <c r="F231" i="6"/>
  <c r="V230" i="6"/>
  <c r="U230" i="6"/>
  <c r="S230" i="6"/>
  <c r="R230" i="6"/>
  <c r="K230" i="6"/>
  <c r="J230" i="6"/>
  <c r="I230" i="6"/>
  <c r="H230" i="6"/>
  <c r="G230" i="6"/>
  <c r="F230" i="6"/>
  <c r="V229" i="6"/>
  <c r="U229" i="6"/>
  <c r="S229" i="6"/>
  <c r="R229" i="6"/>
  <c r="K229" i="6"/>
  <c r="J229" i="6"/>
  <c r="I229" i="6"/>
  <c r="H229" i="6"/>
  <c r="G229" i="6"/>
  <c r="F229" i="6"/>
  <c r="X224" i="6"/>
  <c r="V224" i="6"/>
  <c r="U224" i="6"/>
  <c r="S224" i="6"/>
  <c r="R224" i="6"/>
  <c r="L224" i="6"/>
  <c r="J224" i="6"/>
  <c r="I224" i="6"/>
  <c r="G224" i="6"/>
  <c r="F224" i="6"/>
  <c r="V223" i="6"/>
  <c r="U223" i="6"/>
  <c r="S223" i="6"/>
  <c r="R223" i="6"/>
  <c r="J223" i="6"/>
  <c r="I223" i="6"/>
  <c r="G223" i="6"/>
  <c r="F223" i="6"/>
  <c r="V222" i="6"/>
  <c r="U222" i="6"/>
  <c r="S222" i="6"/>
  <c r="R222" i="6"/>
  <c r="J222" i="6"/>
  <c r="I222" i="6"/>
  <c r="G222" i="6"/>
  <c r="F222" i="6"/>
  <c r="X218" i="6"/>
  <c r="V218" i="6"/>
  <c r="U218" i="6"/>
  <c r="S218" i="6"/>
  <c r="R218" i="6"/>
  <c r="M218" i="6"/>
  <c r="L218" i="6"/>
  <c r="K218" i="6"/>
  <c r="J218" i="6"/>
  <c r="I218" i="6"/>
  <c r="H218" i="6"/>
  <c r="G218" i="6"/>
  <c r="F218" i="6"/>
  <c r="V217" i="6"/>
  <c r="U217" i="6"/>
  <c r="S217" i="6"/>
  <c r="R217" i="6"/>
  <c r="K217" i="6"/>
  <c r="J217" i="6"/>
  <c r="I217" i="6"/>
  <c r="H217" i="6"/>
  <c r="G217" i="6"/>
  <c r="F217" i="6"/>
  <c r="V216" i="6"/>
  <c r="U216" i="6"/>
  <c r="S216" i="6"/>
  <c r="R216" i="6"/>
  <c r="K216" i="6"/>
  <c r="J216" i="6"/>
  <c r="I216" i="6"/>
  <c r="H216" i="6"/>
  <c r="G216" i="6"/>
  <c r="F216" i="6"/>
  <c r="X211" i="6"/>
  <c r="V211" i="6"/>
  <c r="U211" i="6"/>
  <c r="S211" i="6"/>
  <c r="R211" i="6"/>
  <c r="L211" i="6"/>
  <c r="J211" i="6"/>
  <c r="I211" i="6"/>
  <c r="G211" i="6"/>
  <c r="F211" i="6"/>
  <c r="V210" i="6"/>
  <c r="U210" i="6"/>
  <c r="S210" i="6"/>
  <c r="R210" i="6"/>
  <c r="J210" i="6"/>
  <c r="I210" i="6"/>
  <c r="G210" i="6"/>
  <c r="F210" i="6"/>
  <c r="V209" i="6"/>
  <c r="U209" i="6"/>
  <c r="S209" i="6"/>
  <c r="R209" i="6"/>
  <c r="J209" i="6"/>
  <c r="I209" i="6"/>
  <c r="G209" i="6"/>
  <c r="F209" i="6"/>
  <c r="X205" i="6"/>
  <c r="V205" i="6"/>
  <c r="U205" i="6"/>
  <c r="S205" i="6"/>
  <c r="R205" i="6"/>
  <c r="M205" i="6"/>
  <c r="L205" i="6"/>
  <c r="K205" i="6"/>
  <c r="J205" i="6"/>
  <c r="I205" i="6"/>
  <c r="H205" i="6"/>
  <c r="G205" i="6"/>
  <c r="F205" i="6"/>
  <c r="V204" i="6"/>
  <c r="U204" i="6"/>
  <c r="S204" i="6"/>
  <c r="R204" i="6"/>
  <c r="K204" i="6"/>
  <c r="J204" i="6"/>
  <c r="I204" i="6"/>
  <c r="H204" i="6"/>
  <c r="G204" i="6"/>
  <c r="F204" i="6"/>
  <c r="V203" i="6"/>
  <c r="U203" i="6"/>
  <c r="S203" i="6"/>
  <c r="R203" i="6"/>
  <c r="K203" i="6"/>
  <c r="J203" i="6"/>
  <c r="I203" i="6"/>
  <c r="H203" i="6"/>
  <c r="G203" i="6"/>
  <c r="F203" i="6"/>
  <c r="X198" i="6"/>
  <c r="V198" i="6"/>
  <c r="U198" i="6"/>
  <c r="S198" i="6"/>
  <c r="R198" i="6"/>
  <c r="L198" i="6"/>
  <c r="J198" i="6"/>
  <c r="I198" i="6"/>
  <c r="G198" i="6"/>
  <c r="F198" i="6"/>
  <c r="V197" i="6"/>
  <c r="U197" i="6"/>
  <c r="S197" i="6"/>
  <c r="R197" i="6"/>
  <c r="J197" i="6"/>
  <c r="I197" i="6"/>
  <c r="G197" i="6"/>
  <c r="F197" i="6"/>
  <c r="V196" i="6"/>
  <c r="U196" i="6"/>
  <c r="S196" i="6"/>
  <c r="R196" i="6"/>
  <c r="J196" i="6"/>
  <c r="I196" i="6"/>
  <c r="G196" i="6"/>
  <c r="F196" i="6"/>
  <c r="X192" i="6"/>
  <c r="V192" i="6"/>
  <c r="U192" i="6"/>
  <c r="S192" i="6"/>
  <c r="R192" i="6"/>
  <c r="M192" i="6"/>
  <c r="L192" i="6"/>
  <c r="K192" i="6"/>
  <c r="J192" i="6"/>
  <c r="I192" i="6"/>
  <c r="H192" i="6"/>
  <c r="G192" i="6"/>
  <c r="F192" i="6"/>
  <c r="V191" i="6"/>
  <c r="U191" i="6"/>
  <c r="S191" i="6"/>
  <c r="R191" i="6"/>
  <c r="K191" i="6"/>
  <c r="J191" i="6"/>
  <c r="I191" i="6"/>
  <c r="H191" i="6"/>
  <c r="G191" i="6"/>
  <c r="F191" i="6"/>
  <c r="V190" i="6"/>
  <c r="U190" i="6"/>
  <c r="S190" i="6"/>
  <c r="R190" i="6"/>
  <c r="K190" i="6"/>
  <c r="J190" i="6"/>
  <c r="I190" i="6"/>
  <c r="H190" i="6"/>
  <c r="G190" i="6"/>
  <c r="F190" i="6"/>
  <c r="X185" i="6"/>
  <c r="V185" i="6"/>
  <c r="U185" i="6"/>
  <c r="S185" i="6"/>
  <c r="R185" i="6"/>
  <c r="L185" i="6"/>
  <c r="J185" i="6"/>
  <c r="I185" i="6"/>
  <c r="G185" i="6"/>
  <c r="F185" i="6"/>
  <c r="V184" i="6"/>
  <c r="U184" i="6"/>
  <c r="S184" i="6"/>
  <c r="R184" i="6"/>
  <c r="J184" i="6"/>
  <c r="I184" i="6"/>
  <c r="G184" i="6"/>
  <c r="F184" i="6"/>
  <c r="V183" i="6"/>
  <c r="U183" i="6"/>
  <c r="S183" i="6"/>
  <c r="R183" i="6"/>
  <c r="J183" i="6"/>
  <c r="I183" i="6"/>
  <c r="G183" i="6"/>
  <c r="F183" i="6"/>
  <c r="X179" i="6"/>
  <c r="V179" i="6"/>
  <c r="U179" i="6"/>
  <c r="S179" i="6"/>
  <c r="R179" i="6"/>
  <c r="M179" i="6"/>
  <c r="L179" i="6"/>
  <c r="K179" i="6"/>
  <c r="J179" i="6"/>
  <c r="I179" i="6"/>
  <c r="H179" i="6"/>
  <c r="G179" i="6"/>
  <c r="F179" i="6"/>
  <c r="V178" i="6"/>
  <c r="U178" i="6"/>
  <c r="S178" i="6"/>
  <c r="R178" i="6"/>
  <c r="K178" i="6"/>
  <c r="J178" i="6"/>
  <c r="I178" i="6"/>
  <c r="H178" i="6"/>
  <c r="G178" i="6"/>
  <c r="F178" i="6"/>
  <c r="V177" i="6"/>
  <c r="U177" i="6"/>
  <c r="S177" i="6"/>
  <c r="R177" i="6"/>
  <c r="K177" i="6"/>
  <c r="J177" i="6"/>
  <c r="I177" i="6"/>
  <c r="H177" i="6"/>
  <c r="G177" i="6"/>
  <c r="F177" i="6"/>
  <c r="X172" i="6"/>
  <c r="V172" i="6"/>
  <c r="U172" i="6"/>
  <c r="S172" i="6"/>
  <c r="R172" i="6"/>
  <c r="L172" i="6"/>
  <c r="J172" i="6"/>
  <c r="I172" i="6"/>
  <c r="G172" i="6"/>
  <c r="F172" i="6"/>
  <c r="V171" i="6"/>
  <c r="U171" i="6"/>
  <c r="S171" i="6"/>
  <c r="R171" i="6"/>
  <c r="J171" i="6"/>
  <c r="I171" i="6"/>
  <c r="G171" i="6"/>
  <c r="F171" i="6"/>
  <c r="V170" i="6"/>
  <c r="U170" i="6"/>
  <c r="S170" i="6"/>
  <c r="R170" i="6"/>
  <c r="J170" i="6"/>
  <c r="I170" i="6"/>
  <c r="G170" i="6"/>
  <c r="F170" i="6"/>
  <c r="X166" i="6"/>
  <c r="V166" i="6"/>
  <c r="U166" i="6"/>
  <c r="S166" i="6"/>
  <c r="R166" i="6"/>
  <c r="M166" i="6"/>
  <c r="L166" i="6"/>
  <c r="K166" i="6"/>
  <c r="J166" i="6"/>
  <c r="I166" i="6"/>
  <c r="H166" i="6"/>
  <c r="G166" i="6"/>
  <c r="F166" i="6"/>
  <c r="V165" i="6"/>
  <c r="U165" i="6"/>
  <c r="S165" i="6"/>
  <c r="R165" i="6"/>
  <c r="K165" i="6"/>
  <c r="J165" i="6"/>
  <c r="I165" i="6"/>
  <c r="H165" i="6"/>
  <c r="G165" i="6"/>
  <c r="F165" i="6"/>
  <c r="V164" i="6"/>
  <c r="U164" i="6"/>
  <c r="S164" i="6"/>
  <c r="R164" i="6"/>
  <c r="K164" i="6"/>
  <c r="J164" i="6"/>
  <c r="I164" i="6"/>
  <c r="H164" i="6"/>
  <c r="G164" i="6"/>
  <c r="F164" i="6"/>
  <c r="X159" i="6"/>
  <c r="V159" i="6"/>
  <c r="U159" i="6"/>
  <c r="S159" i="6"/>
  <c r="R159" i="6"/>
  <c r="L159" i="6"/>
  <c r="J159" i="6"/>
  <c r="I159" i="6"/>
  <c r="G159" i="6"/>
  <c r="F159" i="6"/>
  <c r="V158" i="6"/>
  <c r="U158" i="6"/>
  <c r="S158" i="6"/>
  <c r="R158" i="6"/>
  <c r="J158" i="6"/>
  <c r="I158" i="6"/>
  <c r="G158" i="6"/>
  <c r="F158" i="6"/>
  <c r="V157" i="6"/>
  <c r="U157" i="6"/>
  <c r="S157" i="6"/>
  <c r="R157" i="6"/>
  <c r="J157" i="6"/>
  <c r="I157" i="6"/>
  <c r="G157" i="6"/>
  <c r="F157" i="6"/>
  <c r="X153" i="6"/>
  <c r="V153" i="6"/>
  <c r="U153" i="6"/>
  <c r="S153" i="6"/>
  <c r="R153" i="6"/>
  <c r="M153" i="6"/>
  <c r="L153" i="6"/>
  <c r="K153" i="6"/>
  <c r="J153" i="6"/>
  <c r="I153" i="6"/>
  <c r="H153" i="6"/>
  <c r="G153" i="6"/>
  <c r="F153" i="6"/>
  <c r="V152" i="6"/>
  <c r="U152" i="6"/>
  <c r="S152" i="6"/>
  <c r="R152" i="6"/>
  <c r="K152" i="6"/>
  <c r="J152" i="6"/>
  <c r="I152" i="6"/>
  <c r="H152" i="6"/>
  <c r="G152" i="6"/>
  <c r="F152" i="6"/>
  <c r="V151" i="6"/>
  <c r="U151" i="6"/>
  <c r="S151" i="6"/>
  <c r="R151" i="6"/>
  <c r="K151" i="6"/>
  <c r="J151" i="6"/>
  <c r="I151" i="6"/>
  <c r="H151" i="6"/>
  <c r="G151" i="6"/>
  <c r="F151" i="6"/>
  <c r="X146" i="6"/>
  <c r="V146" i="6"/>
  <c r="U146" i="6"/>
  <c r="S146" i="6"/>
  <c r="R146" i="6"/>
  <c r="L146" i="6"/>
  <c r="J146" i="6"/>
  <c r="I146" i="6"/>
  <c r="G146" i="6"/>
  <c r="F146" i="6"/>
  <c r="V145" i="6"/>
  <c r="U145" i="6"/>
  <c r="S145" i="6"/>
  <c r="R145" i="6"/>
  <c r="J145" i="6"/>
  <c r="I145" i="6"/>
  <c r="G145" i="6"/>
  <c r="F145" i="6"/>
  <c r="V144" i="6"/>
  <c r="U144" i="6"/>
  <c r="S144" i="6"/>
  <c r="R144" i="6"/>
  <c r="J144" i="6"/>
  <c r="I144" i="6"/>
  <c r="G144" i="6"/>
  <c r="F144" i="6"/>
  <c r="X140" i="6"/>
  <c r="V140" i="6"/>
  <c r="U140" i="6"/>
  <c r="S140" i="6"/>
  <c r="R140" i="6"/>
  <c r="M140" i="6"/>
  <c r="L140" i="6"/>
  <c r="K140" i="6"/>
  <c r="J140" i="6"/>
  <c r="I140" i="6"/>
  <c r="H140" i="6"/>
  <c r="G140" i="6"/>
  <c r="F140" i="6"/>
  <c r="V139" i="6"/>
  <c r="U139" i="6"/>
  <c r="S139" i="6"/>
  <c r="R139" i="6"/>
  <c r="K139" i="6"/>
  <c r="J139" i="6"/>
  <c r="I139" i="6"/>
  <c r="H139" i="6"/>
  <c r="G139" i="6"/>
  <c r="F139" i="6"/>
  <c r="V138" i="6"/>
  <c r="U138" i="6"/>
  <c r="S138" i="6"/>
  <c r="R138" i="6"/>
  <c r="K138" i="6"/>
  <c r="J138" i="6"/>
  <c r="I138" i="6"/>
  <c r="H138" i="6"/>
  <c r="G138" i="6"/>
  <c r="F138" i="6"/>
  <c r="X133" i="6"/>
  <c r="V133" i="6"/>
  <c r="U133" i="6"/>
  <c r="S133" i="6"/>
  <c r="R133" i="6"/>
  <c r="L133" i="6"/>
  <c r="J133" i="6"/>
  <c r="I133" i="6"/>
  <c r="G133" i="6"/>
  <c r="F133" i="6"/>
  <c r="V132" i="6"/>
  <c r="U132" i="6"/>
  <c r="S132" i="6"/>
  <c r="R132" i="6"/>
  <c r="J132" i="6"/>
  <c r="I132" i="6"/>
  <c r="G132" i="6"/>
  <c r="F132" i="6"/>
  <c r="V131" i="6"/>
  <c r="U131" i="6"/>
  <c r="S131" i="6"/>
  <c r="R131" i="6"/>
  <c r="J131" i="6"/>
  <c r="I131" i="6"/>
  <c r="G131" i="6"/>
  <c r="F131" i="6"/>
  <c r="X127" i="6"/>
  <c r="V127" i="6"/>
  <c r="U127" i="6"/>
  <c r="S127" i="6"/>
  <c r="R127" i="6"/>
  <c r="M127" i="6"/>
  <c r="L127" i="6"/>
  <c r="K127" i="6"/>
  <c r="J127" i="6"/>
  <c r="I127" i="6"/>
  <c r="H127" i="6"/>
  <c r="G127" i="6"/>
  <c r="F127" i="6"/>
  <c r="V126" i="6"/>
  <c r="U126" i="6"/>
  <c r="S126" i="6"/>
  <c r="R126" i="6"/>
  <c r="K126" i="6"/>
  <c r="J126" i="6"/>
  <c r="I126" i="6"/>
  <c r="H126" i="6"/>
  <c r="G126" i="6"/>
  <c r="F126" i="6"/>
  <c r="V125" i="6"/>
  <c r="U125" i="6"/>
  <c r="S125" i="6"/>
  <c r="R125" i="6"/>
  <c r="K125" i="6"/>
  <c r="J125" i="6"/>
  <c r="I125" i="6"/>
  <c r="H125" i="6"/>
  <c r="G125" i="6"/>
  <c r="F125" i="6"/>
  <c r="X120" i="6"/>
  <c r="V120" i="6"/>
  <c r="U120" i="6"/>
  <c r="S120" i="6"/>
  <c r="R120" i="6"/>
  <c r="L120" i="6"/>
  <c r="J120" i="6"/>
  <c r="I120" i="6"/>
  <c r="G120" i="6"/>
  <c r="F120" i="6"/>
  <c r="V119" i="6"/>
  <c r="U119" i="6"/>
  <c r="S119" i="6"/>
  <c r="R119" i="6"/>
  <c r="J119" i="6"/>
  <c r="I119" i="6"/>
  <c r="G119" i="6"/>
  <c r="F119" i="6"/>
  <c r="V118" i="6"/>
  <c r="U118" i="6"/>
  <c r="S118" i="6"/>
  <c r="R118" i="6"/>
  <c r="J118" i="6"/>
  <c r="I118" i="6"/>
  <c r="G118" i="6"/>
  <c r="F118" i="6"/>
  <c r="X114" i="6"/>
  <c r="V114" i="6"/>
  <c r="U114" i="6"/>
  <c r="S114" i="6"/>
  <c r="R114" i="6"/>
  <c r="M114" i="6"/>
  <c r="L114" i="6"/>
  <c r="K114" i="6"/>
  <c r="J114" i="6"/>
  <c r="I114" i="6"/>
  <c r="H114" i="6"/>
  <c r="G114" i="6"/>
  <c r="F114" i="6"/>
  <c r="V113" i="6"/>
  <c r="U113" i="6"/>
  <c r="S113" i="6"/>
  <c r="R113" i="6"/>
  <c r="K113" i="6"/>
  <c r="J113" i="6"/>
  <c r="I113" i="6"/>
  <c r="H113" i="6"/>
  <c r="G113" i="6"/>
  <c r="F113" i="6"/>
  <c r="V112" i="6"/>
  <c r="U112" i="6"/>
  <c r="S112" i="6"/>
  <c r="R112" i="6"/>
  <c r="K112" i="6"/>
  <c r="J112" i="6"/>
  <c r="I112" i="6"/>
  <c r="H112" i="6"/>
  <c r="G112" i="6"/>
  <c r="F112" i="6"/>
  <c r="X107" i="6"/>
  <c r="V107" i="6"/>
  <c r="U107" i="6"/>
  <c r="S107" i="6"/>
  <c r="R107" i="6"/>
  <c r="L107" i="6"/>
  <c r="J107" i="6"/>
  <c r="I107" i="6"/>
  <c r="G107" i="6"/>
  <c r="F107" i="6"/>
  <c r="V106" i="6"/>
  <c r="U106" i="6"/>
  <c r="S106" i="6"/>
  <c r="R106" i="6"/>
  <c r="J106" i="6"/>
  <c r="I106" i="6"/>
  <c r="G106" i="6"/>
  <c r="F106" i="6"/>
  <c r="V105" i="6"/>
  <c r="U105" i="6"/>
  <c r="S105" i="6"/>
  <c r="R105" i="6"/>
  <c r="J105" i="6"/>
  <c r="I105" i="6"/>
  <c r="G105" i="6"/>
  <c r="F105" i="6"/>
  <c r="X101" i="6"/>
  <c r="V101" i="6"/>
  <c r="U101" i="6"/>
  <c r="S101" i="6"/>
  <c r="R101" i="6"/>
  <c r="M101" i="6"/>
  <c r="L101" i="6"/>
  <c r="K101" i="6"/>
  <c r="J101" i="6"/>
  <c r="I101" i="6"/>
  <c r="H101" i="6"/>
  <c r="G101" i="6"/>
  <c r="F101" i="6"/>
  <c r="V100" i="6"/>
  <c r="U100" i="6"/>
  <c r="S100" i="6"/>
  <c r="R100" i="6"/>
  <c r="K100" i="6"/>
  <c r="J100" i="6"/>
  <c r="I100" i="6"/>
  <c r="H100" i="6"/>
  <c r="G100" i="6"/>
  <c r="F100" i="6"/>
  <c r="V99" i="6"/>
  <c r="U99" i="6"/>
  <c r="S99" i="6"/>
  <c r="R99" i="6"/>
  <c r="K99" i="6"/>
  <c r="J99" i="6"/>
  <c r="I99" i="6"/>
  <c r="H99" i="6"/>
  <c r="G99" i="6"/>
  <c r="F99" i="6"/>
  <c r="X94" i="6"/>
  <c r="V94" i="6"/>
  <c r="U94" i="6"/>
  <c r="S94" i="6"/>
  <c r="R94" i="6"/>
  <c r="L94" i="6"/>
  <c r="J94" i="6"/>
  <c r="I94" i="6"/>
  <c r="G94" i="6"/>
  <c r="F94" i="6"/>
  <c r="V93" i="6"/>
  <c r="U93" i="6"/>
  <c r="S93" i="6"/>
  <c r="R93" i="6"/>
  <c r="J93" i="6"/>
  <c r="I93" i="6"/>
  <c r="G93" i="6"/>
  <c r="F93" i="6"/>
  <c r="V92" i="6"/>
  <c r="U92" i="6"/>
  <c r="S92" i="6"/>
  <c r="R92" i="6"/>
  <c r="J92" i="6"/>
  <c r="I92" i="6"/>
  <c r="G92" i="6"/>
  <c r="F92" i="6"/>
  <c r="X88" i="6"/>
  <c r="V88" i="6"/>
  <c r="U88" i="6"/>
  <c r="S88" i="6"/>
  <c r="R88" i="6"/>
  <c r="M88" i="6"/>
  <c r="L88" i="6"/>
  <c r="K88" i="6"/>
  <c r="J88" i="6"/>
  <c r="I88" i="6"/>
  <c r="H88" i="6"/>
  <c r="G88" i="6"/>
  <c r="F88" i="6"/>
  <c r="V87" i="6"/>
  <c r="U87" i="6"/>
  <c r="S87" i="6"/>
  <c r="R87" i="6"/>
  <c r="K87" i="6"/>
  <c r="J87" i="6"/>
  <c r="I87" i="6"/>
  <c r="H87" i="6"/>
  <c r="G87" i="6"/>
  <c r="F87" i="6"/>
  <c r="V86" i="6"/>
  <c r="U86" i="6"/>
  <c r="S86" i="6"/>
  <c r="R86" i="6"/>
  <c r="K86" i="6"/>
  <c r="J86" i="6"/>
  <c r="I86" i="6"/>
  <c r="H86" i="6"/>
  <c r="G86" i="6"/>
  <c r="F86" i="6"/>
  <c r="X81" i="6"/>
  <c r="V81" i="6"/>
  <c r="U81" i="6"/>
  <c r="S81" i="6"/>
  <c r="R81" i="6"/>
  <c r="L81" i="6"/>
  <c r="J81" i="6"/>
  <c r="I81" i="6"/>
  <c r="G81" i="6"/>
  <c r="F81" i="6"/>
  <c r="V80" i="6"/>
  <c r="U80" i="6"/>
  <c r="S80" i="6"/>
  <c r="R80" i="6"/>
  <c r="J80" i="6"/>
  <c r="I80" i="6"/>
  <c r="G80" i="6"/>
  <c r="F80" i="6"/>
  <c r="V79" i="6"/>
  <c r="U79" i="6"/>
  <c r="S79" i="6"/>
  <c r="R79" i="6"/>
  <c r="J79" i="6"/>
  <c r="I79" i="6"/>
  <c r="G79" i="6"/>
  <c r="F79" i="6"/>
  <c r="X75" i="6"/>
  <c r="V75" i="6"/>
  <c r="U75" i="6"/>
  <c r="S75" i="6"/>
  <c r="R75" i="6"/>
  <c r="M75" i="6"/>
  <c r="L75" i="6"/>
  <c r="K75" i="6"/>
  <c r="J75" i="6"/>
  <c r="I75" i="6"/>
  <c r="H75" i="6"/>
  <c r="G75" i="6"/>
  <c r="F75" i="6"/>
  <c r="V74" i="6"/>
  <c r="U74" i="6"/>
  <c r="S74" i="6"/>
  <c r="R74" i="6"/>
  <c r="K74" i="6"/>
  <c r="J74" i="6"/>
  <c r="I74" i="6"/>
  <c r="H74" i="6"/>
  <c r="G74" i="6"/>
  <c r="F74" i="6"/>
  <c r="V73" i="6"/>
  <c r="U73" i="6"/>
  <c r="S73" i="6"/>
  <c r="R73" i="6"/>
  <c r="K73" i="6"/>
  <c r="J73" i="6"/>
  <c r="I73" i="6"/>
  <c r="H73" i="6"/>
  <c r="G73" i="6"/>
  <c r="F73" i="6"/>
  <c r="X263" i="2"/>
  <c r="V263" i="2"/>
  <c r="U263" i="2"/>
  <c r="S263" i="2"/>
  <c r="R263" i="2"/>
  <c r="L263" i="2"/>
  <c r="J263" i="2"/>
  <c r="I263" i="2"/>
  <c r="G263" i="2"/>
  <c r="F263" i="2"/>
  <c r="V262" i="2"/>
  <c r="U262" i="2"/>
  <c r="S262" i="2"/>
  <c r="R262" i="2"/>
  <c r="J262" i="2"/>
  <c r="I262" i="2"/>
  <c r="G262" i="2"/>
  <c r="F262" i="2"/>
  <c r="V261" i="2"/>
  <c r="U261" i="2"/>
  <c r="S261" i="2"/>
  <c r="R261" i="2"/>
  <c r="J261" i="2"/>
  <c r="I261" i="2"/>
  <c r="G261" i="2"/>
  <c r="F261" i="2"/>
  <c r="X257" i="2"/>
  <c r="V257" i="2"/>
  <c r="U257" i="2"/>
  <c r="S257" i="2"/>
  <c r="R257" i="2"/>
  <c r="M257" i="2"/>
  <c r="L257" i="2"/>
  <c r="K257" i="2"/>
  <c r="J257" i="2"/>
  <c r="I257" i="2"/>
  <c r="H257" i="2"/>
  <c r="G257" i="2"/>
  <c r="F257" i="2"/>
  <c r="V256" i="2"/>
  <c r="U256" i="2"/>
  <c r="S256" i="2"/>
  <c r="R256" i="2"/>
  <c r="K256" i="2"/>
  <c r="J256" i="2"/>
  <c r="I256" i="2"/>
  <c r="H256" i="2"/>
  <c r="G256" i="2"/>
  <c r="F256" i="2"/>
  <c r="V255" i="2"/>
  <c r="U255" i="2"/>
  <c r="S255" i="2"/>
  <c r="R255" i="2"/>
  <c r="K255" i="2"/>
  <c r="J255" i="2"/>
  <c r="I255" i="2"/>
  <c r="H255" i="2"/>
  <c r="G255" i="2"/>
  <c r="F255" i="2"/>
  <c r="X250" i="2"/>
  <c r="V250" i="2"/>
  <c r="U250" i="2"/>
  <c r="S250" i="2"/>
  <c r="R250" i="2"/>
  <c r="L250" i="2"/>
  <c r="J250" i="2"/>
  <c r="I250" i="2"/>
  <c r="G250" i="2"/>
  <c r="F250" i="2"/>
  <c r="V249" i="2"/>
  <c r="U249" i="2"/>
  <c r="S249" i="2"/>
  <c r="R249" i="2"/>
  <c r="J249" i="2"/>
  <c r="I249" i="2"/>
  <c r="G249" i="2"/>
  <c r="F249" i="2"/>
  <c r="V248" i="2"/>
  <c r="U248" i="2"/>
  <c r="S248" i="2"/>
  <c r="R248" i="2"/>
  <c r="J248" i="2"/>
  <c r="I248" i="2"/>
  <c r="G248" i="2"/>
  <c r="F248" i="2"/>
  <c r="X244" i="2"/>
  <c r="V244" i="2"/>
  <c r="U244" i="2"/>
  <c r="S244" i="2"/>
  <c r="R244" i="2"/>
  <c r="M244" i="2"/>
  <c r="L244" i="2"/>
  <c r="K244" i="2"/>
  <c r="J244" i="2"/>
  <c r="I244" i="2"/>
  <c r="H244" i="2"/>
  <c r="G244" i="2"/>
  <c r="F244" i="2"/>
  <c r="V243" i="2"/>
  <c r="U243" i="2"/>
  <c r="S243" i="2"/>
  <c r="R243" i="2"/>
  <c r="K243" i="2"/>
  <c r="J243" i="2"/>
  <c r="I243" i="2"/>
  <c r="H243" i="2"/>
  <c r="G243" i="2"/>
  <c r="F243" i="2"/>
  <c r="V242" i="2"/>
  <c r="U242" i="2"/>
  <c r="S242" i="2"/>
  <c r="R242" i="2"/>
  <c r="K242" i="2"/>
  <c r="J242" i="2"/>
  <c r="I242" i="2"/>
  <c r="H242" i="2"/>
  <c r="G242" i="2"/>
  <c r="F242" i="2"/>
  <c r="X237" i="2"/>
  <c r="V237" i="2"/>
  <c r="U237" i="2"/>
  <c r="S237" i="2"/>
  <c r="R237" i="2"/>
  <c r="L237" i="2"/>
  <c r="J237" i="2"/>
  <c r="I237" i="2"/>
  <c r="G237" i="2"/>
  <c r="F237" i="2"/>
  <c r="V236" i="2"/>
  <c r="U236" i="2"/>
  <c r="S236" i="2"/>
  <c r="R236" i="2"/>
  <c r="J236" i="2"/>
  <c r="I236" i="2"/>
  <c r="G236" i="2"/>
  <c r="F236" i="2"/>
  <c r="V235" i="2"/>
  <c r="U235" i="2"/>
  <c r="S235" i="2"/>
  <c r="R235" i="2"/>
  <c r="J235" i="2"/>
  <c r="I235" i="2"/>
  <c r="G235" i="2"/>
  <c r="F235" i="2"/>
  <c r="X231" i="2"/>
  <c r="V231" i="2"/>
  <c r="U231" i="2"/>
  <c r="S231" i="2"/>
  <c r="R231" i="2"/>
  <c r="M231" i="2"/>
  <c r="L231" i="2"/>
  <c r="K231" i="2"/>
  <c r="J231" i="2"/>
  <c r="I231" i="2"/>
  <c r="H231" i="2"/>
  <c r="G231" i="2"/>
  <c r="F231" i="2"/>
  <c r="V230" i="2"/>
  <c r="U230" i="2"/>
  <c r="S230" i="2"/>
  <c r="R230" i="2"/>
  <c r="K230" i="2"/>
  <c r="J230" i="2"/>
  <c r="I230" i="2"/>
  <c r="H230" i="2"/>
  <c r="G230" i="2"/>
  <c r="F230" i="2"/>
  <c r="V229" i="2"/>
  <c r="U229" i="2"/>
  <c r="S229" i="2"/>
  <c r="R229" i="2"/>
  <c r="K229" i="2"/>
  <c r="J229" i="2"/>
  <c r="I229" i="2"/>
  <c r="H229" i="2"/>
  <c r="G229" i="2"/>
  <c r="F229" i="2"/>
  <c r="X224" i="2"/>
  <c r="V224" i="2"/>
  <c r="U224" i="2"/>
  <c r="S224" i="2"/>
  <c r="R224" i="2"/>
  <c r="L224" i="2"/>
  <c r="J224" i="2"/>
  <c r="I224" i="2"/>
  <c r="G224" i="2"/>
  <c r="F224" i="2"/>
  <c r="V223" i="2"/>
  <c r="U223" i="2"/>
  <c r="S223" i="2"/>
  <c r="R223" i="2"/>
  <c r="J223" i="2"/>
  <c r="I223" i="2"/>
  <c r="G223" i="2"/>
  <c r="F223" i="2"/>
  <c r="V222" i="2"/>
  <c r="U222" i="2"/>
  <c r="S222" i="2"/>
  <c r="R222" i="2"/>
  <c r="J222" i="2"/>
  <c r="I222" i="2"/>
  <c r="G222" i="2"/>
  <c r="F222" i="2"/>
  <c r="X218" i="2"/>
  <c r="V218" i="2"/>
  <c r="U218" i="2"/>
  <c r="S218" i="2"/>
  <c r="R218" i="2"/>
  <c r="M218" i="2"/>
  <c r="L218" i="2"/>
  <c r="K218" i="2"/>
  <c r="J218" i="2"/>
  <c r="I218" i="2"/>
  <c r="H218" i="2"/>
  <c r="G218" i="2"/>
  <c r="F218" i="2"/>
  <c r="V217" i="2"/>
  <c r="U217" i="2"/>
  <c r="S217" i="2"/>
  <c r="R217" i="2"/>
  <c r="K217" i="2"/>
  <c r="J217" i="2"/>
  <c r="I217" i="2"/>
  <c r="H217" i="2"/>
  <c r="G217" i="2"/>
  <c r="F217" i="2"/>
  <c r="V216" i="2"/>
  <c r="U216" i="2"/>
  <c r="S216" i="2"/>
  <c r="R216" i="2"/>
  <c r="K216" i="2"/>
  <c r="J216" i="2"/>
  <c r="I216" i="2"/>
  <c r="H216" i="2"/>
  <c r="G216" i="2"/>
  <c r="F216" i="2"/>
  <c r="X211" i="2"/>
  <c r="V211" i="2"/>
  <c r="U211" i="2"/>
  <c r="S211" i="2"/>
  <c r="R211" i="2"/>
  <c r="L211" i="2"/>
  <c r="J211" i="2"/>
  <c r="I211" i="2"/>
  <c r="G211" i="2"/>
  <c r="F211" i="2"/>
  <c r="V210" i="2"/>
  <c r="U210" i="2"/>
  <c r="S210" i="2"/>
  <c r="R210" i="2"/>
  <c r="J210" i="2"/>
  <c r="I210" i="2"/>
  <c r="G210" i="2"/>
  <c r="F210" i="2"/>
  <c r="V209" i="2"/>
  <c r="U209" i="2"/>
  <c r="S209" i="2"/>
  <c r="R209" i="2"/>
  <c r="J209" i="2"/>
  <c r="I209" i="2"/>
  <c r="G209" i="2"/>
  <c r="F209" i="2"/>
  <c r="X205" i="2"/>
  <c r="V205" i="2"/>
  <c r="U205" i="2"/>
  <c r="S205" i="2"/>
  <c r="R205" i="2"/>
  <c r="M205" i="2"/>
  <c r="L205" i="2"/>
  <c r="K205" i="2"/>
  <c r="J205" i="2"/>
  <c r="I205" i="2"/>
  <c r="H205" i="2"/>
  <c r="G205" i="2"/>
  <c r="F205" i="2"/>
  <c r="V204" i="2"/>
  <c r="U204" i="2"/>
  <c r="S204" i="2"/>
  <c r="R204" i="2"/>
  <c r="K204" i="2"/>
  <c r="J204" i="2"/>
  <c r="I204" i="2"/>
  <c r="H204" i="2"/>
  <c r="G204" i="2"/>
  <c r="F204" i="2"/>
  <c r="V203" i="2"/>
  <c r="U203" i="2"/>
  <c r="S203" i="2"/>
  <c r="R203" i="2"/>
  <c r="K203" i="2"/>
  <c r="J203" i="2"/>
  <c r="I203" i="2"/>
  <c r="H203" i="2"/>
  <c r="G203" i="2"/>
  <c r="F203" i="2"/>
  <c r="X198" i="2"/>
  <c r="V198" i="2"/>
  <c r="U198" i="2"/>
  <c r="S198" i="2"/>
  <c r="R198" i="2"/>
  <c r="L198" i="2"/>
  <c r="J198" i="2"/>
  <c r="I198" i="2"/>
  <c r="G198" i="2"/>
  <c r="F198" i="2"/>
  <c r="V197" i="2"/>
  <c r="U197" i="2"/>
  <c r="S197" i="2"/>
  <c r="R197" i="2"/>
  <c r="J197" i="2"/>
  <c r="I197" i="2"/>
  <c r="G197" i="2"/>
  <c r="F197" i="2"/>
  <c r="V196" i="2"/>
  <c r="U196" i="2"/>
  <c r="S196" i="2"/>
  <c r="R196" i="2"/>
  <c r="J196" i="2"/>
  <c r="I196" i="2"/>
  <c r="G196" i="2"/>
  <c r="F196" i="2"/>
  <c r="X192" i="2"/>
  <c r="V192" i="2"/>
  <c r="U192" i="2"/>
  <c r="S192" i="2"/>
  <c r="R192" i="2"/>
  <c r="M192" i="2"/>
  <c r="L192" i="2"/>
  <c r="K192" i="2"/>
  <c r="J192" i="2"/>
  <c r="I192" i="2"/>
  <c r="H192" i="2"/>
  <c r="G192" i="2"/>
  <c r="F192" i="2"/>
  <c r="V191" i="2"/>
  <c r="U191" i="2"/>
  <c r="S191" i="2"/>
  <c r="R191" i="2"/>
  <c r="K191" i="2"/>
  <c r="J191" i="2"/>
  <c r="I191" i="2"/>
  <c r="H191" i="2"/>
  <c r="G191" i="2"/>
  <c r="F191" i="2"/>
  <c r="V190" i="2"/>
  <c r="U190" i="2"/>
  <c r="S190" i="2"/>
  <c r="R190" i="2"/>
  <c r="K190" i="2"/>
  <c r="J190" i="2"/>
  <c r="I190" i="2"/>
  <c r="H190" i="2"/>
  <c r="G190" i="2"/>
  <c r="F190" i="2"/>
  <c r="X185" i="2"/>
  <c r="V185" i="2"/>
  <c r="U185" i="2"/>
  <c r="S185" i="2"/>
  <c r="R185" i="2"/>
  <c r="L185" i="2"/>
  <c r="J185" i="2"/>
  <c r="I185" i="2"/>
  <c r="G185" i="2"/>
  <c r="F185" i="2"/>
  <c r="V184" i="2"/>
  <c r="U184" i="2"/>
  <c r="S184" i="2"/>
  <c r="R184" i="2"/>
  <c r="J184" i="2"/>
  <c r="I184" i="2"/>
  <c r="G184" i="2"/>
  <c r="F184" i="2"/>
  <c r="V183" i="2"/>
  <c r="U183" i="2"/>
  <c r="S183" i="2"/>
  <c r="R183" i="2"/>
  <c r="J183" i="2"/>
  <c r="I183" i="2"/>
  <c r="G183" i="2"/>
  <c r="F183" i="2"/>
  <c r="X179" i="2"/>
  <c r="V179" i="2"/>
  <c r="U179" i="2"/>
  <c r="S179" i="2"/>
  <c r="R179" i="2"/>
  <c r="M179" i="2"/>
  <c r="L179" i="2"/>
  <c r="K179" i="2"/>
  <c r="J179" i="2"/>
  <c r="I179" i="2"/>
  <c r="H179" i="2"/>
  <c r="G179" i="2"/>
  <c r="F179" i="2"/>
  <c r="V178" i="2"/>
  <c r="U178" i="2"/>
  <c r="S178" i="2"/>
  <c r="R178" i="2"/>
  <c r="K178" i="2"/>
  <c r="J178" i="2"/>
  <c r="I178" i="2"/>
  <c r="H178" i="2"/>
  <c r="G178" i="2"/>
  <c r="F178" i="2"/>
  <c r="V177" i="2"/>
  <c r="U177" i="2"/>
  <c r="S177" i="2"/>
  <c r="R177" i="2"/>
  <c r="K177" i="2"/>
  <c r="J177" i="2"/>
  <c r="I177" i="2"/>
  <c r="H177" i="2"/>
  <c r="G177" i="2"/>
  <c r="F177" i="2"/>
  <c r="X172" i="2"/>
  <c r="V172" i="2"/>
  <c r="U172" i="2"/>
  <c r="S172" i="2"/>
  <c r="R172" i="2"/>
  <c r="L172" i="2"/>
  <c r="J172" i="2"/>
  <c r="I172" i="2"/>
  <c r="G172" i="2"/>
  <c r="F172" i="2"/>
  <c r="V171" i="2"/>
  <c r="U171" i="2"/>
  <c r="S171" i="2"/>
  <c r="R171" i="2"/>
  <c r="J171" i="2"/>
  <c r="I171" i="2"/>
  <c r="G171" i="2"/>
  <c r="F171" i="2"/>
  <c r="V170" i="2"/>
  <c r="U170" i="2"/>
  <c r="S170" i="2"/>
  <c r="R170" i="2"/>
  <c r="J170" i="2"/>
  <c r="I170" i="2"/>
  <c r="G170" i="2"/>
  <c r="F170" i="2"/>
  <c r="X166" i="2"/>
  <c r="V166" i="2"/>
  <c r="U166" i="2"/>
  <c r="S166" i="2"/>
  <c r="R166" i="2"/>
  <c r="M166" i="2"/>
  <c r="L166" i="2"/>
  <c r="K166" i="2"/>
  <c r="J166" i="2"/>
  <c r="I166" i="2"/>
  <c r="H166" i="2"/>
  <c r="G166" i="2"/>
  <c r="F166" i="2"/>
  <c r="V165" i="2"/>
  <c r="U165" i="2"/>
  <c r="S165" i="2"/>
  <c r="R165" i="2"/>
  <c r="K165" i="2"/>
  <c r="J165" i="2"/>
  <c r="I165" i="2"/>
  <c r="H165" i="2"/>
  <c r="G165" i="2"/>
  <c r="F165" i="2"/>
  <c r="V164" i="2"/>
  <c r="U164" i="2"/>
  <c r="S164" i="2"/>
  <c r="R164" i="2"/>
  <c r="K164" i="2"/>
  <c r="J164" i="2"/>
  <c r="I164" i="2"/>
  <c r="H164" i="2"/>
  <c r="G164" i="2"/>
  <c r="F164" i="2"/>
  <c r="X159" i="2"/>
  <c r="V159" i="2"/>
  <c r="U159" i="2"/>
  <c r="S159" i="2"/>
  <c r="R159" i="2"/>
  <c r="L159" i="2"/>
  <c r="J159" i="2"/>
  <c r="I159" i="2"/>
  <c r="G159" i="2"/>
  <c r="F159" i="2"/>
  <c r="V158" i="2"/>
  <c r="U158" i="2"/>
  <c r="S158" i="2"/>
  <c r="R158" i="2"/>
  <c r="J158" i="2"/>
  <c r="I158" i="2"/>
  <c r="G158" i="2"/>
  <c r="F158" i="2"/>
  <c r="V157" i="2"/>
  <c r="U157" i="2"/>
  <c r="S157" i="2"/>
  <c r="R157" i="2"/>
  <c r="J157" i="2"/>
  <c r="I157" i="2"/>
  <c r="G157" i="2"/>
  <c r="F157" i="2"/>
  <c r="X153" i="2"/>
  <c r="V153" i="2"/>
  <c r="U153" i="2"/>
  <c r="S153" i="2"/>
  <c r="R153" i="2"/>
  <c r="M153" i="2"/>
  <c r="L153" i="2"/>
  <c r="K153" i="2"/>
  <c r="J153" i="2"/>
  <c r="I153" i="2"/>
  <c r="H153" i="2"/>
  <c r="G153" i="2"/>
  <c r="F153" i="2"/>
  <c r="V152" i="2"/>
  <c r="U152" i="2"/>
  <c r="S152" i="2"/>
  <c r="R152" i="2"/>
  <c r="K152" i="2"/>
  <c r="J152" i="2"/>
  <c r="I152" i="2"/>
  <c r="H152" i="2"/>
  <c r="G152" i="2"/>
  <c r="F152" i="2"/>
  <c r="V151" i="2"/>
  <c r="U151" i="2"/>
  <c r="S151" i="2"/>
  <c r="R151" i="2"/>
  <c r="K151" i="2"/>
  <c r="J151" i="2"/>
  <c r="I151" i="2"/>
  <c r="H151" i="2"/>
  <c r="G151" i="2"/>
  <c r="F151" i="2"/>
  <c r="X146" i="2"/>
  <c r="V146" i="2"/>
  <c r="U146" i="2"/>
  <c r="S146" i="2"/>
  <c r="R146" i="2"/>
  <c r="L146" i="2"/>
  <c r="J146" i="2"/>
  <c r="I146" i="2"/>
  <c r="G146" i="2"/>
  <c r="F146" i="2"/>
  <c r="V145" i="2"/>
  <c r="U145" i="2"/>
  <c r="S145" i="2"/>
  <c r="R145" i="2"/>
  <c r="J145" i="2"/>
  <c r="I145" i="2"/>
  <c r="G145" i="2"/>
  <c r="F145" i="2"/>
  <c r="V144" i="2"/>
  <c r="U144" i="2"/>
  <c r="S144" i="2"/>
  <c r="R144" i="2"/>
  <c r="J144" i="2"/>
  <c r="I144" i="2"/>
  <c r="G144" i="2"/>
  <c r="F144" i="2"/>
  <c r="X140" i="2"/>
  <c r="V140" i="2"/>
  <c r="U140" i="2"/>
  <c r="S140" i="2"/>
  <c r="R140" i="2"/>
  <c r="M140" i="2"/>
  <c r="L140" i="2"/>
  <c r="K140" i="2"/>
  <c r="J140" i="2"/>
  <c r="I140" i="2"/>
  <c r="H140" i="2"/>
  <c r="G140" i="2"/>
  <c r="F140" i="2"/>
  <c r="V139" i="2"/>
  <c r="U139" i="2"/>
  <c r="S139" i="2"/>
  <c r="R139" i="2"/>
  <c r="K139" i="2"/>
  <c r="J139" i="2"/>
  <c r="I139" i="2"/>
  <c r="H139" i="2"/>
  <c r="G139" i="2"/>
  <c r="F139" i="2"/>
  <c r="V138" i="2"/>
  <c r="U138" i="2"/>
  <c r="S138" i="2"/>
  <c r="R138" i="2"/>
  <c r="K138" i="2"/>
  <c r="J138" i="2"/>
  <c r="I138" i="2"/>
  <c r="H138" i="2"/>
  <c r="G138" i="2"/>
  <c r="F138" i="2"/>
  <c r="X133" i="2"/>
  <c r="V133" i="2"/>
  <c r="U133" i="2"/>
  <c r="S133" i="2"/>
  <c r="R133" i="2"/>
  <c r="L133" i="2"/>
  <c r="J133" i="2"/>
  <c r="I133" i="2"/>
  <c r="G133" i="2"/>
  <c r="F133" i="2"/>
  <c r="V132" i="2"/>
  <c r="U132" i="2"/>
  <c r="S132" i="2"/>
  <c r="R132" i="2"/>
  <c r="J132" i="2"/>
  <c r="I132" i="2"/>
  <c r="G132" i="2"/>
  <c r="F132" i="2"/>
  <c r="V131" i="2"/>
  <c r="U131" i="2"/>
  <c r="S131" i="2"/>
  <c r="R131" i="2"/>
  <c r="J131" i="2"/>
  <c r="I131" i="2"/>
  <c r="G131" i="2"/>
  <c r="F131" i="2"/>
  <c r="X127" i="2"/>
  <c r="V127" i="2"/>
  <c r="U127" i="2"/>
  <c r="S127" i="2"/>
  <c r="R127" i="2"/>
  <c r="M127" i="2"/>
  <c r="L127" i="2"/>
  <c r="K127" i="2"/>
  <c r="J127" i="2"/>
  <c r="I127" i="2"/>
  <c r="H127" i="2"/>
  <c r="G127" i="2"/>
  <c r="F127" i="2"/>
  <c r="V126" i="2"/>
  <c r="U126" i="2"/>
  <c r="S126" i="2"/>
  <c r="R126" i="2"/>
  <c r="K126" i="2"/>
  <c r="J126" i="2"/>
  <c r="I126" i="2"/>
  <c r="H126" i="2"/>
  <c r="G126" i="2"/>
  <c r="F126" i="2"/>
  <c r="V125" i="2"/>
  <c r="U125" i="2"/>
  <c r="S125" i="2"/>
  <c r="R125" i="2"/>
  <c r="K125" i="2"/>
  <c r="J125" i="2"/>
  <c r="I125" i="2"/>
  <c r="H125" i="2"/>
  <c r="G125" i="2"/>
  <c r="F125" i="2"/>
  <c r="X120" i="2"/>
  <c r="V120" i="2"/>
  <c r="U120" i="2"/>
  <c r="S120" i="2"/>
  <c r="R120" i="2"/>
  <c r="L120" i="2"/>
  <c r="J120" i="2"/>
  <c r="I120" i="2"/>
  <c r="G120" i="2"/>
  <c r="F120" i="2"/>
  <c r="V119" i="2"/>
  <c r="U119" i="2"/>
  <c r="S119" i="2"/>
  <c r="R119" i="2"/>
  <c r="J119" i="2"/>
  <c r="I119" i="2"/>
  <c r="G119" i="2"/>
  <c r="F119" i="2"/>
  <c r="V118" i="2"/>
  <c r="U118" i="2"/>
  <c r="S118" i="2"/>
  <c r="R118" i="2"/>
  <c r="J118" i="2"/>
  <c r="I118" i="2"/>
  <c r="G118" i="2"/>
  <c r="F118" i="2"/>
  <c r="X114" i="2"/>
  <c r="V114" i="2"/>
  <c r="U114" i="2"/>
  <c r="S114" i="2"/>
  <c r="R114" i="2"/>
  <c r="M114" i="2"/>
  <c r="L114" i="2"/>
  <c r="K114" i="2"/>
  <c r="J114" i="2"/>
  <c r="I114" i="2"/>
  <c r="H114" i="2"/>
  <c r="G114" i="2"/>
  <c r="F114" i="2"/>
  <c r="V113" i="2"/>
  <c r="U113" i="2"/>
  <c r="S113" i="2"/>
  <c r="R113" i="2"/>
  <c r="K113" i="2"/>
  <c r="J113" i="2"/>
  <c r="I113" i="2"/>
  <c r="H113" i="2"/>
  <c r="G113" i="2"/>
  <c r="F113" i="2"/>
  <c r="V112" i="2"/>
  <c r="U112" i="2"/>
  <c r="S112" i="2"/>
  <c r="R112" i="2"/>
  <c r="K112" i="2"/>
  <c r="J112" i="2"/>
  <c r="I112" i="2"/>
  <c r="H112" i="2"/>
  <c r="G112" i="2"/>
  <c r="F112" i="2"/>
  <c r="X107" i="2"/>
  <c r="V107" i="2"/>
  <c r="U107" i="2"/>
  <c r="S107" i="2"/>
  <c r="R107" i="2"/>
  <c r="L107" i="2"/>
  <c r="J107" i="2"/>
  <c r="I107" i="2"/>
  <c r="G107" i="2"/>
  <c r="F107" i="2"/>
  <c r="V106" i="2"/>
  <c r="U106" i="2"/>
  <c r="S106" i="2"/>
  <c r="R106" i="2"/>
  <c r="J106" i="2"/>
  <c r="I106" i="2"/>
  <c r="G106" i="2"/>
  <c r="F106" i="2"/>
  <c r="V105" i="2"/>
  <c r="U105" i="2"/>
  <c r="S105" i="2"/>
  <c r="R105" i="2"/>
  <c r="J105" i="2"/>
  <c r="I105" i="2"/>
  <c r="G105" i="2"/>
  <c r="F105" i="2"/>
  <c r="X101" i="2"/>
  <c r="V101" i="2"/>
  <c r="U101" i="2"/>
  <c r="S101" i="2"/>
  <c r="R101" i="2"/>
  <c r="M101" i="2"/>
  <c r="L101" i="2"/>
  <c r="K101" i="2"/>
  <c r="J101" i="2"/>
  <c r="I101" i="2"/>
  <c r="H101" i="2"/>
  <c r="G101" i="2"/>
  <c r="F101" i="2"/>
  <c r="V100" i="2"/>
  <c r="U100" i="2"/>
  <c r="S100" i="2"/>
  <c r="R100" i="2"/>
  <c r="K100" i="2"/>
  <c r="J100" i="2"/>
  <c r="I100" i="2"/>
  <c r="H100" i="2"/>
  <c r="G100" i="2"/>
  <c r="F100" i="2"/>
  <c r="V99" i="2"/>
  <c r="U99" i="2"/>
  <c r="S99" i="2"/>
  <c r="R99" i="2"/>
  <c r="K99" i="2"/>
  <c r="J99" i="2"/>
  <c r="I99" i="2"/>
  <c r="H99" i="2"/>
  <c r="G99" i="2"/>
  <c r="F99" i="2"/>
  <c r="X94" i="2"/>
  <c r="V94" i="2"/>
  <c r="U94" i="2"/>
  <c r="S94" i="2"/>
  <c r="R94" i="2"/>
  <c r="L94" i="2"/>
  <c r="J94" i="2"/>
  <c r="I94" i="2"/>
  <c r="G94" i="2"/>
  <c r="F94" i="2"/>
  <c r="V93" i="2"/>
  <c r="U93" i="2"/>
  <c r="S93" i="2"/>
  <c r="R93" i="2"/>
  <c r="J93" i="2"/>
  <c r="I93" i="2"/>
  <c r="G93" i="2"/>
  <c r="F93" i="2"/>
  <c r="V92" i="2"/>
  <c r="U92" i="2"/>
  <c r="S92" i="2"/>
  <c r="R92" i="2"/>
  <c r="J92" i="2"/>
  <c r="I92" i="2"/>
  <c r="G92" i="2"/>
  <c r="F92" i="2"/>
  <c r="X88" i="2"/>
  <c r="V88" i="2"/>
  <c r="U88" i="2"/>
  <c r="S88" i="2"/>
  <c r="R88" i="2"/>
  <c r="M88" i="2"/>
  <c r="L88" i="2"/>
  <c r="K88" i="2"/>
  <c r="J88" i="2"/>
  <c r="I88" i="2"/>
  <c r="H88" i="2"/>
  <c r="G88" i="2"/>
  <c r="F88" i="2"/>
  <c r="V87" i="2"/>
  <c r="U87" i="2"/>
  <c r="S87" i="2"/>
  <c r="R87" i="2"/>
  <c r="K87" i="2"/>
  <c r="J87" i="2"/>
  <c r="I87" i="2"/>
  <c r="H87" i="2"/>
  <c r="G87" i="2"/>
  <c r="F87" i="2"/>
  <c r="V86" i="2"/>
  <c r="U86" i="2"/>
  <c r="S86" i="2"/>
  <c r="R86" i="2"/>
  <c r="K86" i="2"/>
  <c r="J86" i="2"/>
  <c r="I86" i="2"/>
  <c r="H86" i="2"/>
  <c r="G86" i="2"/>
  <c r="F86" i="2"/>
  <c r="X81" i="2"/>
  <c r="V81" i="2"/>
  <c r="U81" i="2"/>
  <c r="S81" i="2"/>
  <c r="R81" i="2"/>
  <c r="L81" i="2"/>
  <c r="J81" i="2"/>
  <c r="I81" i="2"/>
  <c r="G81" i="2"/>
  <c r="F81" i="2"/>
  <c r="V80" i="2"/>
  <c r="U80" i="2"/>
  <c r="S80" i="2"/>
  <c r="R80" i="2"/>
  <c r="J80" i="2"/>
  <c r="I80" i="2"/>
  <c r="G80" i="2"/>
  <c r="F80" i="2"/>
  <c r="V79" i="2"/>
  <c r="U79" i="2"/>
  <c r="S79" i="2"/>
  <c r="R79" i="2"/>
  <c r="J79" i="2"/>
  <c r="I79" i="2"/>
  <c r="G79" i="2"/>
  <c r="F79" i="2"/>
  <c r="X75" i="2"/>
  <c r="V75" i="2"/>
  <c r="U75" i="2"/>
  <c r="S75" i="2"/>
  <c r="R75" i="2"/>
  <c r="M75" i="2"/>
  <c r="L75" i="2"/>
  <c r="K75" i="2"/>
  <c r="J75" i="2"/>
  <c r="I75" i="2"/>
  <c r="H75" i="2"/>
  <c r="G75" i="2"/>
  <c r="F75" i="2"/>
  <c r="V74" i="2"/>
  <c r="U74" i="2"/>
  <c r="S74" i="2"/>
  <c r="R74" i="2"/>
  <c r="K74" i="2"/>
  <c r="J74" i="2"/>
  <c r="I74" i="2"/>
  <c r="H74" i="2"/>
  <c r="G74" i="2"/>
  <c r="F74" i="2"/>
  <c r="V73" i="2"/>
  <c r="U73" i="2"/>
  <c r="S73" i="2"/>
  <c r="R73" i="2"/>
  <c r="K73" i="2"/>
  <c r="J73" i="2"/>
  <c r="I73" i="2"/>
  <c r="H73" i="2"/>
  <c r="G73" i="2"/>
  <c r="F73" i="2"/>
  <c r="X263" i="7"/>
  <c r="V263" i="7"/>
  <c r="U263" i="7"/>
  <c r="S263" i="7"/>
  <c r="R263" i="7"/>
  <c r="L263" i="7"/>
  <c r="J263" i="7"/>
  <c r="I263" i="7"/>
  <c r="G263" i="7"/>
  <c r="F263" i="7"/>
  <c r="V262" i="7"/>
  <c r="U262" i="7"/>
  <c r="S262" i="7"/>
  <c r="R262" i="7"/>
  <c r="J262" i="7"/>
  <c r="I262" i="7"/>
  <c r="G262" i="7"/>
  <c r="F262" i="7"/>
  <c r="V261" i="7"/>
  <c r="U261" i="7"/>
  <c r="S261" i="7"/>
  <c r="R261" i="7"/>
  <c r="J261" i="7"/>
  <c r="I261" i="7"/>
  <c r="G261" i="7"/>
  <c r="F261" i="7"/>
  <c r="X257" i="7"/>
  <c r="V257" i="7"/>
  <c r="U257" i="7"/>
  <c r="S257" i="7"/>
  <c r="R257" i="7"/>
  <c r="M257" i="7"/>
  <c r="L257" i="7"/>
  <c r="K257" i="7"/>
  <c r="J257" i="7"/>
  <c r="I257" i="7"/>
  <c r="H257" i="7"/>
  <c r="G257" i="7"/>
  <c r="F257" i="7"/>
  <c r="V256" i="7"/>
  <c r="U256" i="7"/>
  <c r="S256" i="7"/>
  <c r="R256" i="7"/>
  <c r="K256" i="7"/>
  <c r="J256" i="7"/>
  <c r="I256" i="7"/>
  <c r="H256" i="7"/>
  <c r="G256" i="7"/>
  <c r="F256" i="7"/>
  <c r="V255" i="7"/>
  <c r="U255" i="7"/>
  <c r="S255" i="7"/>
  <c r="R255" i="7"/>
  <c r="K255" i="7"/>
  <c r="J255" i="7"/>
  <c r="I255" i="7"/>
  <c r="H255" i="7"/>
  <c r="G255" i="7"/>
  <c r="F255" i="7"/>
  <c r="X250" i="7"/>
  <c r="V250" i="7"/>
  <c r="U250" i="7"/>
  <c r="S250" i="7"/>
  <c r="R250" i="7"/>
  <c r="L250" i="7"/>
  <c r="J250" i="7"/>
  <c r="I250" i="7"/>
  <c r="G250" i="7"/>
  <c r="F250" i="7"/>
  <c r="V249" i="7"/>
  <c r="U249" i="7"/>
  <c r="S249" i="7"/>
  <c r="R249" i="7"/>
  <c r="J249" i="7"/>
  <c r="I249" i="7"/>
  <c r="G249" i="7"/>
  <c r="F249" i="7"/>
  <c r="V248" i="7"/>
  <c r="U248" i="7"/>
  <c r="S248" i="7"/>
  <c r="R248" i="7"/>
  <c r="J248" i="7"/>
  <c r="I248" i="7"/>
  <c r="G248" i="7"/>
  <c r="F248" i="7"/>
  <c r="X244" i="7"/>
  <c r="V244" i="7"/>
  <c r="U244" i="7"/>
  <c r="S244" i="7"/>
  <c r="R244" i="7"/>
  <c r="M244" i="7"/>
  <c r="L244" i="7"/>
  <c r="K244" i="7"/>
  <c r="J244" i="7"/>
  <c r="I244" i="7"/>
  <c r="H244" i="7"/>
  <c r="G244" i="7"/>
  <c r="F244" i="7"/>
  <c r="V243" i="7"/>
  <c r="U243" i="7"/>
  <c r="S243" i="7"/>
  <c r="R243" i="7"/>
  <c r="K243" i="7"/>
  <c r="J243" i="7"/>
  <c r="I243" i="7"/>
  <c r="H243" i="7"/>
  <c r="G243" i="7"/>
  <c r="F243" i="7"/>
  <c r="V242" i="7"/>
  <c r="U242" i="7"/>
  <c r="S242" i="7"/>
  <c r="R242" i="7"/>
  <c r="K242" i="7"/>
  <c r="J242" i="7"/>
  <c r="I242" i="7"/>
  <c r="H242" i="7"/>
  <c r="G242" i="7"/>
  <c r="F242" i="7"/>
  <c r="X237" i="7"/>
  <c r="V237" i="7"/>
  <c r="U237" i="7"/>
  <c r="S237" i="7"/>
  <c r="R237" i="7"/>
  <c r="L237" i="7"/>
  <c r="J237" i="7"/>
  <c r="I237" i="7"/>
  <c r="G237" i="7"/>
  <c r="F237" i="7"/>
  <c r="V236" i="7"/>
  <c r="U236" i="7"/>
  <c r="S236" i="7"/>
  <c r="R236" i="7"/>
  <c r="J236" i="7"/>
  <c r="I236" i="7"/>
  <c r="G236" i="7"/>
  <c r="F236" i="7"/>
  <c r="V235" i="7"/>
  <c r="U235" i="7"/>
  <c r="S235" i="7"/>
  <c r="R235" i="7"/>
  <c r="J235" i="7"/>
  <c r="I235" i="7"/>
  <c r="G235" i="7"/>
  <c r="F235" i="7"/>
  <c r="X231" i="7"/>
  <c r="V231" i="7"/>
  <c r="U231" i="7"/>
  <c r="S231" i="7"/>
  <c r="R231" i="7"/>
  <c r="M231" i="7"/>
  <c r="L231" i="7"/>
  <c r="K231" i="7"/>
  <c r="J231" i="7"/>
  <c r="I231" i="7"/>
  <c r="H231" i="7"/>
  <c r="G231" i="7"/>
  <c r="F231" i="7"/>
  <c r="V230" i="7"/>
  <c r="U230" i="7"/>
  <c r="S230" i="7"/>
  <c r="R230" i="7"/>
  <c r="K230" i="7"/>
  <c r="J230" i="7"/>
  <c r="I230" i="7"/>
  <c r="H230" i="7"/>
  <c r="G230" i="7"/>
  <c r="F230" i="7"/>
  <c r="V229" i="7"/>
  <c r="U229" i="7"/>
  <c r="S229" i="7"/>
  <c r="R229" i="7"/>
  <c r="K229" i="7"/>
  <c r="J229" i="7"/>
  <c r="I229" i="7"/>
  <c r="H229" i="7"/>
  <c r="G229" i="7"/>
  <c r="F229" i="7"/>
  <c r="X224" i="7"/>
  <c r="V224" i="7"/>
  <c r="U224" i="7"/>
  <c r="S224" i="7"/>
  <c r="R224" i="7"/>
  <c r="L224" i="7"/>
  <c r="J224" i="7"/>
  <c r="I224" i="7"/>
  <c r="G224" i="7"/>
  <c r="F224" i="7"/>
  <c r="V223" i="7"/>
  <c r="U223" i="7"/>
  <c r="S223" i="7"/>
  <c r="R223" i="7"/>
  <c r="J223" i="7"/>
  <c r="I223" i="7"/>
  <c r="G223" i="7"/>
  <c r="F223" i="7"/>
  <c r="V222" i="7"/>
  <c r="U222" i="7"/>
  <c r="S222" i="7"/>
  <c r="R222" i="7"/>
  <c r="J222" i="7"/>
  <c r="I222" i="7"/>
  <c r="G222" i="7"/>
  <c r="F222" i="7"/>
  <c r="X218" i="7"/>
  <c r="V218" i="7"/>
  <c r="U218" i="7"/>
  <c r="S218" i="7"/>
  <c r="R218" i="7"/>
  <c r="M218" i="7"/>
  <c r="L218" i="7"/>
  <c r="K218" i="7"/>
  <c r="J218" i="7"/>
  <c r="I218" i="7"/>
  <c r="H218" i="7"/>
  <c r="G218" i="7"/>
  <c r="F218" i="7"/>
  <c r="V217" i="7"/>
  <c r="U217" i="7"/>
  <c r="S217" i="7"/>
  <c r="R217" i="7"/>
  <c r="K217" i="7"/>
  <c r="J217" i="7"/>
  <c r="I217" i="7"/>
  <c r="H217" i="7"/>
  <c r="G217" i="7"/>
  <c r="F217" i="7"/>
  <c r="V216" i="7"/>
  <c r="U216" i="7"/>
  <c r="S216" i="7"/>
  <c r="R216" i="7"/>
  <c r="K216" i="7"/>
  <c r="J216" i="7"/>
  <c r="I216" i="7"/>
  <c r="H216" i="7"/>
  <c r="G216" i="7"/>
  <c r="F216" i="7"/>
  <c r="X211" i="7"/>
  <c r="V211" i="7"/>
  <c r="U211" i="7"/>
  <c r="S211" i="7"/>
  <c r="R211" i="7"/>
  <c r="L211" i="7"/>
  <c r="J211" i="7"/>
  <c r="I211" i="7"/>
  <c r="G211" i="7"/>
  <c r="F211" i="7"/>
  <c r="V210" i="7"/>
  <c r="U210" i="7"/>
  <c r="S210" i="7"/>
  <c r="R210" i="7"/>
  <c r="J210" i="7"/>
  <c r="I210" i="7"/>
  <c r="G210" i="7"/>
  <c r="F210" i="7"/>
  <c r="V209" i="7"/>
  <c r="U209" i="7"/>
  <c r="S209" i="7"/>
  <c r="R209" i="7"/>
  <c r="J209" i="7"/>
  <c r="I209" i="7"/>
  <c r="G209" i="7"/>
  <c r="F209" i="7"/>
  <c r="X205" i="7"/>
  <c r="V205" i="7"/>
  <c r="U205" i="7"/>
  <c r="S205" i="7"/>
  <c r="R205" i="7"/>
  <c r="M205" i="7"/>
  <c r="L205" i="7"/>
  <c r="K205" i="7"/>
  <c r="J205" i="7"/>
  <c r="I205" i="7"/>
  <c r="H205" i="7"/>
  <c r="G205" i="7"/>
  <c r="F205" i="7"/>
  <c r="V204" i="7"/>
  <c r="U204" i="7"/>
  <c r="S204" i="7"/>
  <c r="R204" i="7"/>
  <c r="K204" i="7"/>
  <c r="J204" i="7"/>
  <c r="I204" i="7"/>
  <c r="H204" i="7"/>
  <c r="G204" i="7"/>
  <c r="F204" i="7"/>
  <c r="V203" i="7"/>
  <c r="U203" i="7"/>
  <c r="S203" i="7"/>
  <c r="R203" i="7"/>
  <c r="K203" i="7"/>
  <c r="J203" i="7"/>
  <c r="I203" i="7"/>
  <c r="H203" i="7"/>
  <c r="G203" i="7"/>
  <c r="F203" i="7"/>
  <c r="X198" i="7"/>
  <c r="V198" i="7"/>
  <c r="U198" i="7"/>
  <c r="S198" i="7"/>
  <c r="R198" i="7"/>
  <c r="L198" i="7"/>
  <c r="J198" i="7"/>
  <c r="I198" i="7"/>
  <c r="G198" i="7"/>
  <c r="F198" i="7"/>
  <c r="V197" i="7"/>
  <c r="U197" i="7"/>
  <c r="S197" i="7"/>
  <c r="R197" i="7"/>
  <c r="J197" i="7"/>
  <c r="I197" i="7"/>
  <c r="G197" i="7"/>
  <c r="F197" i="7"/>
  <c r="V196" i="7"/>
  <c r="U196" i="7"/>
  <c r="S196" i="7"/>
  <c r="R196" i="7"/>
  <c r="J196" i="7"/>
  <c r="I196" i="7"/>
  <c r="G196" i="7"/>
  <c r="F196" i="7"/>
  <c r="X192" i="7"/>
  <c r="V192" i="7"/>
  <c r="U192" i="7"/>
  <c r="S192" i="7"/>
  <c r="R192" i="7"/>
  <c r="M192" i="7"/>
  <c r="L192" i="7"/>
  <c r="K192" i="7"/>
  <c r="J192" i="7"/>
  <c r="I192" i="7"/>
  <c r="H192" i="7"/>
  <c r="G192" i="7"/>
  <c r="F192" i="7"/>
  <c r="V191" i="7"/>
  <c r="U191" i="7"/>
  <c r="S191" i="7"/>
  <c r="R191" i="7"/>
  <c r="K191" i="7"/>
  <c r="J191" i="7"/>
  <c r="I191" i="7"/>
  <c r="H191" i="7"/>
  <c r="G191" i="7"/>
  <c r="F191" i="7"/>
  <c r="V190" i="7"/>
  <c r="U190" i="7"/>
  <c r="S190" i="7"/>
  <c r="R190" i="7"/>
  <c r="K190" i="7"/>
  <c r="J190" i="7"/>
  <c r="I190" i="7"/>
  <c r="H190" i="7"/>
  <c r="G190" i="7"/>
  <c r="F190" i="7"/>
  <c r="X185" i="7"/>
  <c r="V185" i="7"/>
  <c r="U185" i="7"/>
  <c r="S185" i="7"/>
  <c r="R185" i="7"/>
  <c r="L185" i="7"/>
  <c r="J185" i="7"/>
  <c r="I185" i="7"/>
  <c r="G185" i="7"/>
  <c r="F185" i="7"/>
  <c r="V184" i="7"/>
  <c r="U184" i="7"/>
  <c r="S184" i="7"/>
  <c r="R184" i="7"/>
  <c r="J184" i="7"/>
  <c r="I184" i="7"/>
  <c r="G184" i="7"/>
  <c r="F184" i="7"/>
  <c r="V183" i="7"/>
  <c r="U183" i="7"/>
  <c r="S183" i="7"/>
  <c r="R183" i="7"/>
  <c r="J183" i="7"/>
  <c r="I183" i="7"/>
  <c r="G183" i="7"/>
  <c r="F183" i="7"/>
  <c r="X179" i="7"/>
  <c r="V179" i="7"/>
  <c r="U179" i="7"/>
  <c r="S179" i="7"/>
  <c r="R179" i="7"/>
  <c r="M179" i="7"/>
  <c r="L179" i="7"/>
  <c r="K179" i="7"/>
  <c r="J179" i="7"/>
  <c r="I179" i="7"/>
  <c r="H179" i="7"/>
  <c r="G179" i="7"/>
  <c r="F179" i="7"/>
  <c r="V178" i="7"/>
  <c r="U178" i="7"/>
  <c r="S178" i="7"/>
  <c r="R178" i="7"/>
  <c r="K178" i="7"/>
  <c r="J178" i="7"/>
  <c r="I178" i="7"/>
  <c r="H178" i="7"/>
  <c r="G178" i="7"/>
  <c r="F178" i="7"/>
  <c r="V177" i="7"/>
  <c r="U177" i="7"/>
  <c r="S177" i="7"/>
  <c r="R177" i="7"/>
  <c r="K177" i="7"/>
  <c r="J177" i="7"/>
  <c r="I177" i="7"/>
  <c r="H177" i="7"/>
  <c r="G177" i="7"/>
  <c r="F177" i="7"/>
  <c r="X172" i="7"/>
  <c r="V172" i="7"/>
  <c r="U172" i="7"/>
  <c r="S172" i="7"/>
  <c r="R172" i="7"/>
  <c r="L172" i="7"/>
  <c r="J172" i="7"/>
  <c r="I172" i="7"/>
  <c r="G172" i="7"/>
  <c r="F172" i="7"/>
  <c r="V171" i="7"/>
  <c r="U171" i="7"/>
  <c r="S171" i="7"/>
  <c r="R171" i="7"/>
  <c r="J171" i="7"/>
  <c r="I171" i="7"/>
  <c r="G171" i="7"/>
  <c r="F171" i="7"/>
  <c r="V170" i="7"/>
  <c r="U170" i="7"/>
  <c r="S170" i="7"/>
  <c r="R170" i="7"/>
  <c r="J170" i="7"/>
  <c r="I170" i="7"/>
  <c r="G170" i="7"/>
  <c r="F170" i="7"/>
  <c r="X166" i="7"/>
  <c r="V166" i="7"/>
  <c r="U166" i="7"/>
  <c r="S166" i="7"/>
  <c r="R166" i="7"/>
  <c r="M166" i="7"/>
  <c r="L166" i="7"/>
  <c r="K166" i="7"/>
  <c r="J166" i="7"/>
  <c r="I166" i="7"/>
  <c r="H166" i="7"/>
  <c r="G166" i="7"/>
  <c r="F166" i="7"/>
  <c r="V165" i="7"/>
  <c r="U165" i="7"/>
  <c r="S165" i="7"/>
  <c r="R165" i="7"/>
  <c r="K165" i="7"/>
  <c r="J165" i="7"/>
  <c r="I165" i="7"/>
  <c r="H165" i="7"/>
  <c r="G165" i="7"/>
  <c r="F165" i="7"/>
  <c r="V164" i="7"/>
  <c r="U164" i="7"/>
  <c r="S164" i="7"/>
  <c r="R164" i="7"/>
  <c r="K164" i="7"/>
  <c r="J164" i="7"/>
  <c r="I164" i="7"/>
  <c r="H164" i="7"/>
  <c r="G164" i="7"/>
  <c r="F164" i="7"/>
  <c r="X159" i="7"/>
  <c r="V159" i="7"/>
  <c r="U159" i="7"/>
  <c r="S159" i="7"/>
  <c r="R159" i="7"/>
  <c r="L159" i="7"/>
  <c r="J159" i="7"/>
  <c r="I159" i="7"/>
  <c r="G159" i="7"/>
  <c r="F159" i="7"/>
  <c r="V158" i="7"/>
  <c r="U158" i="7"/>
  <c r="S158" i="7"/>
  <c r="R158" i="7"/>
  <c r="J158" i="7"/>
  <c r="I158" i="7"/>
  <c r="G158" i="7"/>
  <c r="F158" i="7"/>
  <c r="V157" i="7"/>
  <c r="U157" i="7"/>
  <c r="S157" i="7"/>
  <c r="R157" i="7"/>
  <c r="J157" i="7"/>
  <c r="I157" i="7"/>
  <c r="G157" i="7"/>
  <c r="F157" i="7"/>
  <c r="X153" i="7"/>
  <c r="V153" i="7"/>
  <c r="U153" i="7"/>
  <c r="S153" i="7"/>
  <c r="R153" i="7"/>
  <c r="M153" i="7"/>
  <c r="L153" i="7"/>
  <c r="K153" i="7"/>
  <c r="J153" i="7"/>
  <c r="I153" i="7"/>
  <c r="H153" i="7"/>
  <c r="G153" i="7"/>
  <c r="F153" i="7"/>
  <c r="V152" i="7"/>
  <c r="U152" i="7"/>
  <c r="S152" i="7"/>
  <c r="R152" i="7"/>
  <c r="K152" i="7"/>
  <c r="J152" i="7"/>
  <c r="I152" i="7"/>
  <c r="H152" i="7"/>
  <c r="G152" i="7"/>
  <c r="F152" i="7"/>
  <c r="V151" i="7"/>
  <c r="U151" i="7"/>
  <c r="S151" i="7"/>
  <c r="R151" i="7"/>
  <c r="K151" i="7"/>
  <c r="J151" i="7"/>
  <c r="I151" i="7"/>
  <c r="H151" i="7"/>
  <c r="G151" i="7"/>
  <c r="F151" i="7"/>
  <c r="X146" i="7"/>
  <c r="V146" i="7"/>
  <c r="U146" i="7"/>
  <c r="S146" i="7"/>
  <c r="R146" i="7"/>
  <c r="L146" i="7"/>
  <c r="J146" i="7"/>
  <c r="I146" i="7"/>
  <c r="G146" i="7"/>
  <c r="F146" i="7"/>
  <c r="V145" i="7"/>
  <c r="U145" i="7"/>
  <c r="S145" i="7"/>
  <c r="R145" i="7"/>
  <c r="J145" i="7"/>
  <c r="I145" i="7"/>
  <c r="G145" i="7"/>
  <c r="F145" i="7"/>
  <c r="V144" i="7"/>
  <c r="U144" i="7"/>
  <c r="S144" i="7"/>
  <c r="R144" i="7"/>
  <c r="J144" i="7"/>
  <c r="I144" i="7"/>
  <c r="G144" i="7"/>
  <c r="F144" i="7"/>
  <c r="X140" i="7"/>
  <c r="V140" i="7"/>
  <c r="U140" i="7"/>
  <c r="S140" i="7"/>
  <c r="R140" i="7"/>
  <c r="M140" i="7"/>
  <c r="L140" i="7"/>
  <c r="K140" i="7"/>
  <c r="J140" i="7"/>
  <c r="I140" i="7"/>
  <c r="H140" i="7"/>
  <c r="G140" i="7"/>
  <c r="F140" i="7"/>
  <c r="V139" i="7"/>
  <c r="U139" i="7"/>
  <c r="S139" i="7"/>
  <c r="R139" i="7"/>
  <c r="K139" i="7"/>
  <c r="J139" i="7"/>
  <c r="I139" i="7"/>
  <c r="H139" i="7"/>
  <c r="G139" i="7"/>
  <c r="F139" i="7"/>
  <c r="V138" i="7"/>
  <c r="U138" i="7"/>
  <c r="S138" i="7"/>
  <c r="R138" i="7"/>
  <c r="K138" i="7"/>
  <c r="J138" i="7"/>
  <c r="I138" i="7"/>
  <c r="H138" i="7"/>
  <c r="G138" i="7"/>
  <c r="F138" i="7"/>
  <c r="X133" i="7"/>
  <c r="V133" i="7"/>
  <c r="U133" i="7"/>
  <c r="S133" i="7"/>
  <c r="R133" i="7"/>
  <c r="L133" i="7"/>
  <c r="J133" i="7"/>
  <c r="I133" i="7"/>
  <c r="G133" i="7"/>
  <c r="F133" i="7"/>
  <c r="V132" i="7"/>
  <c r="U132" i="7"/>
  <c r="S132" i="7"/>
  <c r="R132" i="7"/>
  <c r="J132" i="7"/>
  <c r="I132" i="7"/>
  <c r="G132" i="7"/>
  <c r="F132" i="7"/>
  <c r="V131" i="7"/>
  <c r="U131" i="7"/>
  <c r="S131" i="7"/>
  <c r="R131" i="7"/>
  <c r="J131" i="7"/>
  <c r="I131" i="7"/>
  <c r="G131" i="7"/>
  <c r="F131" i="7"/>
  <c r="X127" i="7"/>
  <c r="V127" i="7"/>
  <c r="U127" i="7"/>
  <c r="S127" i="7"/>
  <c r="R127" i="7"/>
  <c r="M127" i="7"/>
  <c r="L127" i="7"/>
  <c r="K127" i="7"/>
  <c r="J127" i="7"/>
  <c r="I127" i="7"/>
  <c r="H127" i="7"/>
  <c r="G127" i="7"/>
  <c r="F127" i="7"/>
  <c r="V126" i="7"/>
  <c r="U126" i="7"/>
  <c r="S126" i="7"/>
  <c r="R126" i="7"/>
  <c r="K126" i="7"/>
  <c r="J126" i="7"/>
  <c r="I126" i="7"/>
  <c r="H126" i="7"/>
  <c r="G126" i="7"/>
  <c r="F126" i="7"/>
  <c r="V125" i="7"/>
  <c r="U125" i="7"/>
  <c r="S125" i="7"/>
  <c r="R125" i="7"/>
  <c r="K125" i="7"/>
  <c r="J125" i="7"/>
  <c r="I125" i="7"/>
  <c r="H125" i="7"/>
  <c r="G125" i="7"/>
  <c r="F125" i="7"/>
  <c r="X120" i="7"/>
  <c r="V120" i="7"/>
  <c r="U120" i="7"/>
  <c r="S120" i="7"/>
  <c r="R120" i="7"/>
  <c r="L120" i="7"/>
  <c r="J120" i="7"/>
  <c r="I120" i="7"/>
  <c r="G120" i="7"/>
  <c r="F120" i="7"/>
  <c r="V119" i="7"/>
  <c r="U119" i="7"/>
  <c r="S119" i="7"/>
  <c r="R119" i="7"/>
  <c r="J119" i="7"/>
  <c r="I119" i="7"/>
  <c r="G119" i="7"/>
  <c r="F119" i="7"/>
  <c r="V118" i="7"/>
  <c r="U118" i="7"/>
  <c r="S118" i="7"/>
  <c r="R118" i="7"/>
  <c r="J118" i="7"/>
  <c r="I118" i="7"/>
  <c r="G118" i="7"/>
  <c r="F118" i="7"/>
  <c r="X114" i="7"/>
  <c r="V114" i="7"/>
  <c r="U114" i="7"/>
  <c r="S114" i="7"/>
  <c r="R114" i="7"/>
  <c r="M114" i="7"/>
  <c r="L114" i="7"/>
  <c r="K114" i="7"/>
  <c r="J114" i="7"/>
  <c r="I114" i="7"/>
  <c r="H114" i="7"/>
  <c r="G114" i="7"/>
  <c r="F114" i="7"/>
  <c r="V113" i="7"/>
  <c r="U113" i="7"/>
  <c r="S113" i="7"/>
  <c r="R113" i="7"/>
  <c r="K113" i="7"/>
  <c r="J113" i="7"/>
  <c r="I113" i="7"/>
  <c r="H113" i="7"/>
  <c r="G113" i="7"/>
  <c r="F113" i="7"/>
  <c r="V112" i="7"/>
  <c r="U112" i="7"/>
  <c r="S112" i="7"/>
  <c r="R112" i="7"/>
  <c r="K112" i="7"/>
  <c r="J112" i="7"/>
  <c r="I112" i="7"/>
  <c r="H112" i="7"/>
  <c r="G112" i="7"/>
  <c r="F112" i="7"/>
  <c r="X107" i="7"/>
  <c r="V107" i="7"/>
  <c r="U107" i="7"/>
  <c r="S107" i="7"/>
  <c r="R107" i="7"/>
  <c r="L107" i="7"/>
  <c r="J107" i="7"/>
  <c r="I107" i="7"/>
  <c r="G107" i="7"/>
  <c r="F107" i="7"/>
  <c r="V106" i="7"/>
  <c r="U106" i="7"/>
  <c r="S106" i="7"/>
  <c r="R106" i="7"/>
  <c r="J106" i="7"/>
  <c r="I106" i="7"/>
  <c r="G106" i="7"/>
  <c r="F106" i="7"/>
  <c r="V105" i="7"/>
  <c r="U105" i="7"/>
  <c r="S105" i="7"/>
  <c r="R105" i="7"/>
  <c r="J105" i="7"/>
  <c r="I105" i="7"/>
  <c r="G105" i="7"/>
  <c r="F105" i="7"/>
  <c r="X101" i="7"/>
  <c r="V101" i="7"/>
  <c r="U101" i="7"/>
  <c r="S101" i="7"/>
  <c r="R101" i="7"/>
  <c r="M101" i="7"/>
  <c r="L101" i="7"/>
  <c r="K101" i="7"/>
  <c r="J101" i="7"/>
  <c r="I101" i="7"/>
  <c r="H101" i="7"/>
  <c r="G101" i="7"/>
  <c r="F101" i="7"/>
  <c r="V100" i="7"/>
  <c r="U100" i="7"/>
  <c r="S100" i="7"/>
  <c r="R100" i="7"/>
  <c r="K100" i="7"/>
  <c r="J100" i="7"/>
  <c r="I100" i="7"/>
  <c r="H100" i="7"/>
  <c r="G100" i="7"/>
  <c r="F100" i="7"/>
  <c r="V99" i="7"/>
  <c r="U99" i="7"/>
  <c r="S99" i="7"/>
  <c r="R99" i="7"/>
  <c r="K99" i="7"/>
  <c r="J99" i="7"/>
  <c r="I99" i="7"/>
  <c r="H99" i="7"/>
  <c r="G99" i="7"/>
  <c r="F99" i="7"/>
  <c r="X94" i="7"/>
  <c r="V94" i="7"/>
  <c r="U94" i="7"/>
  <c r="S94" i="7"/>
  <c r="R94" i="7"/>
  <c r="L94" i="7"/>
  <c r="J94" i="7"/>
  <c r="I94" i="7"/>
  <c r="G94" i="7"/>
  <c r="F94" i="7"/>
  <c r="V93" i="7"/>
  <c r="U93" i="7"/>
  <c r="S93" i="7"/>
  <c r="R93" i="7"/>
  <c r="J93" i="7"/>
  <c r="I93" i="7"/>
  <c r="G93" i="7"/>
  <c r="F93" i="7"/>
  <c r="V92" i="7"/>
  <c r="U92" i="7"/>
  <c r="S92" i="7"/>
  <c r="R92" i="7"/>
  <c r="J92" i="7"/>
  <c r="I92" i="7"/>
  <c r="G92" i="7"/>
  <c r="F92" i="7"/>
  <c r="X88" i="7"/>
  <c r="V88" i="7"/>
  <c r="U88" i="7"/>
  <c r="S88" i="7"/>
  <c r="R88" i="7"/>
  <c r="M88" i="7"/>
  <c r="L88" i="7"/>
  <c r="K88" i="7"/>
  <c r="J88" i="7"/>
  <c r="I88" i="7"/>
  <c r="H88" i="7"/>
  <c r="G88" i="7"/>
  <c r="F88" i="7"/>
  <c r="V87" i="7"/>
  <c r="U87" i="7"/>
  <c r="S87" i="7"/>
  <c r="R87" i="7"/>
  <c r="K87" i="7"/>
  <c r="J87" i="7"/>
  <c r="I87" i="7"/>
  <c r="H87" i="7"/>
  <c r="G87" i="7"/>
  <c r="F87" i="7"/>
  <c r="V86" i="7"/>
  <c r="U86" i="7"/>
  <c r="S86" i="7"/>
  <c r="R86" i="7"/>
  <c r="K86" i="7"/>
  <c r="J86" i="7"/>
  <c r="I86" i="7"/>
  <c r="H86" i="7"/>
  <c r="G86" i="7"/>
  <c r="F86" i="7"/>
  <c r="X81" i="7"/>
  <c r="V81" i="7"/>
  <c r="U81" i="7"/>
  <c r="S81" i="7"/>
  <c r="R81" i="7"/>
  <c r="L81" i="7"/>
  <c r="J81" i="7"/>
  <c r="I81" i="7"/>
  <c r="G81" i="7"/>
  <c r="F81" i="7"/>
  <c r="V80" i="7"/>
  <c r="U80" i="7"/>
  <c r="S80" i="7"/>
  <c r="R80" i="7"/>
  <c r="J80" i="7"/>
  <c r="I80" i="7"/>
  <c r="G80" i="7"/>
  <c r="F80" i="7"/>
  <c r="V79" i="7"/>
  <c r="U79" i="7"/>
  <c r="S79" i="7"/>
  <c r="R79" i="7"/>
  <c r="J79" i="7"/>
  <c r="I79" i="7"/>
  <c r="G79" i="7"/>
  <c r="F79" i="7"/>
  <c r="X75" i="7"/>
  <c r="V75" i="7"/>
  <c r="U75" i="7"/>
  <c r="S75" i="7"/>
  <c r="R75" i="7"/>
  <c r="M75" i="7"/>
  <c r="L75" i="7"/>
  <c r="K75" i="7"/>
  <c r="J75" i="7"/>
  <c r="I75" i="7"/>
  <c r="H75" i="7"/>
  <c r="G75" i="7"/>
  <c r="F75" i="7"/>
  <c r="V74" i="7"/>
  <c r="U74" i="7"/>
  <c r="S74" i="7"/>
  <c r="R74" i="7"/>
  <c r="K74" i="7"/>
  <c r="J74" i="7"/>
  <c r="I74" i="7"/>
  <c r="H74" i="7"/>
  <c r="G74" i="7"/>
  <c r="F74" i="7"/>
  <c r="V73" i="7"/>
  <c r="U73" i="7"/>
  <c r="S73" i="7"/>
  <c r="R73" i="7"/>
  <c r="K73" i="7"/>
  <c r="J73" i="7"/>
  <c r="I73" i="7"/>
  <c r="H73" i="7"/>
  <c r="G73" i="7"/>
  <c r="F73" i="7"/>
  <c r="X263" i="30"/>
  <c r="V263" i="30"/>
  <c r="U263" i="30"/>
  <c r="S263" i="30"/>
  <c r="R263" i="30"/>
  <c r="L263" i="30"/>
  <c r="J263" i="30"/>
  <c r="I263" i="30"/>
  <c r="G263" i="30"/>
  <c r="F263" i="30"/>
  <c r="V262" i="30"/>
  <c r="U262" i="30"/>
  <c r="S262" i="30"/>
  <c r="R262" i="30"/>
  <c r="J262" i="30"/>
  <c r="I262" i="30"/>
  <c r="G262" i="30"/>
  <c r="F262" i="30"/>
  <c r="V261" i="30"/>
  <c r="U261" i="30"/>
  <c r="S261" i="30"/>
  <c r="R261" i="30"/>
  <c r="J261" i="30"/>
  <c r="I261" i="30"/>
  <c r="G261" i="30"/>
  <c r="F261" i="30"/>
  <c r="X257" i="30"/>
  <c r="V257" i="30"/>
  <c r="U257" i="30"/>
  <c r="S257" i="30"/>
  <c r="R257" i="30"/>
  <c r="M257" i="30"/>
  <c r="L257" i="30"/>
  <c r="K257" i="30"/>
  <c r="J257" i="30"/>
  <c r="I257" i="30"/>
  <c r="H257" i="30"/>
  <c r="G257" i="30"/>
  <c r="F257" i="30"/>
  <c r="V256" i="30"/>
  <c r="U256" i="30"/>
  <c r="S256" i="30"/>
  <c r="R256" i="30"/>
  <c r="K256" i="30"/>
  <c r="J256" i="30"/>
  <c r="I256" i="30"/>
  <c r="H256" i="30"/>
  <c r="G256" i="30"/>
  <c r="F256" i="30"/>
  <c r="V255" i="30"/>
  <c r="U255" i="30"/>
  <c r="S255" i="30"/>
  <c r="R255" i="30"/>
  <c r="K255" i="30"/>
  <c r="J255" i="30"/>
  <c r="I255" i="30"/>
  <c r="H255" i="30"/>
  <c r="G255" i="30"/>
  <c r="F255" i="30"/>
  <c r="X250" i="30"/>
  <c r="V250" i="30"/>
  <c r="U250" i="30"/>
  <c r="S250" i="30"/>
  <c r="R250" i="30"/>
  <c r="L250" i="30"/>
  <c r="J250" i="30"/>
  <c r="I250" i="30"/>
  <c r="G250" i="30"/>
  <c r="F250" i="30"/>
  <c r="V249" i="30"/>
  <c r="U249" i="30"/>
  <c r="S249" i="30"/>
  <c r="R249" i="30"/>
  <c r="J249" i="30"/>
  <c r="I249" i="30"/>
  <c r="G249" i="30"/>
  <c r="F249" i="30"/>
  <c r="V248" i="30"/>
  <c r="U248" i="30"/>
  <c r="S248" i="30"/>
  <c r="R248" i="30"/>
  <c r="J248" i="30"/>
  <c r="I248" i="30"/>
  <c r="G248" i="30"/>
  <c r="F248" i="30"/>
  <c r="X244" i="30"/>
  <c r="V244" i="30"/>
  <c r="U244" i="30"/>
  <c r="S244" i="30"/>
  <c r="R244" i="30"/>
  <c r="M244" i="30"/>
  <c r="L244" i="30"/>
  <c r="K244" i="30"/>
  <c r="J244" i="30"/>
  <c r="I244" i="30"/>
  <c r="H244" i="30"/>
  <c r="G244" i="30"/>
  <c r="F244" i="30"/>
  <c r="V243" i="30"/>
  <c r="U243" i="30"/>
  <c r="S243" i="30"/>
  <c r="R243" i="30"/>
  <c r="K243" i="30"/>
  <c r="J243" i="30"/>
  <c r="I243" i="30"/>
  <c r="H243" i="30"/>
  <c r="G243" i="30"/>
  <c r="F243" i="30"/>
  <c r="V242" i="30"/>
  <c r="U242" i="30"/>
  <c r="S242" i="30"/>
  <c r="R242" i="30"/>
  <c r="K242" i="30"/>
  <c r="J242" i="30"/>
  <c r="I242" i="30"/>
  <c r="H242" i="30"/>
  <c r="G242" i="30"/>
  <c r="F242" i="30"/>
  <c r="X237" i="30"/>
  <c r="V237" i="30"/>
  <c r="U237" i="30"/>
  <c r="S237" i="30"/>
  <c r="R237" i="30"/>
  <c r="L237" i="30"/>
  <c r="J237" i="30"/>
  <c r="I237" i="30"/>
  <c r="G237" i="30"/>
  <c r="F237" i="30"/>
  <c r="V236" i="30"/>
  <c r="U236" i="30"/>
  <c r="S236" i="30"/>
  <c r="R236" i="30"/>
  <c r="J236" i="30"/>
  <c r="I236" i="30"/>
  <c r="G236" i="30"/>
  <c r="F236" i="30"/>
  <c r="V235" i="30"/>
  <c r="U235" i="30"/>
  <c r="S235" i="30"/>
  <c r="R235" i="30"/>
  <c r="J235" i="30"/>
  <c r="I235" i="30"/>
  <c r="G235" i="30"/>
  <c r="F235" i="30"/>
  <c r="X231" i="30"/>
  <c r="V231" i="30"/>
  <c r="U231" i="30"/>
  <c r="S231" i="30"/>
  <c r="R231" i="30"/>
  <c r="M231" i="30"/>
  <c r="L231" i="30"/>
  <c r="K231" i="30"/>
  <c r="J231" i="30"/>
  <c r="I231" i="30"/>
  <c r="H231" i="30"/>
  <c r="G231" i="30"/>
  <c r="F231" i="30"/>
  <c r="V230" i="30"/>
  <c r="U230" i="30"/>
  <c r="S230" i="30"/>
  <c r="R230" i="30"/>
  <c r="K230" i="30"/>
  <c r="J230" i="30"/>
  <c r="I230" i="30"/>
  <c r="H230" i="30"/>
  <c r="G230" i="30"/>
  <c r="F230" i="30"/>
  <c r="V229" i="30"/>
  <c r="U229" i="30"/>
  <c r="S229" i="30"/>
  <c r="R229" i="30"/>
  <c r="K229" i="30"/>
  <c r="J229" i="30"/>
  <c r="I229" i="30"/>
  <c r="H229" i="30"/>
  <c r="G229" i="30"/>
  <c r="F229" i="30"/>
  <c r="X224" i="30"/>
  <c r="V224" i="30"/>
  <c r="U224" i="30"/>
  <c r="S224" i="30"/>
  <c r="R224" i="30"/>
  <c r="L224" i="30"/>
  <c r="J224" i="30"/>
  <c r="I224" i="30"/>
  <c r="G224" i="30"/>
  <c r="F224" i="30"/>
  <c r="V223" i="30"/>
  <c r="U223" i="30"/>
  <c r="S223" i="30"/>
  <c r="R223" i="30"/>
  <c r="J223" i="30"/>
  <c r="I223" i="30"/>
  <c r="G223" i="30"/>
  <c r="F223" i="30"/>
  <c r="V222" i="30"/>
  <c r="U222" i="30"/>
  <c r="S222" i="30"/>
  <c r="R222" i="30"/>
  <c r="J222" i="30"/>
  <c r="I222" i="30"/>
  <c r="G222" i="30"/>
  <c r="F222" i="30"/>
  <c r="X218" i="30"/>
  <c r="V218" i="30"/>
  <c r="U218" i="30"/>
  <c r="S218" i="30"/>
  <c r="R218" i="30"/>
  <c r="M218" i="30"/>
  <c r="L218" i="30"/>
  <c r="K218" i="30"/>
  <c r="J218" i="30"/>
  <c r="I218" i="30"/>
  <c r="H218" i="30"/>
  <c r="G218" i="30"/>
  <c r="F218" i="30"/>
  <c r="V217" i="30"/>
  <c r="U217" i="30"/>
  <c r="S217" i="30"/>
  <c r="R217" i="30"/>
  <c r="K217" i="30"/>
  <c r="J217" i="30"/>
  <c r="I217" i="30"/>
  <c r="H217" i="30"/>
  <c r="G217" i="30"/>
  <c r="F217" i="30"/>
  <c r="V216" i="30"/>
  <c r="U216" i="30"/>
  <c r="S216" i="30"/>
  <c r="R216" i="30"/>
  <c r="K216" i="30"/>
  <c r="J216" i="30"/>
  <c r="I216" i="30"/>
  <c r="H216" i="30"/>
  <c r="G216" i="30"/>
  <c r="F216" i="30"/>
  <c r="X211" i="30"/>
  <c r="V211" i="30"/>
  <c r="U211" i="30"/>
  <c r="S211" i="30"/>
  <c r="R211" i="30"/>
  <c r="L211" i="30"/>
  <c r="J211" i="30"/>
  <c r="I211" i="30"/>
  <c r="G211" i="30"/>
  <c r="F211" i="30"/>
  <c r="V210" i="30"/>
  <c r="U210" i="30"/>
  <c r="S210" i="30"/>
  <c r="R210" i="30"/>
  <c r="J210" i="30"/>
  <c r="I210" i="30"/>
  <c r="G210" i="30"/>
  <c r="F210" i="30"/>
  <c r="V209" i="30"/>
  <c r="U209" i="30"/>
  <c r="S209" i="30"/>
  <c r="R209" i="30"/>
  <c r="J209" i="30"/>
  <c r="I209" i="30"/>
  <c r="G209" i="30"/>
  <c r="F209" i="30"/>
  <c r="X205" i="30"/>
  <c r="V205" i="30"/>
  <c r="U205" i="30"/>
  <c r="S205" i="30"/>
  <c r="R205" i="30"/>
  <c r="M205" i="30"/>
  <c r="L205" i="30"/>
  <c r="K205" i="30"/>
  <c r="J205" i="30"/>
  <c r="I205" i="30"/>
  <c r="H205" i="30"/>
  <c r="G205" i="30"/>
  <c r="F205" i="30"/>
  <c r="V204" i="30"/>
  <c r="U204" i="30"/>
  <c r="S204" i="30"/>
  <c r="R204" i="30"/>
  <c r="K204" i="30"/>
  <c r="J204" i="30"/>
  <c r="I204" i="30"/>
  <c r="H204" i="30"/>
  <c r="G204" i="30"/>
  <c r="F204" i="30"/>
  <c r="V203" i="30"/>
  <c r="U203" i="30"/>
  <c r="S203" i="30"/>
  <c r="R203" i="30"/>
  <c r="K203" i="30"/>
  <c r="J203" i="30"/>
  <c r="I203" i="30"/>
  <c r="H203" i="30"/>
  <c r="G203" i="30"/>
  <c r="F203" i="30"/>
  <c r="X198" i="30"/>
  <c r="V198" i="30"/>
  <c r="U198" i="30"/>
  <c r="S198" i="30"/>
  <c r="R198" i="30"/>
  <c r="L198" i="30"/>
  <c r="J198" i="30"/>
  <c r="I198" i="30"/>
  <c r="G198" i="30"/>
  <c r="F198" i="30"/>
  <c r="V197" i="30"/>
  <c r="U197" i="30"/>
  <c r="S197" i="30"/>
  <c r="R197" i="30"/>
  <c r="J197" i="30"/>
  <c r="I197" i="30"/>
  <c r="G197" i="30"/>
  <c r="F197" i="30"/>
  <c r="V196" i="30"/>
  <c r="U196" i="30"/>
  <c r="S196" i="30"/>
  <c r="R196" i="30"/>
  <c r="J196" i="30"/>
  <c r="I196" i="30"/>
  <c r="G196" i="30"/>
  <c r="F196" i="30"/>
  <c r="X192" i="30"/>
  <c r="V192" i="30"/>
  <c r="U192" i="30"/>
  <c r="S192" i="30"/>
  <c r="R192" i="30"/>
  <c r="M192" i="30"/>
  <c r="L192" i="30"/>
  <c r="K192" i="30"/>
  <c r="J192" i="30"/>
  <c r="I192" i="30"/>
  <c r="H192" i="30"/>
  <c r="G192" i="30"/>
  <c r="F192" i="30"/>
  <c r="V191" i="30"/>
  <c r="U191" i="30"/>
  <c r="S191" i="30"/>
  <c r="R191" i="30"/>
  <c r="K191" i="30"/>
  <c r="J191" i="30"/>
  <c r="I191" i="30"/>
  <c r="H191" i="30"/>
  <c r="G191" i="30"/>
  <c r="F191" i="30"/>
  <c r="V190" i="30"/>
  <c r="U190" i="30"/>
  <c r="S190" i="30"/>
  <c r="R190" i="30"/>
  <c r="K190" i="30"/>
  <c r="J190" i="30"/>
  <c r="I190" i="30"/>
  <c r="H190" i="30"/>
  <c r="G190" i="30"/>
  <c r="F190" i="30"/>
  <c r="X185" i="30"/>
  <c r="V185" i="30"/>
  <c r="U185" i="30"/>
  <c r="S185" i="30"/>
  <c r="R185" i="30"/>
  <c r="L185" i="30"/>
  <c r="J185" i="30"/>
  <c r="I185" i="30"/>
  <c r="G185" i="30"/>
  <c r="F185" i="30"/>
  <c r="V184" i="30"/>
  <c r="U184" i="30"/>
  <c r="S184" i="30"/>
  <c r="R184" i="30"/>
  <c r="J184" i="30"/>
  <c r="I184" i="30"/>
  <c r="G184" i="30"/>
  <c r="F184" i="30"/>
  <c r="V183" i="30"/>
  <c r="U183" i="30"/>
  <c r="S183" i="30"/>
  <c r="R183" i="30"/>
  <c r="J183" i="30"/>
  <c r="I183" i="30"/>
  <c r="G183" i="30"/>
  <c r="F183" i="30"/>
  <c r="X179" i="30"/>
  <c r="V179" i="30"/>
  <c r="U179" i="30"/>
  <c r="S179" i="30"/>
  <c r="R179" i="30"/>
  <c r="M179" i="30"/>
  <c r="L179" i="30"/>
  <c r="K179" i="30"/>
  <c r="J179" i="30"/>
  <c r="I179" i="30"/>
  <c r="H179" i="30"/>
  <c r="G179" i="30"/>
  <c r="F179" i="30"/>
  <c r="V178" i="30"/>
  <c r="U178" i="30"/>
  <c r="S178" i="30"/>
  <c r="R178" i="30"/>
  <c r="K178" i="30"/>
  <c r="J178" i="30"/>
  <c r="I178" i="30"/>
  <c r="H178" i="30"/>
  <c r="G178" i="30"/>
  <c r="F178" i="30"/>
  <c r="V177" i="30"/>
  <c r="U177" i="30"/>
  <c r="S177" i="30"/>
  <c r="R177" i="30"/>
  <c r="K177" i="30"/>
  <c r="J177" i="30"/>
  <c r="I177" i="30"/>
  <c r="H177" i="30"/>
  <c r="G177" i="30"/>
  <c r="F177" i="30"/>
  <c r="X172" i="30"/>
  <c r="V172" i="30"/>
  <c r="U172" i="30"/>
  <c r="S172" i="30"/>
  <c r="R172" i="30"/>
  <c r="L172" i="30"/>
  <c r="J172" i="30"/>
  <c r="I172" i="30"/>
  <c r="G172" i="30"/>
  <c r="F172" i="30"/>
  <c r="V171" i="30"/>
  <c r="U171" i="30"/>
  <c r="S171" i="30"/>
  <c r="R171" i="30"/>
  <c r="J171" i="30"/>
  <c r="I171" i="30"/>
  <c r="G171" i="30"/>
  <c r="F171" i="30"/>
  <c r="V170" i="30"/>
  <c r="U170" i="30"/>
  <c r="S170" i="30"/>
  <c r="R170" i="30"/>
  <c r="J170" i="30"/>
  <c r="I170" i="30"/>
  <c r="G170" i="30"/>
  <c r="F170" i="30"/>
  <c r="X166" i="30"/>
  <c r="V166" i="30"/>
  <c r="U166" i="30"/>
  <c r="S166" i="30"/>
  <c r="R166" i="30"/>
  <c r="M166" i="30"/>
  <c r="L166" i="30"/>
  <c r="K166" i="30"/>
  <c r="J166" i="30"/>
  <c r="I166" i="30"/>
  <c r="H166" i="30"/>
  <c r="G166" i="30"/>
  <c r="F166" i="30"/>
  <c r="V165" i="30"/>
  <c r="U165" i="30"/>
  <c r="S165" i="30"/>
  <c r="R165" i="30"/>
  <c r="K165" i="30"/>
  <c r="J165" i="30"/>
  <c r="I165" i="30"/>
  <c r="H165" i="30"/>
  <c r="G165" i="30"/>
  <c r="F165" i="30"/>
  <c r="V164" i="30"/>
  <c r="U164" i="30"/>
  <c r="S164" i="30"/>
  <c r="R164" i="30"/>
  <c r="K164" i="30"/>
  <c r="J164" i="30"/>
  <c r="I164" i="30"/>
  <c r="H164" i="30"/>
  <c r="G164" i="30"/>
  <c r="F164" i="30"/>
  <c r="X159" i="30"/>
  <c r="V159" i="30"/>
  <c r="U159" i="30"/>
  <c r="S159" i="30"/>
  <c r="R159" i="30"/>
  <c r="L159" i="30"/>
  <c r="J159" i="30"/>
  <c r="I159" i="30"/>
  <c r="G159" i="30"/>
  <c r="F159" i="30"/>
  <c r="V158" i="30"/>
  <c r="U158" i="30"/>
  <c r="S158" i="30"/>
  <c r="R158" i="30"/>
  <c r="J158" i="30"/>
  <c r="I158" i="30"/>
  <c r="G158" i="30"/>
  <c r="F158" i="30"/>
  <c r="V157" i="30"/>
  <c r="U157" i="30"/>
  <c r="S157" i="30"/>
  <c r="R157" i="30"/>
  <c r="J157" i="30"/>
  <c r="I157" i="30"/>
  <c r="G157" i="30"/>
  <c r="F157" i="30"/>
  <c r="X153" i="30"/>
  <c r="V153" i="30"/>
  <c r="U153" i="30"/>
  <c r="S153" i="30"/>
  <c r="R153" i="30"/>
  <c r="M153" i="30"/>
  <c r="L153" i="30"/>
  <c r="K153" i="30"/>
  <c r="J153" i="30"/>
  <c r="I153" i="30"/>
  <c r="H153" i="30"/>
  <c r="G153" i="30"/>
  <c r="F153" i="30"/>
  <c r="V152" i="30"/>
  <c r="U152" i="30"/>
  <c r="S152" i="30"/>
  <c r="R152" i="30"/>
  <c r="K152" i="30"/>
  <c r="J152" i="30"/>
  <c r="I152" i="30"/>
  <c r="H152" i="30"/>
  <c r="G152" i="30"/>
  <c r="F152" i="30"/>
  <c r="V151" i="30"/>
  <c r="U151" i="30"/>
  <c r="S151" i="30"/>
  <c r="R151" i="30"/>
  <c r="K151" i="30"/>
  <c r="J151" i="30"/>
  <c r="I151" i="30"/>
  <c r="H151" i="30"/>
  <c r="G151" i="30"/>
  <c r="F151" i="30"/>
  <c r="X146" i="30"/>
  <c r="V146" i="30"/>
  <c r="U146" i="30"/>
  <c r="S146" i="30"/>
  <c r="R146" i="30"/>
  <c r="L146" i="30"/>
  <c r="J146" i="30"/>
  <c r="I146" i="30"/>
  <c r="G146" i="30"/>
  <c r="F146" i="30"/>
  <c r="V145" i="30"/>
  <c r="U145" i="30"/>
  <c r="S145" i="30"/>
  <c r="R145" i="30"/>
  <c r="J145" i="30"/>
  <c r="I145" i="30"/>
  <c r="G145" i="30"/>
  <c r="F145" i="30"/>
  <c r="V144" i="30"/>
  <c r="U144" i="30"/>
  <c r="S144" i="30"/>
  <c r="R144" i="30"/>
  <c r="J144" i="30"/>
  <c r="I144" i="30"/>
  <c r="G144" i="30"/>
  <c r="F144" i="30"/>
  <c r="X140" i="30"/>
  <c r="V140" i="30"/>
  <c r="U140" i="30"/>
  <c r="S140" i="30"/>
  <c r="R140" i="30"/>
  <c r="M140" i="30"/>
  <c r="L140" i="30"/>
  <c r="K140" i="30"/>
  <c r="J140" i="30"/>
  <c r="I140" i="30"/>
  <c r="H140" i="30"/>
  <c r="G140" i="30"/>
  <c r="F140" i="30"/>
  <c r="V139" i="30"/>
  <c r="U139" i="30"/>
  <c r="S139" i="30"/>
  <c r="R139" i="30"/>
  <c r="K139" i="30"/>
  <c r="J139" i="30"/>
  <c r="I139" i="30"/>
  <c r="H139" i="30"/>
  <c r="G139" i="30"/>
  <c r="F139" i="30"/>
  <c r="V138" i="30"/>
  <c r="U138" i="30"/>
  <c r="S138" i="30"/>
  <c r="R138" i="30"/>
  <c r="K138" i="30"/>
  <c r="J138" i="30"/>
  <c r="I138" i="30"/>
  <c r="H138" i="30"/>
  <c r="G138" i="30"/>
  <c r="F138" i="30"/>
  <c r="X133" i="30"/>
  <c r="V133" i="30"/>
  <c r="U133" i="30"/>
  <c r="S133" i="30"/>
  <c r="R133" i="30"/>
  <c r="L133" i="30"/>
  <c r="J133" i="30"/>
  <c r="I133" i="30"/>
  <c r="G133" i="30"/>
  <c r="F133" i="30"/>
  <c r="V132" i="30"/>
  <c r="U132" i="30"/>
  <c r="S132" i="30"/>
  <c r="R132" i="30"/>
  <c r="J132" i="30"/>
  <c r="I132" i="30"/>
  <c r="G132" i="30"/>
  <c r="F132" i="30"/>
  <c r="V131" i="30"/>
  <c r="U131" i="30"/>
  <c r="S131" i="30"/>
  <c r="R131" i="30"/>
  <c r="J131" i="30"/>
  <c r="I131" i="30"/>
  <c r="G131" i="30"/>
  <c r="F131" i="30"/>
  <c r="X127" i="30"/>
  <c r="V127" i="30"/>
  <c r="U127" i="30"/>
  <c r="S127" i="30"/>
  <c r="R127" i="30"/>
  <c r="M127" i="30"/>
  <c r="L127" i="30"/>
  <c r="K127" i="30"/>
  <c r="J127" i="30"/>
  <c r="I127" i="30"/>
  <c r="H127" i="30"/>
  <c r="G127" i="30"/>
  <c r="F127" i="30"/>
  <c r="V126" i="30"/>
  <c r="U126" i="30"/>
  <c r="S126" i="30"/>
  <c r="R126" i="30"/>
  <c r="K126" i="30"/>
  <c r="J126" i="30"/>
  <c r="I126" i="30"/>
  <c r="H126" i="30"/>
  <c r="G126" i="30"/>
  <c r="F126" i="30"/>
  <c r="V125" i="30"/>
  <c r="U125" i="30"/>
  <c r="S125" i="30"/>
  <c r="R125" i="30"/>
  <c r="K125" i="30"/>
  <c r="J125" i="30"/>
  <c r="I125" i="30"/>
  <c r="H125" i="30"/>
  <c r="G125" i="30"/>
  <c r="F125" i="30"/>
  <c r="X120" i="30"/>
  <c r="V120" i="30"/>
  <c r="U120" i="30"/>
  <c r="S120" i="30"/>
  <c r="R120" i="30"/>
  <c r="L120" i="30"/>
  <c r="J120" i="30"/>
  <c r="I120" i="30"/>
  <c r="G120" i="30"/>
  <c r="F120" i="30"/>
  <c r="V119" i="30"/>
  <c r="U119" i="30"/>
  <c r="S119" i="30"/>
  <c r="R119" i="30"/>
  <c r="J119" i="30"/>
  <c r="I119" i="30"/>
  <c r="G119" i="30"/>
  <c r="F119" i="30"/>
  <c r="V118" i="30"/>
  <c r="U118" i="30"/>
  <c r="S118" i="30"/>
  <c r="R118" i="30"/>
  <c r="J118" i="30"/>
  <c r="I118" i="30"/>
  <c r="G118" i="30"/>
  <c r="F118" i="30"/>
  <c r="X114" i="30"/>
  <c r="V114" i="30"/>
  <c r="U114" i="30"/>
  <c r="S114" i="30"/>
  <c r="R114" i="30"/>
  <c r="M114" i="30"/>
  <c r="L114" i="30"/>
  <c r="K114" i="30"/>
  <c r="J114" i="30"/>
  <c r="I114" i="30"/>
  <c r="H114" i="30"/>
  <c r="G114" i="30"/>
  <c r="F114" i="30"/>
  <c r="V113" i="30"/>
  <c r="U113" i="30"/>
  <c r="S113" i="30"/>
  <c r="R113" i="30"/>
  <c r="K113" i="30"/>
  <c r="J113" i="30"/>
  <c r="I113" i="30"/>
  <c r="H113" i="30"/>
  <c r="G113" i="30"/>
  <c r="F113" i="30"/>
  <c r="V112" i="30"/>
  <c r="U112" i="30"/>
  <c r="S112" i="30"/>
  <c r="R112" i="30"/>
  <c r="K112" i="30"/>
  <c r="J112" i="30"/>
  <c r="I112" i="30"/>
  <c r="H112" i="30"/>
  <c r="G112" i="30"/>
  <c r="F112" i="30"/>
  <c r="X107" i="30"/>
  <c r="V107" i="30"/>
  <c r="U107" i="30"/>
  <c r="S107" i="30"/>
  <c r="R107" i="30"/>
  <c r="L107" i="30"/>
  <c r="J107" i="30"/>
  <c r="I107" i="30"/>
  <c r="G107" i="30"/>
  <c r="F107" i="30"/>
  <c r="V106" i="30"/>
  <c r="U106" i="30"/>
  <c r="S106" i="30"/>
  <c r="R106" i="30"/>
  <c r="J106" i="30"/>
  <c r="I106" i="30"/>
  <c r="G106" i="30"/>
  <c r="F106" i="30"/>
  <c r="V105" i="30"/>
  <c r="U105" i="30"/>
  <c r="S105" i="30"/>
  <c r="R105" i="30"/>
  <c r="J105" i="30"/>
  <c r="I105" i="30"/>
  <c r="G105" i="30"/>
  <c r="F105" i="30"/>
  <c r="X101" i="30"/>
  <c r="V101" i="30"/>
  <c r="U101" i="30"/>
  <c r="S101" i="30"/>
  <c r="R101" i="30"/>
  <c r="M101" i="30"/>
  <c r="L101" i="30"/>
  <c r="K101" i="30"/>
  <c r="J101" i="30"/>
  <c r="I101" i="30"/>
  <c r="H101" i="30"/>
  <c r="G101" i="30"/>
  <c r="F101" i="30"/>
  <c r="V100" i="30"/>
  <c r="U100" i="30"/>
  <c r="S100" i="30"/>
  <c r="R100" i="30"/>
  <c r="K100" i="30"/>
  <c r="J100" i="30"/>
  <c r="I100" i="30"/>
  <c r="H100" i="30"/>
  <c r="G100" i="30"/>
  <c r="F100" i="30"/>
  <c r="V99" i="30"/>
  <c r="U99" i="30"/>
  <c r="S99" i="30"/>
  <c r="R99" i="30"/>
  <c r="K99" i="30"/>
  <c r="J99" i="30"/>
  <c r="I99" i="30"/>
  <c r="H99" i="30"/>
  <c r="G99" i="30"/>
  <c r="F99" i="30"/>
  <c r="X94" i="30"/>
  <c r="V94" i="30"/>
  <c r="U94" i="30"/>
  <c r="S94" i="30"/>
  <c r="R94" i="30"/>
  <c r="L94" i="30"/>
  <c r="J94" i="30"/>
  <c r="I94" i="30"/>
  <c r="G94" i="30"/>
  <c r="F94" i="30"/>
  <c r="V93" i="30"/>
  <c r="U93" i="30"/>
  <c r="S93" i="30"/>
  <c r="R93" i="30"/>
  <c r="J93" i="30"/>
  <c r="I93" i="30"/>
  <c r="G93" i="30"/>
  <c r="F93" i="30"/>
  <c r="V92" i="30"/>
  <c r="U92" i="30"/>
  <c r="S92" i="30"/>
  <c r="R92" i="30"/>
  <c r="J92" i="30"/>
  <c r="I92" i="30"/>
  <c r="G92" i="30"/>
  <c r="F92" i="30"/>
  <c r="X88" i="30"/>
  <c r="V88" i="30"/>
  <c r="U88" i="30"/>
  <c r="S88" i="30"/>
  <c r="R88" i="30"/>
  <c r="M88" i="30"/>
  <c r="L88" i="30"/>
  <c r="K88" i="30"/>
  <c r="J88" i="30"/>
  <c r="I88" i="30"/>
  <c r="H88" i="30"/>
  <c r="G88" i="30"/>
  <c r="F88" i="30"/>
  <c r="V87" i="30"/>
  <c r="U87" i="30"/>
  <c r="S87" i="30"/>
  <c r="R87" i="30"/>
  <c r="K87" i="30"/>
  <c r="J87" i="30"/>
  <c r="I87" i="30"/>
  <c r="H87" i="30"/>
  <c r="G87" i="30"/>
  <c r="F87" i="30"/>
  <c r="V86" i="30"/>
  <c r="U86" i="30"/>
  <c r="S86" i="30"/>
  <c r="R86" i="30"/>
  <c r="K86" i="30"/>
  <c r="J86" i="30"/>
  <c r="I86" i="30"/>
  <c r="H86" i="30"/>
  <c r="G86" i="30"/>
  <c r="F86" i="30"/>
  <c r="X81" i="30"/>
  <c r="V81" i="30"/>
  <c r="U81" i="30"/>
  <c r="S81" i="30"/>
  <c r="R81" i="30"/>
  <c r="L81" i="30"/>
  <c r="J81" i="30"/>
  <c r="I81" i="30"/>
  <c r="G81" i="30"/>
  <c r="F81" i="30"/>
  <c r="V80" i="30"/>
  <c r="U80" i="30"/>
  <c r="S80" i="30"/>
  <c r="R80" i="30"/>
  <c r="J80" i="30"/>
  <c r="I80" i="30"/>
  <c r="G80" i="30"/>
  <c r="F80" i="30"/>
  <c r="V79" i="30"/>
  <c r="U79" i="30"/>
  <c r="S79" i="30"/>
  <c r="R79" i="30"/>
  <c r="J79" i="30"/>
  <c r="I79" i="30"/>
  <c r="G79" i="30"/>
  <c r="F79" i="30"/>
  <c r="X75" i="30"/>
  <c r="V75" i="30"/>
  <c r="U75" i="30"/>
  <c r="S75" i="30"/>
  <c r="R75" i="30"/>
  <c r="M75" i="30"/>
  <c r="L75" i="30"/>
  <c r="K75" i="30"/>
  <c r="J75" i="30"/>
  <c r="I75" i="30"/>
  <c r="H75" i="30"/>
  <c r="G75" i="30"/>
  <c r="F75" i="30"/>
  <c r="V74" i="30"/>
  <c r="U74" i="30"/>
  <c r="S74" i="30"/>
  <c r="R74" i="30"/>
  <c r="K74" i="30"/>
  <c r="J74" i="30"/>
  <c r="I74" i="30"/>
  <c r="H74" i="30"/>
  <c r="G74" i="30"/>
  <c r="F74" i="30"/>
  <c r="V73" i="30"/>
  <c r="U73" i="30"/>
  <c r="S73" i="30"/>
  <c r="R73" i="30"/>
  <c r="K73" i="30"/>
  <c r="J73" i="30"/>
  <c r="I73" i="30"/>
  <c r="H73" i="30"/>
  <c r="G73" i="30"/>
  <c r="F73" i="30"/>
  <c r="X263" i="9"/>
  <c r="V263" i="9"/>
  <c r="U263" i="9"/>
  <c r="S263" i="9"/>
  <c r="R263" i="9"/>
  <c r="L263" i="9"/>
  <c r="J263" i="9"/>
  <c r="I263" i="9"/>
  <c r="G263" i="9"/>
  <c r="F263" i="9"/>
  <c r="V262" i="9"/>
  <c r="U262" i="9"/>
  <c r="S262" i="9"/>
  <c r="R262" i="9"/>
  <c r="J262" i="9"/>
  <c r="I262" i="9"/>
  <c r="G262" i="9"/>
  <c r="F262" i="9"/>
  <c r="V261" i="9"/>
  <c r="U261" i="9"/>
  <c r="S261" i="9"/>
  <c r="R261" i="9"/>
  <c r="J261" i="9"/>
  <c r="I261" i="9"/>
  <c r="G261" i="9"/>
  <c r="F261" i="9"/>
  <c r="X257" i="9"/>
  <c r="V257" i="9"/>
  <c r="U257" i="9"/>
  <c r="S257" i="9"/>
  <c r="R257" i="9"/>
  <c r="M257" i="9"/>
  <c r="L257" i="9"/>
  <c r="K257" i="9"/>
  <c r="J257" i="9"/>
  <c r="I257" i="9"/>
  <c r="H257" i="9"/>
  <c r="G257" i="9"/>
  <c r="F257" i="9"/>
  <c r="V256" i="9"/>
  <c r="U256" i="9"/>
  <c r="S256" i="9"/>
  <c r="R256" i="9"/>
  <c r="K256" i="9"/>
  <c r="J256" i="9"/>
  <c r="I256" i="9"/>
  <c r="H256" i="9"/>
  <c r="G256" i="9"/>
  <c r="F256" i="9"/>
  <c r="V255" i="9"/>
  <c r="U255" i="9"/>
  <c r="S255" i="9"/>
  <c r="R255" i="9"/>
  <c r="K255" i="9"/>
  <c r="J255" i="9"/>
  <c r="I255" i="9"/>
  <c r="H255" i="9"/>
  <c r="G255" i="9"/>
  <c r="F255" i="9"/>
  <c r="X250" i="9"/>
  <c r="V250" i="9"/>
  <c r="U250" i="9"/>
  <c r="S250" i="9"/>
  <c r="R250" i="9"/>
  <c r="L250" i="9"/>
  <c r="J250" i="9"/>
  <c r="I250" i="9"/>
  <c r="G250" i="9"/>
  <c r="F250" i="9"/>
  <c r="V249" i="9"/>
  <c r="U249" i="9"/>
  <c r="S249" i="9"/>
  <c r="R249" i="9"/>
  <c r="J249" i="9"/>
  <c r="I249" i="9"/>
  <c r="G249" i="9"/>
  <c r="F249" i="9"/>
  <c r="V248" i="9"/>
  <c r="U248" i="9"/>
  <c r="S248" i="9"/>
  <c r="R248" i="9"/>
  <c r="J248" i="9"/>
  <c r="I248" i="9"/>
  <c r="G248" i="9"/>
  <c r="F248" i="9"/>
  <c r="X244" i="9"/>
  <c r="V244" i="9"/>
  <c r="U244" i="9"/>
  <c r="S244" i="9"/>
  <c r="R244" i="9"/>
  <c r="M244" i="9"/>
  <c r="L244" i="9"/>
  <c r="K244" i="9"/>
  <c r="J244" i="9"/>
  <c r="I244" i="9"/>
  <c r="H244" i="9"/>
  <c r="G244" i="9"/>
  <c r="F244" i="9"/>
  <c r="V243" i="9"/>
  <c r="U243" i="9"/>
  <c r="S243" i="9"/>
  <c r="R243" i="9"/>
  <c r="K243" i="9"/>
  <c r="J243" i="9"/>
  <c r="I243" i="9"/>
  <c r="H243" i="9"/>
  <c r="G243" i="9"/>
  <c r="F243" i="9"/>
  <c r="V242" i="9"/>
  <c r="U242" i="9"/>
  <c r="S242" i="9"/>
  <c r="R242" i="9"/>
  <c r="K242" i="9"/>
  <c r="J242" i="9"/>
  <c r="I242" i="9"/>
  <c r="H242" i="9"/>
  <c r="G242" i="9"/>
  <c r="F242" i="9"/>
  <c r="X237" i="9"/>
  <c r="V237" i="9"/>
  <c r="U237" i="9"/>
  <c r="S237" i="9"/>
  <c r="R237" i="9"/>
  <c r="L237" i="9"/>
  <c r="J237" i="9"/>
  <c r="I237" i="9"/>
  <c r="G237" i="9"/>
  <c r="F237" i="9"/>
  <c r="V236" i="9"/>
  <c r="U236" i="9"/>
  <c r="S236" i="9"/>
  <c r="R236" i="9"/>
  <c r="J236" i="9"/>
  <c r="I236" i="9"/>
  <c r="G236" i="9"/>
  <c r="F236" i="9"/>
  <c r="V235" i="9"/>
  <c r="U235" i="9"/>
  <c r="S235" i="9"/>
  <c r="R235" i="9"/>
  <c r="J235" i="9"/>
  <c r="I235" i="9"/>
  <c r="G235" i="9"/>
  <c r="F235" i="9"/>
  <c r="X231" i="9"/>
  <c r="V231" i="9"/>
  <c r="U231" i="9"/>
  <c r="S231" i="9"/>
  <c r="R231" i="9"/>
  <c r="M231" i="9"/>
  <c r="L231" i="9"/>
  <c r="K231" i="9"/>
  <c r="J231" i="9"/>
  <c r="I231" i="9"/>
  <c r="H231" i="9"/>
  <c r="G231" i="9"/>
  <c r="F231" i="9"/>
  <c r="V230" i="9"/>
  <c r="U230" i="9"/>
  <c r="S230" i="9"/>
  <c r="R230" i="9"/>
  <c r="K230" i="9"/>
  <c r="J230" i="9"/>
  <c r="I230" i="9"/>
  <c r="H230" i="9"/>
  <c r="G230" i="9"/>
  <c r="F230" i="9"/>
  <c r="V229" i="9"/>
  <c r="U229" i="9"/>
  <c r="S229" i="9"/>
  <c r="R229" i="9"/>
  <c r="K229" i="9"/>
  <c r="J229" i="9"/>
  <c r="I229" i="9"/>
  <c r="H229" i="9"/>
  <c r="G229" i="9"/>
  <c r="F229" i="9"/>
  <c r="X224" i="9"/>
  <c r="V224" i="9"/>
  <c r="U224" i="9"/>
  <c r="S224" i="9"/>
  <c r="R224" i="9"/>
  <c r="L224" i="9"/>
  <c r="J224" i="9"/>
  <c r="I224" i="9"/>
  <c r="G224" i="9"/>
  <c r="F224" i="9"/>
  <c r="V223" i="9"/>
  <c r="U223" i="9"/>
  <c r="S223" i="9"/>
  <c r="R223" i="9"/>
  <c r="J223" i="9"/>
  <c r="I223" i="9"/>
  <c r="G223" i="9"/>
  <c r="F223" i="9"/>
  <c r="V222" i="9"/>
  <c r="U222" i="9"/>
  <c r="S222" i="9"/>
  <c r="R222" i="9"/>
  <c r="J222" i="9"/>
  <c r="I222" i="9"/>
  <c r="G222" i="9"/>
  <c r="F222" i="9"/>
  <c r="X218" i="9"/>
  <c r="V218" i="9"/>
  <c r="U218" i="9"/>
  <c r="S218" i="9"/>
  <c r="R218" i="9"/>
  <c r="M218" i="9"/>
  <c r="L218" i="9"/>
  <c r="K218" i="9"/>
  <c r="J218" i="9"/>
  <c r="I218" i="9"/>
  <c r="H218" i="9"/>
  <c r="G218" i="9"/>
  <c r="F218" i="9"/>
  <c r="V217" i="9"/>
  <c r="U217" i="9"/>
  <c r="S217" i="9"/>
  <c r="R217" i="9"/>
  <c r="K217" i="9"/>
  <c r="J217" i="9"/>
  <c r="I217" i="9"/>
  <c r="H217" i="9"/>
  <c r="G217" i="9"/>
  <c r="F217" i="9"/>
  <c r="V216" i="9"/>
  <c r="U216" i="9"/>
  <c r="S216" i="9"/>
  <c r="R216" i="9"/>
  <c r="K216" i="9"/>
  <c r="J216" i="9"/>
  <c r="I216" i="9"/>
  <c r="H216" i="9"/>
  <c r="G216" i="9"/>
  <c r="F216" i="9"/>
  <c r="X211" i="9"/>
  <c r="V211" i="9"/>
  <c r="U211" i="9"/>
  <c r="S211" i="9"/>
  <c r="R211" i="9"/>
  <c r="L211" i="9"/>
  <c r="J211" i="9"/>
  <c r="I211" i="9"/>
  <c r="G211" i="9"/>
  <c r="F211" i="9"/>
  <c r="V210" i="9"/>
  <c r="U210" i="9"/>
  <c r="S210" i="9"/>
  <c r="R210" i="9"/>
  <c r="J210" i="9"/>
  <c r="I210" i="9"/>
  <c r="G210" i="9"/>
  <c r="F210" i="9"/>
  <c r="V209" i="9"/>
  <c r="U209" i="9"/>
  <c r="S209" i="9"/>
  <c r="R209" i="9"/>
  <c r="J209" i="9"/>
  <c r="I209" i="9"/>
  <c r="G209" i="9"/>
  <c r="F209" i="9"/>
  <c r="X205" i="9"/>
  <c r="V205" i="9"/>
  <c r="U205" i="9"/>
  <c r="S205" i="9"/>
  <c r="R205" i="9"/>
  <c r="M205" i="9"/>
  <c r="L205" i="9"/>
  <c r="K205" i="9"/>
  <c r="J205" i="9"/>
  <c r="I205" i="9"/>
  <c r="H205" i="9"/>
  <c r="G205" i="9"/>
  <c r="F205" i="9"/>
  <c r="V204" i="9"/>
  <c r="U204" i="9"/>
  <c r="S204" i="9"/>
  <c r="R204" i="9"/>
  <c r="K204" i="9"/>
  <c r="J204" i="9"/>
  <c r="I204" i="9"/>
  <c r="H204" i="9"/>
  <c r="G204" i="9"/>
  <c r="F204" i="9"/>
  <c r="V203" i="9"/>
  <c r="U203" i="9"/>
  <c r="S203" i="9"/>
  <c r="R203" i="9"/>
  <c r="K203" i="9"/>
  <c r="J203" i="9"/>
  <c r="I203" i="9"/>
  <c r="H203" i="9"/>
  <c r="G203" i="9"/>
  <c r="F203" i="9"/>
  <c r="X198" i="9"/>
  <c r="V198" i="9"/>
  <c r="U198" i="9"/>
  <c r="S198" i="9"/>
  <c r="R198" i="9"/>
  <c r="L198" i="9"/>
  <c r="J198" i="9"/>
  <c r="I198" i="9"/>
  <c r="G198" i="9"/>
  <c r="F198" i="9"/>
  <c r="V197" i="9"/>
  <c r="U197" i="9"/>
  <c r="S197" i="9"/>
  <c r="R197" i="9"/>
  <c r="J197" i="9"/>
  <c r="I197" i="9"/>
  <c r="G197" i="9"/>
  <c r="F197" i="9"/>
  <c r="V196" i="9"/>
  <c r="U196" i="9"/>
  <c r="S196" i="9"/>
  <c r="R196" i="9"/>
  <c r="J196" i="9"/>
  <c r="I196" i="9"/>
  <c r="G196" i="9"/>
  <c r="F196" i="9"/>
  <c r="X192" i="9"/>
  <c r="V192" i="9"/>
  <c r="U192" i="9"/>
  <c r="S192" i="9"/>
  <c r="R192" i="9"/>
  <c r="M192" i="9"/>
  <c r="L192" i="9"/>
  <c r="K192" i="9"/>
  <c r="J192" i="9"/>
  <c r="I192" i="9"/>
  <c r="H192" i="9"/>
  <c r="G192" i="9"/>
  <c r="F192" i="9"/>
  <c r="V191" i="9"/>
  <c r="U191" i="9"/>
  <c r="S191" i="9"/>
  <c r="R191" i="9"/>
  <c r="K191" i="9"/>
  <c r="J191" i="9"/>
  <c r="I191" i="9"/>
  <c r="H191" i="9"/>
  <c r="G191" i="9"/>
  <c r="F191" i="9"/>
  <c r="V190" i="9"/>
  <c r="U190" i="9"/>
  <c r="S190" i="9"/>
  <c r="R190" i="9"/>
  <c r="K190" i="9"/>
  <c r="J190" i="9"/>
  <c r="I190" i="9"/>
  <c r="H190" i="9"/>
  <c r="G190" i="9"/>
  <c r="F190" i="9"/>
  <c r="X185" i="9"/>
  <c r="V185" i="9"/>
  <c r="U185" i="9"/>
  <c r="S185" i="9"/>
  <c r="R185" i="9"/>
  <c r="L185" i="9"/>
  <c r="J185" i="9"/>
  <c r="I185" i="9"/>
  <c r="G185" i="9"/>
  <c r="F185" i="9"/>
  <c r="V184" i="9"/>
  <c r="U184" i="9"/>
  <c r="S184" i="9"/>
  <c r="R184" i="9"/>
  <c r="J184" i="9"/>
  <c r="I184" i="9"/>
  <c r="G184" i="9"/>
  <c r="F184" i="9"/>
  <c r="V183" i="9"/>
  <c r="U183" i="9"/>
  <c r="S183" i="9"/>
  <c r="R183" i="9"/>
  <c r="J183" i="9"/>
  <c r="I183" i="9"/>
  <c r="G183" i="9"/>
  <c r="F183" i="9"/>
  <c r="X179" i="9"/>
  <c r="V179" i="9"/>
  <c r="U179" i="9"/>
  <c r="S179" i="9"/>
  <c r="R179" i="9"/>
  <c r="M179" i="9"/>
  <c r="L179" i="9"/>
  <c r="K179" i="9"/>
  <c r="J179" i="9"/>
  <c r="I179" i="9"/>
  <c r="H179" i="9"/>
  <c r="G179" i="9"/>
  <c r="F179" i="9"/>
  <c r="V178" i="9"/>
  <c r="U178" i="9"/>
  <c r="S178" i="9"/>
  <c r="R178" i="9"/>
  <c r="K178" i="9"/>
  <c r="J178" i="9"/>
  <c r="I178" i="9"/>
  <c r="H178" i="9"/>
  <c r="G178" i="9"/>
  <c r="F178" i="9"/>
  <c r="V177" i="9"/>
  <c r="U177" i="9"/>
  <c r="S177" i="9"/>
  <c r="R177" i="9"/>
  <c r="K177" i="9"/>
  <c r="J177" i="9"/>
  <c r="I177" i="9"/>
  <c r="H177" i="9"/>
  <c r="G177" i="9"/>
  <c r="F177" i="9"/>
  <c r="X172" i="9"/>
  <c r="V172" i="9"/>
  <c r="U172" i="9"/>
  <c r="S172" i="9"/>
  <c r="R172" i="9"/>
  <c r="L172" i="9"/>
  <c r="J172" i="9"/>
  <c r="I172" i="9"/>
  <c r="G172" i="9"/>
  <c r="F172" i="9"/>
  <c r="V171" i="9"/>
  <c r="U171" i="9"/>
  <c r="S171" i="9"/>
  <c r="R171" i="9"/>
  <c r="J171" i="9"/>
  <c r="I171" i="9"/>
  <c r="G171" i="9"/>
  <c r="F171" i="9"/>
  <c r="V170" i="9"/>
  <c r="U170" i="9"/>
  <c r="S170" i="9"/>
  <c r="R170" i="9"/>
  <c r="J170" i="9"/>
  <c r="I170" i="9"/>
  <c r="G170" i="9"/>
  <c r="F170" i="9"/>
  <c r="X166" i="9"/>
  <c r="V166" i="9"/>
  <c r="U166" i="9"/>
  <c r="S166" i="9"/>
  <c r="R166" i="9"/>
  <c r="M166" i="9"/>
  <c r="L166" i="9"/>
  <c r="K166" i="9"/>
  <c r="J166" i="9"/>
  <c r="I166" i="9"/>
  <c r="H166" i="9"/>
  <c r="G166" i="9"/>
  <c r="F166" i="9"/>
  <c r="V165" i="9"/>
  <c r="U165" i="9"/>
  <c r="S165" i="9"/>
  <c r="R165" i="9"/>
  <c r="K165" i="9"/>
  <c r="J165" i="9"/>
  <c r="I165" i="9"/>
  <c r="H165" i="9"/>
  <c r="G165" i="9"/>
  <c r="F165" i="9"/>
  <c r="V164" i="9"/>
  <c r="U164" i="9"/>
  <c r="S164" i="9"/>
  <c r="R164" i="9"/>
  <c r="K164" i="9"/>
  <c r="J164" i="9"/>
  <c r="I164" i="9"/>
  <c r="H164" i="9"/>
  <c r="G164" i="9"/>
  <c r="F164" i="9"/>
  <c r="X159" i="9"/>
  <c r="V159" i="9"/>
  <c r="U159" i="9"/>
  <c r="S159" i="9"/>
  <c r="R159" i="9"/>
  <c r="L159" i="9"/>
  <c r="J159" i="9"/>
  <c r="I159" i="9"/>
  <c r="G159" i="9"/>
  <c r="F159" i="9"/>
  <c r="V158" i="9"/>
  <c r="U158" i="9"/>
  <c r="S158" i="9"/>
  <c r="R158" i="9"/>
  <c r="J158" i="9"/>
  <c r="I158" i="9"/>
  <c r="G158" i="9"/>
  <c r="F158" i="9"/>
  <c r="V157" i="9"/>
  <c r="U157" i="9"/>
  <c r="S157" i="9"/>
  <c r="R157" i="9"/>
  <c r="J157" i="9"/>
  <c r="I157" i="9"/>
  <c r="G157" i="9"/>
  <c r="F157" i="9"/>
  <c r="X153" i="9"/>
  <c r="V153" i="9"/>
  <c r="U153" i="9"/>
  <c r="S153" i="9"/>
  <c r="R153" i="9"/>
  <c r="M153" i="9"/>
  <c r="L153" i="9"/>
  <c r="K153" i="9"/>
  <c r="J153" i="9"/>
  <c r="I153" i="9"/>
  <c r="H153" i="9"/>
  <c r="G153" i="9"/>
  <c r="F153" i="9"/>
  <c r="V152" i="9"/>
  <c r="U152" i="9"/>
  <c r="S152" i="9"/>
  <c r="R152" i="9"/>
  <c r="K152" i="9"/>
  <c r="J152" i="9"/>
  <c r="I152" i="9"/>
  <c r="H152" i="9"/>
  <c r="G152" i="9"/>
  <c r="F152" i="9"/>
  <c r="V151" i="9"/>
  <c r="U151" i="9"/>
  <c r="S151" i="9"/>
  <c r="R151" i="9"/>
  <c r="K151" i="9"/>
  <c r="J151" i="9"/>
  <c r="I151" i="9"/>
  <c r="H151" i="9"/>
  <c r="G151" i="9"/>
  <c r="F151" i="9"/>
  <c r="X146" i="9"/>
  <c r="V146" i="9"/>
  <c r="U146" i="9"/>
  <c r="S146" i="9"/>
  <c r="R146" i="9"/>
  <c r="L146" i="9"/>
  <c r="J146" i="9"/>
  <c r="I146" i="9"/>
  <c r="G146" i="9"/>
  <c r="F146" i="9"/>
  <c r="V145" i="9"/>
  <c r="U145" i="9"/>
  <c r="S145" i="9"/>
  <c r="R145" i="9"/>
  <c r="J145" i="9"/>
  <c r="I145" i="9"/>
  <c r="G145" i="9"/>
  <c r="F145" i="9"/>
  <c r="V144" i="9"/>
  <c r="U144" i="9"/>
  <c r="S144" i="9"/>
  <c r="R144" i="9"/>
  <c r="J144" i="9"/>
  <c r="I144" i="9"/>
  <c r="G144" i="9"/>
  <c r="F144" i="9"/>
  <c r="X140" i="9"/>
  <c r="V140" i="9"/>
  <c r="U140" i="9"/>
  <c r="S140" i="9"/>
  <c r="R140" i="9"/>
  <c r="M140" i="9"/>
  <c r="L140" i="9"/>
  <c r="K140" i="9"/>
  <c r="J140" i="9"/>
  <c r="I140" i="9"/>
  <c r="H140" i="9"/>
  <c r="G140" i="9"/>
  <c r="F140" i="9"/>
  <c r="V139" i="9"/>
  <c r="U139" i="9"/>
  <c r="S139" i="9"/>
  <c r="R139" i="9"/>
  <c r="K139" i="9"/>
  <c r="J139" i="9"/>
  <c r="I139" i="9"/>
  <c r="H139" i="9"/>
  <c r="G139" i="9"/>
  <c r="F139" i="9"/>
  <c r="V138" i="9"/>
  <c r="U138" i="9"/>
  <c r="S138" i="9"/>
  <c r="R138" i="9"/>
  <c r="K138" i="9"/>
  <c r="J138" i="9"/>
  <c r="I138" i="9"/>
  <c r="H138" i="9"/>
  <c r="G138" i="9"/>
  <c r="F138" i="9"/>
  <c r="X133" i="9"/>
  <c r="V133" i="9"/>
  <c r="U133" i="9"/>
  <c r="S133" i="9"/>
  <c r="R133" i="9"/>
  <c r="L133" i="9"/>
  <c r="J133" i="9"/>
  <c r="I133" i="9"/>
  <c r="G133" i="9"/>
  <c r="F133" i="9"/>
  <c r="V132" i="9"/>
  <c r="U132" i="9"/>
  <c r="S132" i="9"/>
  <c r="R132" i="9"/>
  <c r="J132" i="9"/>
  <c r="I132" i="9"/>
  <c r="G132" i="9"/>
  <c r="F132" i="9"/>
  <c r="V131" i="9"/>
  <c r="U131" i="9"/>
  <c r="S131" i="9"/>
  <c r="R131" i="9"/>
  <c r="J131" i="9"/>
  <c r="I131" i="9"/>
  <c r="G131" i="9"/>
  <c r="F131" i="9"/>
  <c r="X127" i="9"/>
  <c r="V127" i="9"/>
  <c r="U127" i="9"/>
  <c r="S127" i="9"/>
  <c r="R127" i="9"/>
  <c r="M127" i="9"/>
  <c r="L127" i="9"/>
  <c r="K127" i="9"/>
  <c r="J127" i="9"/>
  <c r="I127" i="9"/>
  <c r="H127" i="9"/>
  <c r="G127" i="9"/>
  <c r="F127" i="9"/>
  <c r="V126" i="9"/>
  <c r="U126" i="9"/>
  <c r="S126" i="9"/>
  <c r="R126" i="9"/>
  <c r="K126" i="9"/>
  <c r="J126" i="9"/>
  <c r="I126" i="9"/>
  <c r="H126" i="9"/>
  <c r="G126" i="9"/>
  <c r="F126" i="9"/>
  <c r="V125" i="9"/>
  <c r="U125" i="9"/>
  <c r="S125" i="9"/>
  <c r="R125" i="9"/>
  <c r="K125" i="9"/>
  <c r="J125" i="9"/>
  <c r="I125" i="9"/>
  <c r="H125" i="9"/>
  <c r="G125" i="9"/>
  <c r="F125" i="9"/>
  <c r="X120" i="9"/>
  <c r="V120" i="9"/>
  <c r="U120" i="9"/>
  <c r="S120" i="9"/>
  <c r="R120" i="9"/>
  <c r="L120" i="9"/>
  <c r="J120" i="9"/>
  <c r="I120" i="9"/>
  <c r="G120" i="9"/>
  <c r="F120" i="9"/>
  <c r="V119" i="9"/>
  <c r="U119" i="9"/>
  <c r="S119" i="9"/>
  <c r="R119" i="9"/>
  <c r="J119" i="9"/>
  <c r="I119" i="9"/>
  <c r="G119" i="9"/>
  <c r="F119" i="9"/>
  <c r="V118" i="9"/>
  <c r="U118" i="9"/>
  <c r="S118" i="9"/>
  <c r="R118" i="9"/>
  <c r="J118" i="9"/>
  <c r="I118" i="9"/>
  <c r="G118" i="9"/>
  <c r="F118" i="9"/>
  <c r="X114" i="9"/>
  <c r="V114" i="9"/>
  <c r="U114" i="9"/>
  <c r="S114" i="9"/>
  <c r="R114" i="9"/>
  <c r="M114" i="9"/>
  <c r="L114" i="9"/>
  <c r="K114" i="9"/>
  <c r="J114" i="9"/>
  <c r="I114" i="9"/>
  <c r="H114" i="9"/>
  <c r="G114" i="9"/>
  <c r="F114" i="9"/>
  <c r="V113" i="9"/>
  <c r="U113" i="9"/>
  <c r="S113" i="9"/>
  <c r="R113" i="9"/>
  <c r="K113" i="9"/>
  <c r="J113" i="9"/>
  <c r="I113" i="9"/>
  <c r="H113" i="9"/>
  <c r="G113" i="9"/>
  <c r="F113" i="9"/>
  <c r="V112" i="9"/>
  <c r="U112" i="9"/>
  <c r="S112" i="9"/>
  <c r="R112" i="9"/>
  <c r="K112" i="9"/>
  <c r="J112" i="9"/>
  <c r="I112" i="9"/>
  <c r="H112" i="9"/>
  <c r="G112" i="9"/>
  <c r="F112" i="9"/>
  <c r="X107" i="9"/>
  <c r="V107" i="9"/>
  <c r="U107" i="9"/>
  <c r="S107" i="9"/>
  <c r="R107" i="9"/>
  <c r="L107" i="9"/>
  <c r="J107" i="9"/>
  <c r="I107" i="9"/>
  <c r="G107" i="9"/>
  <c r="F107" i="9"/>
  <c r="V106" i="9"/>
  <c r="U106" i="9"/>
  <c r="S106" i="9"/>
  <c r="R106" i="9"/>
  <c r="J106" i="9"/>
  <c r="I106" i="9"/>
  <c r="G106" i="9"/>
  <c r="F106" i="9"/>
  <c r="V105" i="9"/>
  <c r="U105" i="9"/>
  <c r="S105" i="9"/>
  <c r="R105" i="9"/>
  <c r="J105" i="9"/>
  <c r="I105" i="9"/>
  <c r="G105" i="9"/>
  <c r="F105" i="9"/>
  <c r="X101" i="9"/>
  <c r="V101" i="9"/>
  <c r="U101" i="9"/>
  <c r="S101" i="9"/>
  <c r="R101" i="9"/>
  <c r="M101" i="9"/>
  <c r="L101" i="9"/>
  <c r="K101" i="9"/>
  <c r="J101" i="9"/>
  <c r="I101" i="9"/>
  <c r="H101" i="9"/>
  <c r="G101" i="9"/>
  <c r="F101" i="9"/>
  <c r="V100" i="9"/>
  <c r="U100" i="9"/>
  <c r="S100" i="9"/>
  <c r="R100" i="9"/>
  <c r="K100" i="9"/>
  <c r="J100" i="9"/>
  <c r="I100" i="9"/>
  <c r="H100" i="9"/>
  <c r="G100" i="9"/>
  <c r="F100" i="9"/>
  <c r="V99" i="9"/>
  <c r="U99" i="9"/>
  <c r="S99" i="9"/>
  <c r="R99" i="9"/>
  <c r="K99" i="9"/>
  <c r="J99" i="9"/>
  <c r="I99" i="9"/>
  <c r="H99" i="9"/>
  <c r="G99" i="9"/>
  <c r="F99" i="9"/>
  <c r="X94" i="9"/>
  <c r="V94" i="9"/>
  <c r="U94" i="9"/>
  <c r="S94" i="9"/>
  <c r="R94" i="9"/>
  <c r="L94" i="9"/>
  <c r="J94" i="9"/>
  <c r="I94" i="9"/>
  <c r="G94" i="9"/>
  <c r="F94" i="9"/>
  <c r="V93" i="9"/>
  <c r="U93" i="9"/>
  <c r="S93" i="9"/>
  <c r="R93" i="9"/>
  <c r="J93" i="9"/>
  <c r="I93" i="9"/>
  <c r="G93" i="9"/>
  <c r="F93" i="9"/>
  <c r="V92" i="9"/>
  <c r="U92" i="9"/>
  <c r="S92" i="9"/>
  <c r="R92" i="9"/>
  <c r="J92" i="9"/>
  <c r="I92" i="9"/>
  <c r="G92" i="9"/>
  <c r="F92" i="9"/>
  <c r="X88" i="9"/>
  <c r="V88" i="9"/>
  <c r="U88" i="9"/>
  <c r="S88" i="9"/>
  <c r="R88" i="9"/>
  <c r="M88" i="9"/>
  <c r="L88" i="9"/>
  <c r="K88" i="9"/>
  <c r="J88" i="9"/>
  <c r="I88" i="9"/>
  <c r="H88" i="9"/>
  <c r="G88" i="9"/>
  <c r="F88" i="9"/>
  <c r="V87" i="9"/>
  <c r="U87" i="9"/>
  <c r="S87" i="9"/>
  <c r="R87" i="9"/>
  <c r="K87" i="9"/>
  <c r="J87" i="9"/>
  <c r="I87" i="9"/>
  <c r="H87" i="9"/>
  <c r="G87" i="9"/>
  <c r="F87" i="9"/>
  <c r="V86" i="9"/>
  <c r="U86" i="9"/>
  <c r="S86" i="9"/>
  <c r="R86" i="9"/>
  <c r="K86" i="9"/>
  <c r="J86" i="9"/>
  <c r="I86" i="9"/>
  <c r="H86" i="9"/>
  <c r="G86" i="9"/>
  <c r="F86" i="9"/>
  <c r="X81" i="9"/>
  <c r="V81" i="9"/>
  <c r="U81" i="9"/>
  <c r="S81" i="9"/>
  <c r="R81" i="9"/>
  <c r="L81" i="9"/>
  <c r="J81" i="9"/>
  <c r="I81" i="9"/>
  <c r="G81" i="9"/>
  <c r="F81" i="9"/>
  <c r="V80" i="9"/>
  <c r="U80" i="9"/>
  <c r="S80" i="9"/>
  <c r="R80" i="9"/>
  <c r="J80" i="9"/>
  <c r="I80" i="9"/>
  <c r="G80" i="9"/>
  <c r="F80" i="9"/>
  <c r="V79" i="9"/>
  <c r="U79" i="9"/>
  <c r="S79" i="9"/>
  <c r="R79" i="9"/>
  <c r="J79" i="9"/>
  <c r="I79" i="9"/>
  <c r="G79" i="9"/>
  <c r="F79" i="9"/>
  <c r="X75" i="9"/>
  <c r="V75" i="9"/>
  <c r="U75" i="9"/>
  <c r="S75" i="9"/>
  <c r="R75" i="9"/>
  <c r="M75" i="9"/>
  <c r="L75" i="9"/>
  <c r="K75" i="9"/>
  <c r="J75" i="9"/>
  <c r="I75" i="9"/>
  <c r="H75" i="9"/>
  <c r="G75" i="9"/>
  <c r="F75" i="9"/>
  <c r="V74" i="9"/>
  <c r="U74" i="9"/>
  <c r="S74" i="9"/>
  <c r="R74" i="9"/>
  <c r="K74" i="9"/>
  <c r="J74" i="9"/>
  <c r="I74" i="9"/>
  <c r="H74" i="9"/>
  <c r="G74" i="9"/>
  <c r="F74" i="9"/>
  <c r="V73" i="9"/>
  <c r="U73" i="9"/>
  <c r="S73" i="9"/>
  <c r="R73" i="9"/>
  <c r="K73" i="9"/>
  <c r="J73" i="9"/>
  <c r="I73" i="9"/>
  <c r="H73" i="9"/>
  <c r="G73" i="9"/>
  <c r="F73" i="9"/>
  <c r="X263" i="3"/>
  <c r="V263" i="3"/>
  <c r="U263" i="3"/>
  <c r="S263" i="3"/>
  <c r="R263" i="3"/>
  <c r="L263" i="3"/>
  <c r="J263" i="3"/>
  <c r="I263" i="3"/>
  <c r="G263" i="3"/>
  <c r="F263" i="3"/>
  <c r="V262" i="3"/>
  <c r="U262" i="3"/>
  <c r="S262" i="3"/>
  <c r="R262" i="3"/>
  <c r="J262" i="3"/>
  <c r="I262" i="3"/>
  <c r="G262" i="3"/>
  <c r="F262" i="3"/>
  <c r="V261" i="3"/>
  <c r="U261" i="3"/>
  <c r="S261" i="3"/>
  <c r="R261" i="3"/>
  <c r="J261" i="3"/>
  <c r="I261" i="3"/>
  <c r="G261" i="3"/>
  <c r="F261" i="3"/>
  <c r="X257" i="3"/>
  <c r="V257" i="3"/>
  <c r="U257" i="3"/>
  <c r="S257" i="3"/>
  <c r="R257" i="3"/>
  <c r="M257" i="3"/>
  <c r="L257" i="3"/>
  <c r="K257" i="3"/>
  <c r="J257" i="3"/>
  <c r="I257" i="3"/>
  <c r="H257" i="3"/>
  <c r="G257" i="3"/>
  <c r="F257" i="3"/>
  <c r="V256" i="3"/>
  <c r="U256" i="3"/>
  <c r="S256" i="3"/>
  <c r="R256" i="3"/>
  <c r="K256" i="3"/>
  <c r="J256" i="3"/>
  <c r="I256" i="3"/>
  <c r="H256" i="3"/>
  <c r="G256" i="3"/>
  <c r="F256" i="3"/>
  <c r="V255" i="3"/>
  <c r="U255" i="3"/>
  <c r="S255" i="3"/>
  <c r="R255" i="3"/>
  <c r="K255" i="3"/>
  <c r="J255" i="3"/>
  <c r="I255" i="3"/>
  <c r="H255" i="3"/>
  <c r="G255" i="3"/>
  <c r="F255" i="3"/>
  <c r="X250" i="3"/>
  <c r="V250" i="3"/>
  <c r="U250" i="3"/>
  <c r="S250" i="3"/>
  <c r="R250" i="3"/>
  <c r="L250" i="3"/>
  <c r="J250" i="3"/>
  <c r="I250" i="3"/>
  <c r="G250" i="3"/>
  <c r="F250" i="3"/>
  <c r="V249" i="3"/>
  <c r="U249" i="3"/>
  <c r="S249" i="3"/>
  <c r="R249" i="3"/>
  <c r="J249" i="3"/>
  <c r="I249" i="3"/>
  <c r="G249" i="3"/>
  <c r="F249" i="3"/>
  <c r="V248" i="3"/>
  <c r="U248" i="3"/>
  <c r="S248" i="3"/>
  <c r="R248" i="3"/>
  <c r="J248" i="3"/>
  <c r="I248" i="3"/>
  <c r="G248" i="3"/>
  <c r="F248" i="3"/>
  <c r="X244" i="3"/>
  <c r="V244" i="3"/>
  <c r="U244" i="3"/>
  <c r="S244" i="3"/>
  <c r="R244" i="3"/>
  <c r="M244" i="3"/>
  <c r="L244" i="3"/>
  <c r="K244" i="3"/>
  <c r="J244" i="3"/>
  <c r="I244" i="3"/>
  <c r="H244" i="3"/>
  <c r="G244" i="3"/>
  <c r="F244" i="3"/>
  <c r="V243" i="3"/>
  <c r="U243" i="3"/>
  <c r="S243" i="3"/>
  <c r="R243" i="3"/>
  <c r="K243" i="3"/>
  <c r="J243" i="3"/>
  <c r="I243" i="3"/>
  <c r="H243" i="3"/>
  <c r="G243" i="3"/>
  <c r="F243" i="3"/>
  <c r="V242" i="3"/>
  <c r="U242" i="3"/>
  <c r="S242" i="3"/>
  <c r="R242" i="3"/>
  <c r="K242" i="3"/>
  <c r="J242" i="3"/>
  <c r="I242" i="3"/>
  <c r="H242" i="3"/>
  <c r="G242" i="3"/>
  <c r="F242" i="3"/>
  <c r="X237" i="3"/>
  <c r="V237" i="3"/>
  <c r="U237" i="3"/>
  <c r="S237" i="3"/>
  <c r="R237" i="3"/>
  <c r="L237" i="3"/>
  <c r="J237" i="3"/>
  <c r="I237" i="3"/>
  <c r="G237" i="3"/>
  <c r="F237" i="3"/>
  <c r="V236" i="3"/>
  <c r="U236" i="3"/>
  <c r="S236" i="3"/>
  <c r="R236" i="3"/>
  <c r="J236" i="3"/>
  <c r="I236" i="3"/>
  <c r="G236" i="3"/>
  <c r="F236" i="3"/>
  <c r="V235" i="3"/>
  <c r="U235" i="3"/>
  <c r="S235" i="3"/>
  <c r="R235" i="3"/>
  <c r="J235" i="3"/>
  <c r="I235" i="3"/>
  <c r="G235" i="3"/>
  <c r="F235" i="3"/>
  <c r="X231" i="3"/>
  <c r="V231" i="3"/>
  <c r="U231" i="3"/>
  <c r="S231" i="3"/>
  <c r="R231" i="3"/>
  <c r="M231" i="3"/>
  <c r="L231" i="3"/>
  <c r="K231" i="3"/>
  <c r="J231" i="3"/>
  <c r="I231" i="3"/>
  <c r="H231" i="3"/>
  <c r="G231" i="3"/>
  <c r="F231" i="3"/>
  <c r="V230" i="3"/>
  <c r="U230" i="3"/>
  <c r="S230" i="3"/>
  <c r="R230" i="3"/>
  <c r="K230" i="3"/>
  <c r="J230" i="3"/>
  <c r="I230" i="3"/>
  <c r="H230" i="3"/>
  <c r="G230" i="3"/>
  <c r="F230" i="3"/>
  <c r="V229" i="3"/>
  <c r="U229" i="3"/>
  <c r="S229" i="3"/>
  <c r="R229" i="3"/>
  <c r="K229" i="3"/>
  <c r="J229" i="3"/>
  <c r="I229" i="3"/>
  <c r="H229" i="3"/>
  <c r="G229" i="3"/>
  <c r="F229" i="3"/>
  <c r="X224" i="3"/>
  <c r="V224" i="3"/>
  <c r="U224" i="3"/>
  <c r="S224" i="3"/>
  <c r="R224" i="3"/>
  <c r="L224" i="3"/>
  <c r="J224" i="3"/>
  <c r="I224" i="3"/>
  <c r="G224" i="3"/>
  <c r="F224" i="3"/>
  <c r="V223" i="3"/>
  <c r="U223" i="3"/>
  <c r="S223" i="3"/>
  <c r="R223" i="3"/>
  <c r="J223" i="3"/>
  <c r="I223" i="3"/>
  <c r="G223" i="3"/>
  <c r="F223" i="3"/>
  <c r="V222" i="3"/>
  <c r="U222" i="3"/>
  <c r="S222" i="3"/>
  <c r="R222" i="3"/>
  <c r="J222" i="3"/>
  <c r="I222" i="3"/>
  <c r="G222" i="3"/>
  <c r="F222" i="3"/>
  <c r="X218" i="3"/>
  <c r="V218" i="3"/>
  <c r="U218" i="3"/>
  <c r="S218" i="3"/>
  <c r="R218" i="3"/>
  <c r="M218" i="3"/>
  <c r="L218" i="3"/>
  <c r="K218" i="3"/>
  <c r="J218" i="3"/>
  <c r="I218" i="3"/>
  <c r="H218" i="3"/>
  <c r="G218" i="3"/>
  <c r="F218" i="3"/>
  <c r="V217" i="3"/>
  <c r="U217" i="3"/>
  <c r="S217" i="3"/>
  <c r="R217" i="3"/>
  <c r="K217" i="3"/>
  <c r="J217" i="3"/>
  <c r="I217" i="3"/>
  <c r="H217" i="3"/>
  <c r="G217" i="3"/>
  <c r="F217" i="3"/>
  <c r="V216" i="3"/>
  <c r="U216" i="3"/>
  <c r="S216" i="3"/>
  <c r="R216" i="3"/>
  <c r="K216" i="3"/>
  <c r="J216" i="3"/>
  <c r="I216" i="3"/>
  <c r="H216" i="3"/>
  <c r="G216" i="3"/>
  <c r="F216" i="3"/>
  <c r="X211" i="3"/>
  <c r="V211" i="3"/>
  <c r="U211" i="3"/>
  <c r="S211" i="3"/>
  <c r="R211" i="3"/>
  <c r="L211" i="3"/>
  <c r="J211" i="3"/>
  <c r="I211" i="3"/>
  <c r="G211" i="3"/>
  <c r="F211" i="3"/>
  <c r="V210" i="3"/>
  <c r="U210" i="3"/>
  <c r="S210" i="3"/>
  <c r="R210" i="3"/>
  <c r="J210" i="3"/>
  <c r="I210" i="3"/>
  <c r="G210" i="3"/>
  <c r="F210" i="3"/>
  <c r="V209" i="3"/>
  <c r="U209" i="3"/>
  <c r="S209" i="3"/>
  <c r="R209" i="3"/>
  <c r="J209" i="3"/>
  <c r="I209" i="3"/>
  <c r="G209" i="3"/>
  <c r="F209" i="3"/>
  <c r="X205" i="3"/>
  <c r="V205" i="3"/>
  <c r="U205" i="3"/>
  <c r="S205" i="3"/>
  <c r="R205" i="3"/>
  <c r="M205" i="3"/>
  <c r="L205" i="3"/>
  <c r="K205" i="3"/>
  <c r="J205" i="3"/>
  <c r="I205" i="3"/>
  <c r="H205" i="3"/>
  <c r="G205" i="3"/>
  <c r="F205" i="3"/>
  <c r="V204" i="3"/>
  <c r="U204" i="3"/>
  <c r="S204" i="3"/>
  <c r="R204" i="3"/>
  <c r="K204" i="3"/>
  <c r="J204" i="3"/>
  <c r="I204" i="3"/>
  <c r="H204" i="3"/>
  <c r="G204" i="3"/>
  <c r="F204" i="3"/>
  <c r="V203" i="3"/>
  <c r="U203" i="3"/>
  <c r="S203" i="3"/>
  <c r="R203" i="3"/>
  <c r="K203" i="3"/>
  <c r="J203" i="3"/>
  <c r="I203" i="3"/>
  <c r="H203" i="3"/>
  <c r="G203" i="3"/>
  <c r="F203" i="3"/>
  <c r="X198" i="3"/>
  <c r="V198" i="3"/>
  <c r="U198" i="3"/>
  <c r="S198" i="3"/>
  <c r="R198" i="3"/>
  <c r="L198" i="3"/>
  <c r="J198" i="3"/>
  <c r="I198" i="3"/>
  <c r="G198" i="3"/>
  <c r="F198" i="3"/>
  <c r="V197" i="3"/>
  <c r="U197" i="3"/>
  <c r="S197" i="3"/>
  <c r="R197" i="3"/>
  <c r="J197" i="3"/>
  <c r="I197" i="3"/>
  <c r="G197" i="3"/>
  <c r="F197" i="3"/>
  <c r="V196" i="3"/>
  <c r="U196" i="3"/>
  <c r="S196" i="3"/>
  <c r="R196" i="3"/>
  <c r="J196" i="3"/>
  <c r="I196" i="3"/>
  <c r="G196" i="3"/>
  <c r="F196" i="3"/>
  <c r="X192" i="3"/>
  <c r="V192" i="3"/>
  <c r="U192" i="3"/>
  <c r="S192" i="3"/>
  <c r="R192" i="3"/>
  <c r="M192" i="3"/>
  <c r="L192" i="3"/>
  <c r="K192" i="3"/>
  <c r="J192" i="3"/>
  <c r="I192" i="3"/>
  <c r="H192" i="3"/>
  <c r="G192" i="3"/>
  <c r="F192" i="3"/>
  <c r="V191" i="3"/>
  <c r="U191" i="3"/>
  <c r="S191" i="3"/>
  <c r="R191" i="3"/>
  <c r="K191" i="3"/>
  <c r="J191" i="3"/>
  <c r="I191" i="3"/>
  <c r="H191" i="3"/>
  <c r="G191" i="3"/>
  <c r="F191" i="3"/>
  <c r="V190" i="3"/>
  <c r="U190" i="3"/>
  <c r="S190" i="3"/>
  <c r="R190" i="3"/>
  <c r="K190" i="3"/>
  <c r="J190" i="3"/>
  <c r="I190" i="3"/>
  <c r="H190" i="3"/>
  <c r="G190" i="3"/>
  <c r="F190" i="3"/>
  <c r="X185" i="3"/>
  <c r="V185" i="3"/>
  <c r="U185" i="3"/>
  <c r="S185" i="3"/>
  <c r="R185" i="3"/>
  <c r="L185" i="3"/>
  <c r="J185" i="3"/>
  <c r="I185" i="3"/>
  <c r="G185" i="3"/>
  <c r="F185" i="3"/>
  <c r="V184" i="3"/>
  <c r="U184" i="3"/>
  <c r="S184" i="3"/>
  <c r="R184" i="3"/>
  <c r="J184" i="3"/>
  <c r="I184" i="3"/>
  <c r="G184" i="3"/>
  <c r="F184" i="3"/>
  <c r="V183" i="3"/>
  <c r="U183" i="3"/>
  <c r="S183" i="3"/>
  <c r="R183" i="3"/>
  <c r="J183" i="3"/>
  <c r="I183" i="3"/>
  <c r="G183" i="3"/>
  <c r="F183" i="3"/>
  <c r="X179" i="3"/>
  <c r="V179" i="3"/>
  <c r="U179" i="3"/>
  <c r="S179" i="3"/>
  <c r="R179" i="3"/>
  <c r="M179" i="3"/>
  <c r="L179" i="3"/>
  <c r="K179" i="3"/>
  <c r="J179" i="3"/>
  <c r="I179" i="3"/>
  <c r="H179" i="3"/>
  <c r="G179" i="3"/>
  <c r="F179" i="3"/>
  <c r="V178" i="3"/>
  <c r="U178" i="3"/>
  <c r="S178" i="3"/>
  <c r="R178" i="3"/>
  <c r="K178" i="3"/>
  <c r="J178" i="3"/>
  <c r="I178" i="3"/>
  <c r="H178" i="3"/>
  <c r="G178" i="3"/>
  <c r="F178" i="3"/>
  <c r="V177" i="3"/>
  <c r="U177" i="3"/>
  <c r="S177" i="3"/>
  <c r="R177" i="3"/>
  <c r="K177" i="3"/>
  <c r="J177" i="3"/>
  <c r="I177" i="3"/>
  <c r="H177" i="3"/>
  <c r="G177" i="3"/>
  <c r="F177" i="3"/>
  <c r="X172" i="3"/>
  <c r="V172" i="3"/>
  <c r="U172" i="3"/>
  <c r="S172" i="3"/>
  <c r="R172" i="3"/>
  <c r="L172" i="3"/>
  <c r="J172" i="3"/>
  <c r="I172" i="3"/>
  <c r="G172" i="3"/>
  <c r="F172" i="3"/>
  <c r="V171" i="3"/>
  <c r="U171" i="3"/>
  <c r="S171" i="3"/>
  <c r="R171" i="3"/>
  <c r="J171" i="3"/>
  <c r="I171" i="3"/>
  <c r="G171" i="3"/>
  <c r="F171" i="3"/>
  <c r="V170" i="3"/>
  <c r="U170" i="3"/>
  <c r="S170" i="3"/>
  <c r="R170" i="3"/>
  <c r="J170" i="3"/>
  <c r="I170" i="3"/>
  <c r="G170" i="3"/>
  <c r="F170" i="3"/>
  <c r="X166" i="3"/>
  <c r="V166" i="3"/>
  <c r="U166" i="3"/>
  <c r="S166" i="3"/>
  <c r="R166" i="3"/>
  <c r="M166" i="3"/>
  <c r="L166" i="3"/>
  <c r="K166" i="3"/>
  <c r="J166" i="3"/>
  <c r="I166" i="3"/>
  <c r="H166" i="3"/>
  <c r="G166" i="3"/>
  <c r="F166" i="3"/>
  <c r="V165" i="3"/>
  <c r="U165" i="3"/>
  <c r="S165" i="3"/>
  <c r="R165" i="3"/>
  <c r="K165" i="3"/>
  <c r="J165" i="3"/>
  <c r="I165" i="3"/>
  <c r="H165" i="3"/>
  <c r="G165" i="3"/>
  <c r="F165" i="3"/>
  <c r="V164" i="3"/>
  <c r="U164" i="3"/>
  <c r="S164" i="3"/>
  <c r="R164" i="3"/>
  <c r="K164" i="3"/>
  <c r="J164" i="3"/>
  <c r="I164" i="3"/>
  <c r="H164" i="3"/>
  <c r="G164" i="3"/>
  <c r="F164" i="3"/>
  <c r="X159" i="3"/>
  <c r="V159" i="3"/>
  <c r="U159" i="3"/>
  <c r="S159" i="3"/>
  <c r="R159" i="3"/>
  <c r="L159" i="3"/>
  <c r="J159" i="3"/>
  <c r="I159" i="3"/>
  <c r="G159" i="3"/>
  <c r="F159" i="3"/>
  <c r="V158" i="3"/>
  <c r="U158" i="3"/>
  <c r="S158" i="3"/>
  <c r="R158" i="3"/>
  <c r="J158" i="3"/>
  <c r="I158" i="3"/>
  <c r="G158" i="3"/>
  <c r="F158" i="3"/>
  <c r="V157" i="3"/>
  <c r="U157" i="3"/>
  <c r="S157" i="3"/>
  <c r="R157" i="3"/>
  <c r="J157" i="3"/>
  <c r="I157" i="3"/>
  <c r="G157" i="3"/>
  <c r="F157" i="3"/>
  <c r="X153" i="3"/>
  <c r="V153" i="3"/>
  <c r="U153" i="3"/>
  <c r="S153" i="3"/>
  <c r="R153" i="3"/>
  <c r="M153" i="3"/>
  <c r="L153" i="3"/>
  <c r="K153" i="3"/>
  <c r="J153" i="3"/>
  <c r="I153" i="3"/>
  <c r="H153" i="3"/>
  <c r="G153" i="3"/>
  <c r="F153" i="3"/>
  <c r="V152" i="3"/>
  <c r="U152" i="3"/>
  <c r="S152" i="3"/>
  <c r="R152" i="3"/>
  <c r="K152" i="3"/>
  <c r="J152" i="3"/>
  <c r="I152" i="3"/>
  <c r="H152" i="3"/>
  <c r="G152" i="3"/>
  <c r="F152" i="3"/>
  <c r="V151" i="3"/>
  <c r="U151" i="3"/>
  <c r="S151" i="3"/>
  <c r="R151" i="3"/>
  <c r="K151" i="3"/>
  <c r="J151" i="3"/>
  <c r="I151" i="3"/>
  <c r="H151" i="3"/>
  <c r="G151" i="3"/>
  <c r="F151" i="3"/>
  <c r="X146" i="3"/>
  <c r="V146" i="3"/>
  <c r="U146" i="3"/>
  <c r="S146" i="3"/>
  <c r="R146" i="3"/>
  <c r="L146" i="3"/>
  <c r="J146" i="3"/>
  <c r="I146" i="3"/>
  <c r="G146" i="3"/>
  <c r="F146" i="3"/>
  <c r="V145" i="3"/>
  <c r="U145" i="3"/>
  <c r="S145" i="3"/>
  <c r="R145" i="3"/>
  <c r="J145" i="3"/>
  <c r="I145" i="3"/>
  <c r="G145" i="3"/>
  <c r="F145" i="3"/>
  <c r="V144" i="3"/>
  <c r="U144" i="3"/>
  <c r="S144" i="3"/>
  <c r="R144" i="3"/>
  <c r="J144" i="3"/>
  <c r="I144" i="3"/>
  <c r="G144" i="3"/>
  <c r="F144" i="3"/>
  <c r="X140" i="3"/>
  <c r="V140" i="3"/>
  <c r="U140" i="3"/>
  <c r="S140" i="3"/>
  <c r="R140" i="3"/>
  <c r="M140" i="3"/>
  <c r="L140" i="3"/>
  <c r="K140" i="3"/>
  <c r="J140" i="3"/>
  <c r="I140" i="3"/>
  <c r="H140" i="3"/>
  <c r="G140" i="3"/>
  <c r="F140" i="3"/>
  <c r="V139" i="3"/>
  <c r="U139" i="3"/>
  <c r="S139" i="3"/>
  <c r="R139" i="3"/>
  <c r="K139" i="3"/>
  <c r="J139" i="3"/>
  <c r="I139" i="3"/>
  <c r="H139" i="3"/>
  <c r="G139" i="3"/>
  <c r="F139" i="3"/>
  <c r="V138" i="3"/>
  <c r="U138" i="3"/>
  <c r="S138" i="3"/>
  <c r="R138" i="3"/>
  <c r="K138" i="3"/>
  <c r="J138" i="3"/>
  <c r="I138" i="3"/>
  <c r="H138" i="3"/>
  <c r="G138" i="3"/>
  <c r="F138" i="3"/>
  <c r="X133" i="3"/>
  <c r="V133" i="3"/>
  <c r="U133" i="3"/>
  <c r="S133" i="3"/>
  <c r="R133" i="3"/>
  <c r="L133" i="3"/>
  <c r="J133" i="3"/>
  <c r="I133" i="3"/>
  <c r="G133" i="3"/>
  <c r="F133" i="3"/>
  <c r="V132" i="3"/>
  <c r="U132" i="3"/>
  <c r="S132" i="3"/>
  <c r="R132" i="3"/>
  <c r="J132" i="3"/>
  <c r="I132" i="3"/>
  <c r="G132" i="3"/>
  <c r="F132" i="3"/>
  <c r="V131" i="3"/>
  <c r="U131" i="3"/>
  <c r="S131" i="3"/>
  <c r="R131" i="3"/>
  <c r="J131" i="3"/>
  <c r="I131" i="3"/>
  <c r="G131" i="3"/>
  <c r="F131" i="3"/>
  <c r="X127" i="3"/>
  <c r="V127" i="3"/>
  <c r="U127" i="3"/>
  <c r="S127" i="3"/>
  <c r="R127" i="3"/>
  <c r="M127" i="3"/>
  <c r="L127" i="3"/>
  <c r="K127" i="3"/>
  <c r="J127" i="3"/>
  <c r="I127" i="3"/>
  <c r="H127" i="3"/>
  <c r="G127" i="3"/>
  <c r="F127" i="3"/>
  <c r="V126" i="3"/>
  <c r="U126" i="3"/>
  <c r="S126" i="3"/>
  <c r="R126" i="3"/>
  <c r="K126" i="3"/>
  <c r="J126" i="3"/>
  <c r="I126" i="3"/>
  <c r="H126" i="3"/>
  <c r="G126" i="3"/>
  <c r="F126" i="3"/>
  <c r="V125" i="3"/>
  <c r="U125" i="3"/>
  <c r="S125" i="3"/>
  <c r="R125" i="3"/>
  <c r="K125" i="3"/>
  <c r="J125" i="3"/>
  <c r="I125" i="3"/>
  <c r="H125" i="3"/>
  <c r="G125" i="3"/>
  <c r="F125" i="3"/>
  <c r="X120" i="3"/>
  <c r="V120" i="3"/>
  <c r="U120" i="3"/>
  <c r="S120" i="3"/>
  <c r="R120" i="3"/>
  <c r="L120" i="3"/>
  <c r="J120" i="3"/>
  <c r="I120" i="3"/>
  <c r="G120" i="3"/>
  <c r="F120" i="3"/>
  <c r="V119" i="3"/>
  <c r="U119" i="3"/>
  <c r="S119" i="3"/>
  <c r="R119" i="3"/>
  <c r="J119" i="3"/>
  <c r="I119" i="3"/>
  <c r="G119" i="3"/>
  <c r="F119" i="3"/>
  <c r="V118" i="3"/>
  <c r="U118" i="3"/>
  <c r="S118" i="3"/>
  <c r="R118" i="3"/>
  <c r="J118" i="3"/>
  <c r="I118" i="3"/>
  <c r="G118" i="3"/>
  <c r="F118" i="3"/>
  <c r="X114" i="3"/>
  <c r="V114" i="3"/>
  <c r="U114" i="3"/>
  <c r="S114" i="3"/>
  <c r="R114" i="3"/>
  <c r="M114" i="3"/>
  <c r="L114" i="3"/>
  <c r="K114" i="3"/>
  <c r="J114" i="3"/>
  <c r="I114" i="3"/>
  <c r="H114" i="3"/>
  <c r="G114" i="3"/>
  <c r="F114" i="3"/>
  <c r="V113" i="3"/>
  <c r="U113" i="3"/>
  <c r="S113" i="3"/>
  <c r="R113" i="3"/>
  <c r="K113" i="3"/>
  <c r="J113" i="3"/>
  <c r="I113" i="3"/>
  <c r="H113" i="3"/>
  <c r="G113" i="3"/>
  <c r="F113" i="3"/>
  <c r="V112" i="3"/>
  <c r="U112" i="3"/>
  <c r="S112" i="3"/>
  <c r="R112" i="3"/>
  <c r="K112" i="3"/>
  <c r="J112" i="3"/>
  <c r="I112" i="3"/>
  <c r="H112" i="3"/>
  <c r="G112" i="3"/>
  <c r="F112" i="3"/>
  <c r="X107" i="3"/>
  <c r="V107" i="3"/>
  <c r="U107" i="3"/>
  <c r="S107" i="3"/>
  <c r="R107" i="3"/>
  <c r="L107" i="3"/>
  <c r="J107" i="3"/>
  <c r="I107" i="3"/>
  <c r="G107" i="3"/>
  <c r="F107" i="3"/>
  <c r="V106" i="3"/>
  <c r="U106" i="3"/>
  <c r="S106" i="3"/>
  <c r="R106" i="3"/>
  <c r="J106" i="3"/>
  <c r="I106" i="3"/>
  <c r="G106" i="3"/>
  <c r="F106" i="3"/>
  <c r="V105" i="3"/>
  <c r="U105" i="3"/>
  <c r="S105" i="3"/>
  <c r="R105" i="3"/>
  <c r="J105" i="3"/>
  <c r="I105" i="3"/>
  <c r="G105" i="3"/>
  <c r="F105" i="3"/>
  <c r="X101" i="3"/>
  <c r="V101" i="3"/>
  <c r="U101" i="3"/>
  <c r="S101" i="3"/>
  <c r="R101" i="3"/>
  <c r="M101" i="3"/>
  <c r="L101" i="3"/>
  <c r="K101" i="3"/>
  <c r="J101" i="3"/>
  <c r="I101" i="3"/>
  <c r="H101" i="3"/>
  <c r="G101" i="3"/>
  <c r="F101" i="3"/>
  <c r="V100" i="3"/>
  <c r="U100" i="3"/>
  <c r="S100" i="3"/>
  <c r="R100" i="3"/>
  <c r="K100" i="3"/>
  <c r="J100" i="3"/>
  <c r="I100" i="3"/>
  <c r="H100" i="3"/>
  <c r="G100" i="3"/>
  <c r="F100" i="3"/>
  <c r="V99" i="3"/>
  <c r="U99" i="3"/>
  <c r="S99" i="3"/>
  <c r="R99" i="3"/>
  <c r="K99" i="3"/>
  <c r="J99" i="3"/>
  <c r="I99" i="3"/>
  <c r="H99" i="3"/>
  <c r="G99" i="3"/>
  <c r="F99" i="3"/>
  <c r="X94" i="3"/>
  <c r="V94" i="3"/>
  <c r="U94" i="3"/>
  <c r="S94" i="3"/>
  <c r="R94" i="3"/>
  <c r="L94" i="3"/>
  <c r="J94" i="3"/>
  <c r="I94" i="3"/>
  <c r="G94" i="3"/>
  <c r="F94" i="3"/>
  <c r="V93" i="3"/>
  <c r="U93" i="3"/>
  <c r="S93" i="3"/>
  <c r="R93" i="3"/>
  <c r="J93" i="3"/>
  <c r="I93" i="3"/>
  <c r="G93" i="3"/>
  <c r="F93" i="3"/>
  <c r="V92" i="3"/>
  <c r="U92" i="3"/>
  <c r="S92" i="3"/>
  <c r="R92" i="3"/>
  <c r="J92" i="3"/>
  <c r="I92" i="3"/>
  <c r="G92" i="3"/>
  <c r="F92" i="3"/>
  <c r="X88" i="3"/>
  <c r="V88" i="3"/>
  <c r="U88" i="3"/>
  <c r="S88" i="3"/>
  <c r="R88" i="3"/>
  <c r="M88" i="3"/>
  <c r="L88" i="3"/>
  <c r="K88" i="3"/>
  <c r="J88" i="3"/>
  <c r="I88" i="3"/>
  <c r="H88" i="3"/>
  <c r="G88" i="3"/>
  <c r="F88" i="3"/>
  <c r="V87" i="3"/>
  <c r="U87" i="3"/>
  <c r="S87" i="3"/>
  <c r="R87" i="3"/>
  <c r="K87" i="3"/>
  <c r="J87" i="3"/>
  <c r="I87" i="3"/>
  <c r="H87" i="3"/>
  <c r="G87" i="3"/>
  <c r="F87" i="3"/>
  <c r="V86" i="3"/>
  <c r="U86" i="3"/>
  <c r="S86" i="3"/>
  <c r="R86" i="3"/>
  <c r="K86" i="3"/>
  <c r="J86" i="3"/>
  <c r="I86" i="3"/>
  <c r="H86" i="3"/>
  <c r="G86" i="3"/>
  <c r="F86" i="3"/>
  <c r="X81" i="3"/>
  <c r="V81" i="3"/>
  <c r="U81" i="3"/>
  <c r="S81" i="3"/>
  <c r="R81" i="3"/>
  <c r="L81" i="3"/>
  <c r="J81" i="3"/>
  <c r="I81" i="3"/>
  <c r="G81" i="3"/>
  <c r="F81" i="3"/>
  <c r="V80" i="3"/>
  <c r="U80" i="3"/>
  <c r="S80" i="3"/>
  <c r="R80" i="3"/>
  <c r="J80" i="3"/>
  <c r="I80" i="3"/>
  <c r="G80" i="3"/>
  <c r="F80" i="3"/>
  <c r="V79" i="3"/>
  <c r="U79" i="3"/>
  <c r="S79" i="3"/>
  <c r="R79" i="3"/>
  <c r="J79" i="3"/>
  <c r="I79" i="3"/>
  <c r="G79" i="3"/>
  <c r="F79" i="3"/>
  <c r="X75" i="3"/>
  <c r="V75" i="3"/>
  <c r="U75" i="3"/>
  <c r="S75" i="3"/>
  <c r="R75" i="3"/>
  <c r="M75" i="3"/>
  <c r="L75" i="3"/>
  <c r="K75" i="3"/>
  <c r="J75" i="3"/>
  <c r="I75" i="3"/>
  <c r="H75" i="3"/>
  <c r="G75" i="3"/>
  <c r="F75" i="3"/>
  <c r="V74" i="3"/>
  <c r="U74" i="3"/>
  <c r="S74" i="3"/>
  <c r="R74" i="3"/>
  <c r="K74" i="3"/>
  <c r="J74" i="3"/>
  <c r="I74" i="3"/>
  <c r="H74" i="3"/>
  <c r="G74" i="3"/>
  <c r="F74" i="3"/>
  <c r="V73" i="3"/>
  <c r="U73" i="3"/>
  <c r="S73" i="3"/>
  <c r="R73" i="3"/>
  <c r="K73" i="3"/>
  <c r="J73" i="3"/>
  <c r="I73" i="3"/>
  <c r="H73" i="3"/>
  <c r="G73" i="3"/>
  <c r="F73" i="3"/>
  <c r="X263" i="11"/>
  <c r="V263" i="11"/>
  <c r="U263" i="11"/>
  <c r="S263" i="11"/>
  <c r="R263" i="11"/>
  <c r="L263" i="11"/>
  <c r="J263" i="11"/>
  <c r="I263" i="11"/>
  <c r="G263" i="11"/>
  <c r="F263" i="11"/>
  <c r="V262" i="11"/>
  <c r="U262" i="11"/>
  <c r="S262" i="11"/>
  <c r="R262" i="11"/>
  <c r="J262" i="11"/>
  <c r="I262" i="11"/>
  <c r="G262" i="11"/>
  <c r="F262" i="11"/>
  <c r="V261" i="11"/>
  <c r="U261" i="11"/>
  <c r="S261" i="11"/>
  <c r="R261" i="11"/>
  <c r="J261" i="11"/>
  <c r="I261" i="11"/>
  <c r="G261" i="11"/>
  <c r="F261" i="11"/>
  <c r="X257" i="11"/>
  <c r="V257" i="11"/>
  <c r="U257" i="11"/>
  <c r="S257" i="11"/>
  <c r="R257" i="11"/>
  <c r="M257" i="11"/>
  <c r="L257" i="11"/>
  <c r="K257" i="11"/>
  <c r="J257" i="11"/>
  <c r="I257" i="11"/>
  <c r="H257" i="11"/>
  <c r="G257" i="11"/>
  <c r="F257" i="11"/>
  <c r="V256" i="11"/>
  <c r="U256" i="11"/>
  <c r="S256" i="11"/>
  <c r="R256" i="11"/>
  <c r="K256" i="11"/>
  <c r="J256" i="11"/>
  <c r="I256" i="11"/>
  <c r="H256" i="11"/>
  <c r="G256" i="11"/>
  <c r="F256" i="11"/>
  <c r="V255" i="11"/>
  <c r="U255" i="11"/>
  <c r="S255" i="11"/>
  <c r="R255" i="11"/>
  <c r="K255" i="11"/>
  <c r="J255" i="11"/>
  <c r="I255" i="11"/>
  <c r="H255" i="11"/>
  <c r="G255" i="11"/>
  <c r="F255" i="11"/>
  <c r="L251" i="11"/>
  <c r="X250" i="11"/>
  <c r="V250" i="11"/>
  <c r="U250" i="11"/>
  <c r="S250" i="11"/>
  <c r="R250" i="11"/>
  <c r="J250" i="11"/>
  <c r="I250" i="11"/>
  <c r="G250" i="11"/>
  <c r="F250" i="11"/>
  <c r="V249" i="11"/>
  <c r="U249" i="11"/>
  <c r="S249" i="11"/>
  <c r="R249" i="11"/>
  <c r="J249" i="11"/>
  <c r="I249" i="11"/>
  <c r="G249" i="11"/>
  <c r="F249" i="11"/>
  <c r="V248" i="11"/>
  <c r="U248" i="11"/>
  <c r="S248" i="11"/>
  <c r="R248" i="11"/>
  <c r="J248" i="11"/>
  <c r="I248" i="11"/>
  <c r="G248" i="11"/>
  <c r="F248" i="11"/>
  <c r="M245" i="11"/>
  <c r="L245" i="11"/>
  <c r="X244" i="11"/>
  <c r="V244" i="11"/>
  <c r="U244" i="11"/>
  <c r="S244" i="11"/>
  <c r="R244" i="11"/>
  <c r="K244" i="11"/>
  <c r="J244" i="11"/>
  <c r="I244" i="11"/>
  <c r="H244" i="11"/>
  <c r="G244" i="11"/>
  <c r="F244" i="11"/>
  <c r="V243" i="11"/>
  <c r="U243" i="11"/>
  <c r="S243" i="11"/>
  <c r="R243" i="11"/>
  <c r="K243" i="11"/>
  <c r="J243" i="11"/>
  <c r="I243" i="11"/>
  <c r="H243" i="11"/>
  <c r="G243" i="11"/>
  <c r="F243" i="11"/>
  <c r="V242" i="11"/>
  <c r="U242" i="11"/>
  <c r="S242" i="11"/>
  <c r="R242" i="11"/>
  <c r="K242" i="11"/>
  <c r="J242" i="11"/>
  <c r="I242" i="11"/>
  <c r="H242" i="11"/>
  <c r="G242" i="11"/>
  <c r="F242" i="11"/>
  <c r="X237" i="11"/>
  <c r="V237" i="11"/>
  <c r="U237" i="11"/>
  <c r="S237" i="11"/>
  <c r="R237" i="11"/>
  <c r="L237" i="11"/>
  <c r="J237" i="11"/>
  <c r="I237" i="11"/>
  <c r="G237" i="11"/>
  <c r="F237" i="11"/>
  <c r="V236" i="11"/>
  <c r="U236" i="11"/>
  <c r="S236" i="11"/>
  <c r="R236" i="11"/>
  <c r="J236" i="11"/>
  <c r="I236" i="11"/>
  <c r="G236" i="11"/>
  <c r="F236" i="11"/>
  <c r="V235" i="11"/>
  <c r="U235" i="11"/>
  <c r="S235" i="11"/>
  <c r="R235" i="11"/>
  <c r="J235" i="11"/>
  <c r="I235" i="11"/>
  <c r="G235" i="11"/>
  <c r="F235" i="11"/>
  <c r="X231" i="11"/>
  <c r="V231" i="11"/>
  <c r="U231" i="11"/>
  <c r="S231" i="11"/>
  <c r="R231" i="11"/>
  <c r="M231" i="11"/>
  <c r="L231" i="11"/>
  <c r="K231" i="11"/>
  <c r="J231" i="11"/>
  <c r="I231" i="11"/>
  <c r="H231" i="11"/>
  <c r="G231" i="11"/>
  <c r="F231" i="11"/>
  <c r="V230" i="11"/>
  <c r="U230" i="11"/>
  <c r="S230" i="11"/>
  <c r="R230" i="11"/>
  <c r="K230" i="11"/>
  <c r="J230" i="11"/>
  <c r="I230" i="11"/>
  <c r="H230" i="11"/>
  <c r="G230" i="11"/>
  <c r="F230" i="11"/>
  <c r="V229" i="11"/>
  <c r="U229" i="11"/>
  <c r="S229" i="11"/>
  <c r="R229" i="11"/>
  <c r="K229" i="11"/>
  <c r="J229" i="11"/>
  <c r="I229" i="11"/>
  <c r="H229" i="11"/>
  <c r="G229" i="11"/>
  <c r="F229" i="11"/>
  <c r="X224" i="11"/>
  <c r="V224" i="11"/>
  <c r="U224" i="11"/>
  <c r="S224" i="11"/>
  <c r="R224" i="11"/>
  <c r="L224" i="11"/>
  <c r="J224" i="11"/>
  <c r="I224" i="11"/>
  <c r="G224" i="11"/>
  <c r="F224" i="11"/>
  <c r="V223" i="11"/>
  <c r="U223" i="11"/>
  <c r="S223" i="11"/>
  <c r="R223" i="11"/>
  <c r="J223" i="11"/>
  <c r="I223" i="11"/>
  <c r="G223" i="11"/>
  <c r="F223" i="11"/>
  <c r="V222" i="11"/>
  <c r="U222" i="11"/>
  <c r="S222" i="11"/>
  <c r="R222" i="11"/>
  <c r="J222" i="11"/>
  <c r="I222" i="11"/>
  <c r="G222" i="11"/>
  <c r="F222" i="11"/>
  <c r="X218" i="11"/>
  <c r="V218" i="11"/>
  <c r="U218" i="11"/>
  <c r="S218" i="11"/>
  <c r="R218" i="11"/>
  <c r="M218" i="11"/>
  <c r="L218" i="11"/>
  <c r="K218" i="11"/>
  <c r="J218" i="11"/>
  <c r="I218" i="11"/>
  <c r="H218" i="11"/>
  <c r="G218" i="11"/>
  <c r="F218" i="11"/>
  <c r="V217" i="11"/>
  <c r="U217" i="11"/>
  <c r="S217" i="11"/>
  <c r="R217" i="11"/>
  <c r="K217" i="11"/>
  <c r="J217" i="11"/>
  <c r="I217" i="11"/>
  <c r="H217" i="11"/>
  <c r="G217" i="11"/>
  <c r="F217" i="11"/>
  <c r="V216" i="11"/>
  <c r="U216" i="11"/>
  <c r="S216" i="11"/>
  <c r="R216" i="11"/>
  <c r="K216" i="11"/>
  <c r="J216" i="11"/>
  <c r="I216" i="11"/>
  <c r="H216" i="11"/>
  <c r="G216" i="11"/>
  <c r="F216" i="11"/>
  <c r="X211" i="11"/>
  <c r="V211" i="11"/>
  <c r="U211" i="11"/>
  <c r="S211" i="11"/>
  <c r="R211" i="11"/>
  <c r="L211" i="11"/>
  <c r="J211" i="11"/>
  <c r="I211" i="11"/>
  <c r="G211" i="11"/>
  <c r="F211" i="11"/>
  <c r="V210" i="11"/>
  <c r="U210" i="11"/>
  <c r="S210" i="11"/>
  <c r="R210" i="11"/>
  <c r="J210" i="11"/>
  <c r="I210" i="11"/>
  <c r="G210" i="11"/>
  <c r="F210" i="11"/>
  <c r="V209" i="11"/>
  <c r="U209" i="11"/>
  <c r="S209" i="11"/>
  <c r="R209" i="11"/>
  <c r="J209" i="11"/>
  <c r="I209" i="11"/>
  <c r="G209" i="11"/>
  <c r="F209" i="11"/>
  <c r="X205" i="11"/>
  <c r="V205" i="11"/>
  <c r="U205" i="11"/>
  <c r="S205" i="11"/>
  <c r="R205" i="11"/>
  <c r="M205" i="11"/>
  <c r="L205" i="11"/>
  <c r="K205" i="11"/>
  <c r="J205" i="11"/>
  <c r="I205" i="11"/>
  <c r="H205" i="11"/>
  <c r="G205" i="11"/>
  <c r="F205" i="11"/>
  <c r="V204" i="11"/>
  <c r="U204" i="11"/>
  <c r="S204" i="11"/>
  <c r="R204" i="11"/>
  <c r="K204" i="11"/>
  <c r="J204" i="11"/>
  <c r="I204" i="11"/>
  <c r="H204" i="11"/>
  <c r="G204" i="11"/>
  <c r="F204" i="11"/>
  <c r="V203" i="11"/>
  <c r="U203" i="11"/>
  <c r="S203" i="11"/>
  <c r="R203" i="11"/>
  <c r="K203" i="11"/>
  <c r="J203" i="11"/>
  <c r="I203" i="11"/>
  <c r="H203" i="11"/>
  <c r="G203" i="11"/>
  <c r="F203" i="11"/>
  <c r="X198" i="11"/>
  <c r="V198" i="11"/>
  <c r="U198" i="11"/>
  <c r="S198" i="11"/>
  <c r="R198" i="11"/>
  <c r="L198" i="11"/>
  <c r="J198" i="11"/>
  <c r="I198" i="11"/>
  <c r="G198" i="11"/>
  <c r="F198" i="11"/>
  <c r="V197" i="11"/>
  <c r="U197" i="11"/>
  <c r="S197" i="11"/>
  <c r="R197" i="11"/>
  <c r="J197" i="11"/>
  <c r="I197" i="11"/>
  <c r="G197" i="11"/>
  <c r="F197" i="11"/>
  <c r="V196" i="11"/>
  <c r="U196" i="11"/>
  <c r="S196" i="11"/>
  <c r="R196" i="11"/>
  <c r="J196" i="11"/>
  <c r="I196" i="11"/>
  <c r="G196" i="11"/>
  <c r="F196" i="11"/>
  <c r="X192" i="11"/>
  <c r="V192" i="11"/>
  <c r="U192" i="11"/>
  <c r="S192" i="11"/>
  <c r="R192" i="11"/>
  <c r="M192" i="11"/>
  <c r="L192" i="11"/>
  <c r="K192" i="11"/>
  <c r="J192" i="11"/>
  <c r="I192" i="11"/>
  <c r="H192" i="11"/>
  <c r="G192" i="11"/>
  <c r="F192" i="11"/>
  <c r="V191" i="11"/>
  <c r="U191" i="11"/>
  <c r="S191" i="11"/>
  <c r="R191" i="11"/>
  <c r="K191" i="11"/>
  <c r="J191" i="11"/>
  <c r="I191" i="11"/>
  <c r="H191" i="11"/>
  <c r="G191" i="11"/>
  <c r="F191" i="11"/>
  <c r="V190" i="11"/>
  <c r="U190" i="11"/>
  <c r="S190" i="11"/>
  <c r="R190" i="11"/>
  <c r="K190" i="11"/>
  <c r="J190" i="11"/>
  <c r="I190" i="11"/>
  <c r="H190" i="11"/>
  <c r="G190" i="11"/>
  <c r="F190" i="11"/>
  <c r="X185" i="11"/>
  <c r="V185" i="11"/>
  <c r="U185" i="11"/>
  <c r="S185" i="11"/>
  <c r="R185" i="11"/>
  <c r="L185" i="11"/>
  <c r="J185" i="11"/>
  <c r="I185" i="11"/>
  <c r="G185" i="11"/>
  <c r="F185" i="11"/>
  <c r="V184" i="11"/>
  <c r="U184" i="11"/>
  <c r="S184" i="11"/>
  <c r="R184" i="11"/>
  <c r="J184" i="11"/>
  <c r="I184" i="11"/>
  <c r="G184" i="11"/>
  <c r="F184" i="11"/>
  <c r="V183" i="11"/>
  <c r="U183" i="11"/>
  <c r="S183" i="11"/>
  <c r="R183" i="11"/>
  <c r="J183" i="11"/>
  <c r="I183" i="11"/>
  <c r="G183" i="11"/>
  <c r="F183" i="11"/>
  <c r="X179" i="11"/>
  <c r="V179" i="11"/>
  <c r="U179" i="11"/>
  <c r="S179" i="11"/>
  <c r="R179" i="11"/>
  <c r="M179" i="11"/>
  <c r="L179" i="11"/>
  <c r="K179" i="11"/>
  <c r="J179" i="11"/>
  <c r="I179" i="11"/>
  <c r="H179" i="11"/>
  <c r="G179" i="11"/>
  <c r="F179" i="11"/>
  <c r="V178" i="11"/>
  <c r="U178" i="11"/>
  <c r="S178" i="11"/>
  <c r="R178" i="11"/>
  <c r="K178" i="11"/>
  <c r="J178" i="11"/>
  <c r="I178" i="11"/>
  <c r="H178" i="11"/>
  <c r="G178" i="11"/>
  <c r="F178" i="11"/>
  <c r="V177" i="11"/>
  <c r="U177" i="11"/>
  <c r="S177" i="11"/>
  <c r="R177" i="11"/>
  <c r="K177" i="11"/>
  <c r="J177" i="11"/>
  <c r="I177" i="11"/>
  <c r="H177" i="11"/>
  <c r="G177" i="11"/>
  <c r="F177" i="11"/>
  <c r="X172" i="11"/>
  <c r="V172" i="11"/>
  <c r="U172" i="11"/>
  <c r="S172" i="11"/>
  <c r="R172" i="11"/>
  <c r="L172" i="11"/>
  <c r="J172" i="11"/>
  <c r="I172" i="11"/>
  <c r="G172" i="11"/>
  <c r="F172" i="11"/>
  <c r="V171" i="11"/>
  <c r="U171" i="11"/>
  <c r="S171" i="11"/>
  <c r="R171" i="11"/>
  <c r="J171" i="11"/>
  <c r="I171" i="11"/>
  <c r="G171" i="11"/>
  <c r="F171" i="11"/>
  <c r="V170" i="11"/>
  <c r="U170" i="11"/>
  <c r="S170" i="11"/>
  <c r="R170" i="11"/>
  <c r="J170" i="11"/>
  <c r="I170" i="11"/>
  <c r="G170" i="11"/>
  <c r="F170" i="11"/>
  <c r="X166" i="11"/>
  <c r="V166" i="11"/>
  <c r="U166" i="11"/>
  <c r="S166" i="11"/>
  <c r="R166" i="11"/>
  <c r="M166" i="11"/>
  <c r="L166" i="11"/>
  <c r="K166" i="11"/>
  <c r="J166" i="11"/>
  <c r="I166" i="11"/>
  <c r="H166" i="11"/>
  <c r="G166" i="11"/>
  <c r="F166" i="11"/>
  <c r="V165" i="11"/>
  <c r="U165" i="11"/>
  <c r="S165" i="11"/>
  <c r="R165" i="11"/>
  <c r="K165" i="11"/>
  <c r="J165" i="11"/>
  <c r="I165" i="11"/>
  <c r="H165" i="11"/>
  <c r="G165" i="11"/>
  <c r="F165" i="11"/>
  <c r="V164" i="11"/>
  <c r="U164" i="11"/>
  <c r="S164" i="11"/>
  <c r="R164" i="11"/>
  <c r="K164" i="11"/>
  <c r="J164" i="11"/>
  <c r="I164" i="11"/>
  <c r="H164" i="11"/>
  <c r="G164" i="11"/>
  <c r="F164" i="11"/>
  <c r="X159" i="11"/>
  <c r="V159" i="11"/>
  <c r="U159" i="11"/>
  <c r="S159" i="11"/>
  <c r="R159" i="11"/>
  <c r="L159" i="11"/>
  <c r="J159" i="11"/>
  <c r="I159" i="11"/>
  <c r="G159" i="11"/>
  <c r="F159" i="11"/>
  <c r="V158" i="11"/>
  <c r="U158" i="11"/>
  <c r="S158" i="11"/>
  <c r="R158" i="11"/>
  <c r="J158" i="11"/>
  <c r="I158" i="11"/>
  <c r="G158" i="11"/>
  <c r="F158" i="11"/>
  <c r="V157" i="11"/>
  <c r="U157" i="11"/>
  <c r="S157" i="11"/>
  <c r="R157" i="11"/>
  <c r="J157" i="11"/>
  <c r="I157" i="11"/>
  <c r="G157" i="11"/>
  <c r="F157" i="11"/>
  <c r="X153" i="11"/>
  <c r="V153" i="11"/>
  <c r="U153" i="11"/>
  <c r="S153" i="11"/>
  <c r="R153" i="11"/>
  <c r="M153" i="11"/>
  <c r="L153" i="11"/>
  <c r="K153" i="11"/>
  <c r="J153" i="11"/>
  <c r="I153" i="11"/>
  <c r="H153" i="11"/>
  <c r="G153" i="11"/>
  <c r="F153" i="11"/>
  <c r="V152" i="11"/>
  <c r="U152" i="11"/>
  <c r="S152" i="11"/>
  <c r="R152" i="11"/>
  <c r="K152" i="11"/>
  <c r="J152" i="11"/>
  <c r="I152" i="11"/>
  <c r="H152" i="11"/>
  <c r="G152" i="11"/>
  <c r="F152" i="11"/>
  <c r="V151" i="11"/>
  <c r="U151" i="11"/>
  <c r="S151" i="11"/>
  <c r="R151" i="11"/>
  <c r="K151" i="11"/>
  <c r="J151" i="11"/>
  <c r="I151" i="11"/>
  <c r="H151" i="11"/>
  <c r="G151" i="11"/>
  <c r="F151" i="11"/>
  <c r="X146" i="11"/>
  <c r="V146" i="11"/>
  <c r="U146" i="11"/>
  <c r="S146" i="11"/>
  <c r="R146" i="11"/>
  <c r="L146" i="11"/>
  <c r="J146" i="11"/>
  <c r="I146" i="11"/>
  <c r="G146" i="11"/>
  <c r="F146" i="11"/>
  <c r="V145" i="11"/>
  <c r="U145" i="11"/>
  <c r="S145" i="11"/>
  <c r="R145" i="11"/>
  <c r="J145" i="11"/>
  <c r="I145" i="11"/>
  <c r="G145" i="11"/>
  <c r="F145" i="11"/>
  <c r="V144" i="11"/>
  <c r="U144" i="11"/>
  <c r="S144" i="11"/>
  <c r="R144" i="11"/>
  <c r="J144" i="11"/>
  <c r="I144" i="11"/>
  <c r="G144" i="11"/>
  <c r="F144" i="11"/>
  <c r="X140" i="11"/>
  <c r="V140" i="11"/>
  <c r="U140" i="11"/>
  <c r="S140" i="11"/>
  <c r="R140" i="11"/>
  <c r="M140" i="11"/>
  <c r="L140" i="11"/>
  <c r="K140" i="11"/>
  <c r="J140" i="11"/>
  <c r="I140" i="11"/>
  <c r="H140" i="11"/>
  <c r="G140" i="11"/>
  <c r="F140" i="11"/>
  <c r="V139" i="11"/>
  <c r="U139" i="11"/>
  <c r="S139" i="11"/>
  <c r="R139" i="11"/>
  <c r="K139" i="11"/>
  <c r="J139" i="11"/>
  <c r="I139" i="11"/>
  <c r="H139" i="11"/>
  <c r="G139" i="11"/>
  <c r="F139" i="11"/>
  <c r="V138" i="11"/>
  <c r="U138" i="11"/>
  <c r="S138" i="11"/>
  <c r="R138" i="11"/>
  <c r="K138" i="11"/>
  <c r="J138" i="11"/>
  <c r="I138" i="11"/>
  <c r="H138" i="11"/>
  <c r="G138" i="11"/>
  <c r="F138" i="11"/>
  <c r="X133" i="11"/>
  <c r="V133" i="11"/>
  <c r="U133" i="11"/>
  <c r="S133" i="11"/>
  <c r="R133" i="11"/>
  <c r="L133" i="11"/>
  <c r="J133" i="11"/>
  <c r="I133" i="11"/>
  <c r="G133" i="11"/>
  <c r="F133" i="11"/>
  <c r="V132" i="11"/>
  <c r="U132" i="11"/>
  <c r="S132" i="11"/>
  <c r="R132" i="11"/>
  <c r="J132" i="11"/>
  <c r="I132" i="11"/>
  <c r="G132" i="11"/>
  <c r="F132" i="11"/>
  <c r="V131" i="11"/>
  <c r="U131" i="11"/>
  <c r="S131" i="11"/>
  <c r="R131" i="11"/>
  <c r="J131" i="11"/>
  <c r="I131" i="11"/>
  <c r="G131" i="11"/>
  <c r="F131" i="11"/>
  <c r="X127" i="11"/>
  <c r="V127" i="11"/>
  <c r="U127" i="11"/>
  <c r="S127" i="11"/>
  <c r="R127" i="11"/>
  <c r="M127" i="11"/>
  <c r="L127" i="11"/>
  <c r="K127" i="11"/>
  <c r="J127" i="11"/>
  <c r="I127" i="11"/>
  <c r="H127" i="11"/>
  <c r="G127" i="11"/>
  <c r="F127" i="11"/>
  <c r="V126" i="11"/>
  <c r="U126" i="11"/>
  <c r="S126" i="11"/>
  <c r="R126" i="11"/>
  <c r="K126" i="11"/>
  <c r="J126" i="11"/>
  <c r="I126" i="11"/>
  <c r="H126" i="11"/>
  <c r="G126" i="11"/>
  <c r="F126" i="11"/>
  <c r="V125" i="11"/>
  <c r="U125" i="11"/>
  <c r="S125" i="11"/>
  <c r="R125" i="11"/>
  <c r="K125" i="11"/>
  <c r="J125" i="11"/>
  <c r="I125" i="11"/>
  <c r="H125" i="11"/>
  <c r="G125" i="11"/>
  <c r="F125" i="11"/>
  <c r="X120" i="11"/>
  <c r="V120" i="11"/>
  <c r="U120" i="11"/>
  <c r="S120" i="11"/>
  <c r="R120" i="11"/>
  <c r="L120" i="11"/>
  <c r="J120" i="11"/>
  <c r="I120" i="11"/>
  <c r="G120" i="11"/>
  <c r="F120" i="11"/>
  <c r="V119" i="11"/>
  <c r="U119" i="11"/>
  <c r="S119" i="11"/>
  <c r="R119" i="11"/>
  <c r="J119" i="11"/>
  <c r="I119" i="11"/>
  <c r="G119" i="11"/>
  <c r="F119" i="11"/>
  <c r="V118" i="11"/>
  <c r="U118" i="11"/>
  <c r="S118" i="11"/>
  <c r="R118" i="11"/>
  <c r="J118" i="11"/>
  <c r="I118" i="11"/>
  <c r="G118" i="11"/>
  <c r="F118" i="11"/>
  <c r="X114" i="11"/>
  <c r="V114" i="11"/>
  <c r="U114" i="11"/>
  <c r="S114" i="11"/>
  <c r="R114" i="11"/>
  <c r="M114" i="11"/>
  <c r="L114" i="11"/>
  <c r="K114" i="11"/>
  <c r="J114" i="11"/>
  <c r="I114" i="11"/>
  <c r="H114" i="11"/>
  <c r="G114" i="11"/>
  <c r="F114" i="11"/>
  <c r="V113" i="11"/>
  <c r="U113" i="11"/>
  <c r="S113" i="11"/>
  <c r="R113" i="11"/>
  <c r="K113" i="11"/>
  <c r="J113" i="11"/>
  <c r="I113" i="11"/>
  <c r="H113" i="11"/>
  <c r="G113" i="11"/>
  <c r="F113" i="11"/>
  <c r="V112" i="11"/>
  <c r="U112" i="11"/>
  <c r="S112" i="11"/>
  <c r="R112" i="11"/>
  <c r="K112" i="11"/>
  <c r="J112" i="11"/>
  <c r="I112" i="11"/>
  <c r="H112" i="11"/>
  <c r="G112" i="11"/>
  <c r="F112" i="11"/>
  <c r="X107" i="11"/>
  <c r="V107" i="11"/>
  <c r="U107" i="11"/>
  <c r="S107" i="11"/>
  <c r="R107" i="11"/>
  <c r="L107" i="11"/>
  <c r="J107" i="11"/>
  <c r="I107" i="11"/>
  <c r="G107" i="11"/>
  <c r="F107" i="11"/>
  <c r="V106" i="11"/>
  <c r="U106" i="11"/>
  <c r="S106" i="11"/>
  <c r="R106" i="11"/>
  <c r="J106" i="11"/>
  <c r="I106" i="11"/>
  <c r="G106" i="11"/>
  <c r="F106" i="11"/>
  <c r="V105" i="11"/>
  <c r="U105" i="11"/>
  <c r="S105" i="11"/>
  <c r="R105" i="11"/>
  <c r="J105" i="11"/>
  <c r="I105" i="11"/>
  <c r="G105" i="11"/>
  <c r="F105" i="11"/>
  <c r="X101" i="11"/>
  <c r="V101" i="11"/>
  <c r="U101" i="11"/>
  <c r="S101" i="11"/>
  <c r="R101" i="11"/>
  <c r="M101" i="11"/>
  <c r="L101" i="11"/>
  <c r="K101" i="11"/>
  <c r="J101" i="11"/>
  <c r="I101" i="11"/>
  <c r="H101" i="11"/>
  <c r="G101" i="11"/>
  <c r="F101" i="11"/>
  <c r="V100" i="11"/>
  <c r="U100" i="11"/>
  <c r="S100" i="11"/>
  <c r="R100" i="11"/>
  <c r="K100" i="11"/>
  <c r="J100" i="11"/>
  <c r="I100" i="11"/>
  <c r="H100" i="11"/>
  <c r="G100" i="11"/>
  <c r="F100" i="11"/>
  <c r="V99" i="11"/>
  <c r="U99" i="11"/>
  <c r="S99" i="11"/>
  <c r="R99" i="11"/>
  <c r="K99" i="11"/>
  <c r="J99" i="11"/>
  <c r="I99" i="11"/>
  <c r="H99" i="11"/>
  <c r="G99" i="11"/>
  <c r="F99" i="11"/>
  <c r="X94" i="11"/>
  <c r="V94" i="11"/>
  <c r="U94" i="11"/>
  <c r="S94" i="11"/>
  <c r="R94" i="11"/>
  <c r="L94" i="11"/>
  <c r="J94" i="11"/>
  <c r="I94" i="11"/>
  <c r="G94" i="11"/>
  <c r="F94" i="11"/>
  <c r="V93" i="11"/>
  <c r="U93" i="11"/>
  <c r="S93" i="11"/>
  <c r="R93" i="11"/>
  <c r="J93" i="11"/>
  <c r="I93" i="11"/>
  <c r="G93" i="11"/>
  <c r="F93" i="11"/>
  <c r="V92" i="11"/>
  <c r="U92" i="11"/>
  <c r="S92" i="11"/>
  <c r="R92" i="11"/>
  <c r="J92" i="11"/>
  <c r="I92" i="11"/>
  <c r="G92" i="11"/>
  <c r="F92" i="11"/>
  <c r="X88" i="11"/>
  <c r="V88" i="11"/>
  <c r="U88" i="11"/>
  <c r="S88" i="11"/>
  <c r="R88" i="11"/>
  <c r="M88" i="11"/>
  <c r="L88" i="11"/>
  <c r="K88" i="11"/>
  <c r="J88" i="11"/>
  <c r="I88" i="11"/>
  <c r="H88" i="11"/>
  <c r="G88" i="11"/>
  <c r="F88" i="11"/>
  <c r="V87" i="11"/>
  <c r="U87" i="11"/>
  <c r="S87" i="11"/>
  <c r="R87" i="11"/>
  <c r="K87" i="11"/>
  <c r="J87" i="11"/>
  <c r="I87" i="11"/>
  <c r="H87" i="11"/>
  <c r="G87" i="11"/>
  <c r="F87" i="11"/>
  <c r="V86" i="11"/>
  <c r="U86" i="11"/>
  <c r="S86" i="11"/>
  <c r="R86" i="11"/>
  <c r="K86" i="11"/>
  <c r="J86" i="11"/>
  <c r="I86" i="11"/>
  <c r="H86" i="11"/>
  <c r="G86" i="11"/>
  <c r="F86" i="11"/>
  <c r="X81" i="11"/>
  <c r="V81" i="11"/>
  <c r="U81" i="11"/>
  <c r="S81" i="11"/>
  <c r="R81" i="11"/>
  <c r="L81" i="11"/>
  <c r="J81" i="11"/>
  <c r="I81" i="11"/>
  <c r="G81" i="11"/>
  <c r="F81" i="11"/>
  <c r="V80" i="11"/>
  <c r="U80" i="11"/>
  <c r="S80" i="11"/>
  <c r="R80" i="11"/>
  <c r="J80" i="11"/>
  <c r="I80" i="11"/>
  <c r="G80" i="11"/>
  <c r="F80" i="11"/>
  <c r="V79" i="11"/>
  <c r="U79" i="11"/>
  <c r="S79" i="11"/>
  <c r="R79" i="11"/>
  <c r="J79" i="11"/>
  <c r="I79" i="11"/>
  <c r="G79" i="11"/>
  <c r="F79" i="11"/>
  <c r="X75" i="11"/>
  <c r="V75" i="11"/>
  <c r="U75" i="11"/>
  <c r="S75" i="11"/>
  <c r="R75" i="11"/>
  <c r="M75" i="11"/>
  <c r="L75" i="11"/>
  <c r="K75" i="11"/>
  <c r="J75" i="11"/>
  <c r="I75" i="11"/>
  <c r="H75" i="11"/>
  <c r="G75" i="11"/>
  <c r="F75" i="11"/>
  <c r="V74" i="11"/>
  <c r="U74" i="11"/>
  <c r="S74" i="11"/>
  <c r="R74" i="11"/>
  <c r="K74" i="11"/>
  <c r="J74" i="11"/>
  <c r="I74" i="11"/>
  <c r="H74" i="11"/>
  <c r="G74" i="11"/>
  <c r="F74" i="11"/>
  <c r="V73" i="11"/>
  <c r="U73" i="11"/>
  <c r="S73" i="11"/>
  <c r="R73" i="11"/>
  <c r="K73" i="11"/>
  <c r="J73" i="11"/>
  <c r="I73" i="11"/>
  <c r="H73" i="11"/>
  <c r="G73" i="11"/>
  <c r="F73" i="11"/>
  <c r="X263" i="13"/>
  <c r="V263" i="13"/>
  <c r="U263" i="13"/>
  <c r="S263" i="13"/>
  <c r="R263" i="13"/>
  <c r="L263" i="13"/>
  <c r="J263" i="13"/>
  <c r="I263" i="13"/>
  <c r="G263" i="13"/>
  <c r="F263" i="13"/>
  <c r="V262" i="13"/>
  <c r="U262" i="13"/>
  <c r="S262" i="13"/>
  <c r="R262" i="13"/>
  <c r="J262" i="13"/>
  <c r="I262" i="13"/>
  <c r="G262" i="13"/>
  <c r="F262" i="13"/>
  <c r="V261" i="13"/>
  <c r="U261" i="13"/>
  <c r="S261" i="13"/>
  <c r="R261" i="13"/>
  <c r="J261" i="13"/>
  <c r="I261" i="13"/>
  <c r="G261" i="13"/>
  <c r="F261" i="13"/>
  <c r="X257" i="13"/>
  <c r="V257" i="13"/>
  <c r="U257" i="13"/>
  <c r="S257" i="13"/>
  <c r="R257" i="13"/>
  <c r="M257" i="13"/>
  <c r="L257" i="13"/>
  <c r="K257" i="13"/>
  <c r="J257" i="13"/>
  <c r="I257" i="13"/>
  <c r="H257" i="13"/>
  <c r="G257" i="13"/>
  <c r="F257" i="13"/>
  <c r="V256" i="13"/>
  <c r="U256" i="13"/>
  <c r="S256" i="13"/>
  <c r="R256" i="13"/>
  <c r="K256" i="13"/>
  <c r="J256" i="13"/>
  <c r="I256" i="13"/>
  <c r="H256" i="13"/>
  <c r="G256" i="13"/>
  <c r="F256" i="13"/>
  <c r="V255" i="13"/>
  <c r="U255" i="13"/>
  <c r="S255" i="13"/>
  <c r="R255" i="13"/>
  <c r="K255" i="13"/>
  <c r="J255" i="13"/>
  <c r="I255" i="13"/>
  <c r="H255" i="13"/>
  <c r="G255" i="13"/>
  <c r="F255" i="13"/>
  <c r="X250" i="13"/>
  <c r="V250" i="13"/>
  <c r="U250" i="13"/>
  <c r="S250" i="13"/>
  <c r="R250" i="13"/>
  <c r="L250" i="13"/>
  <c r="J250" i="13"/>
  <c r="I250" i="13"/>
  <c r="G250" i="13"/>
  <c r="F250" i="13"/>
  <c r="V249" i="13"/>
  <c r="U249" i="13"/>
  <c r="S249" i="13"/>
  <c r="R249" i="13"/>
  <c r="J249" i="13"/>
  <c r="I249" i="13"/>
  <c r="G249" i="13"/>
  <c r="F249" i="13"/>
  <c r="V248" i="13"/>
  <c r="U248" i="13"/>
  <c r="S248" i="13"/>
  <c r="R248" i="13"/>
  <c r="J248" i="13"/>
  <c r="I248" i="13"/>
  <c r="G248" i="13"/>
  <c r="F248" i="13"/>
  <c r="X244" i="13"/>
  <c r="V244" i="13"/>
  <c r="U244" i="13"/>
  <c r="S244" i="13"/>
  <c r="R244" i="13"/>
  <c r="M244" i="13"/>
  <c r="L244" i="13"/>
  <c r="K244" i="13"/>
  <c r="J244" i="13"/>
  <c r="I244" i="13"/>
  <c r="H244" i="13"/>
  <c r="G244" i="13"/>
  <c r="F244" i="13"/>
  <c r="V243" i="13"/>
  <c r="U243" i="13"/>
  <c r="S243" i="13"/>
  <c r="R243" i="13"/>
  <c r="K243" i="13"/>
  <c r="J243" i="13"/>
  <c r="I243" i="13"/>
  <c r="H243" i="13"/>
  <c r="G243" i="13"/>
  <c r="F243" i="13"/>
  <c r="V242" i="13"/>
  <c r="U242" i="13"/>
  <c r="S242" i="13"/>
  <c r="R242" i="13"/>
  <c r="K242" i="13"/>
  <c r="J242" i="13"/>
  <c r="I242" i="13"/>
  <c r="H242" i="13"/>
  <c r="G242" i="13"/>
  <c r="F242" i="13"/>
  <c r="X237" i="13"/>
  <c r="V237" i="13"/>
  <c r="U237" i="13"/>
  <c r="S237" i="13"/>
  <c r="R237" i="13"/>
  <c r="L237" i="13"/>
  <c r="J237" i="13"/>
  <c r="I237" i="13"/>
  <c r="G237" i="13"/>
  <c r="F237" i="13"/>
  <c r="V236" i="13"/>
  <c r="U236" i="13"/>
  <c r="S236" i="13"/>
  <c r="R236" i="13"/>
  <c r="J236" i="13"/>
  <c r="I236" i="13"/>
  <c r="G236" i="13"/>
  <c r="F236" i="13"/>
  <c r="V235" i="13"/>
  <c r="U235" i="13"/>
  <c r="S235" i="13"/>
  <c r="R235" i="13"/>
  <c r="J235" i="13"/>
  <c r="I235" i="13"/>
  <c r="G235" i="13"/>
  <c r="F235" i="13"/>
  <c r="X231" i="13"/>
  <c r="V231" i="13"/>
  <c r="U231" i="13"/>
  <c r="S231" i="13"/>
  <c r="R231" i="13"/>
  <c r="M231" i="13"/>
  <c r="L231" i="13"/>
  <c r="K231" i="13"/>
  <c r="J231" i="13"/>
  <c r="I231" i="13"/>
  <c r="H231" i="13"/>
  <c r="G231" i="13"/>
  <c r="F231" i="13"/>
  <c r="V230" i="13"/>
  <c r="U230" i="13"/>
  <c r="S230" i="13"/>
  <c r="R230" i="13"/>
  <c r="K230" i="13"/>
  <c r="J230" i="13"/>
  <c r="I230" i="13"/>
  <c r="H230" i="13"/>
  <c r="G230" i="13"/>
  <c r="F230" i="13"/>
  <c r="V229" i="13"/>
  <c r="U229" i="13"/>
  <c r="S229" i="13"/>
  <c r="R229" i="13"/>
  <c r="K229" i="13"/>
  <c r="J229" i="13"/>
  <c r="I229" i="13"/>
  <c r="H229" i="13"/>
  <c r="G229" i="13"/>
  <c r="F229" i="13"/>
  <c r="X224" i="13"/>
  <c r="V224" i="13"/>
  <c r="U224" i="13"/>
  <c r="S224" i="13"/>
  <c r="R224" i="13"/>
  <c r="L224" i="13"/>
  <c r="J224" i="13"/>
  <c r="I224" i="13"/>
  <c r="G224" i="13"/>
  <c r="F224" i="13"/>
  <c r="V223" i="13"/>
  <c r="U223" i="13"/>
  <c r="S223" i="13"/>
  <c r="R223" i="13"/>
  <c r="J223" i="13"/>
  <c r="I223" i="13"/>
  <c r="G223" i="13"/>
  <c r="F223" i="13"/>
  <c r="V222" i="13"/>
  <c r="U222" i="13"/>
  <c r="S222" i="13"/>
  <c r="R222" i="13"/>
  <c r="J222" i="13"/>
  <c r="I222" i="13"/>
  <c r="G222" i="13"/>
  <c r="F222" i="13"/>
  <c r="X218" i="13"/>
  <c r="V218" i="13"/>
  <c r="U218" i="13"/>
  <c r="S218" i="13"/>
  <c r="R218" i="13"/>
  <c r="M218" i="13"/>
  <c r="L218" i="13"/>
  <c r="K218" i="13"/>
  <c r="J218" i="13"/>
  <c r="I218" i="13"/>
  <c r="H218" i="13"/>
  <c r="G218" i="13"/>
  <c r="F218" i="13"/>
  <c r="V217" i="13"/>
  <c r="U217" i="13"/>
  <c r="S217" i="13"/>
  <c r="R217" i="13"/>
  <c r="K217" i="13"/>
  <c r="J217" i="13"/>
  <c r="I217" i="13"/>
  <c r="H217" i="13"/>
  <c r="G217" i="13"/>
  <c r="F217" i="13"/>
  <c r="V216" i="13"/>
  <c r="U216" i="13"/>
  <c r="S216" i="13"/>
  <c r="R216" i="13"/>
  <c r="K216" i="13"/>
  <c r="J216" i="13"/>
  <c r="I216" i="13"/>
  <c r="H216" i="13"/>
  <c r="G216" i="13"/>
  <c r="F216" i="13"/>
  <c r="X211" i="13"/>
  <c r="V211" i="13"/>
  <c r="U211" i="13"/>
  <c r="S211" i="13"/>
  <c r="R211" i="13"/>
  <c r="L211" i="13"/>
  <c r="J211" i="13"/>
  <c r="I211" i="13"/>
  <c r="G211" i="13"/>
  <c r="F211" i="13"/>
  <c r="V210" i="13"/>
  <c r="U210" i="13"/>
  <c r="S210" i="13"/>
  <c r="R210" i="13"/>
  <c r="J210" i="13"/>
  <c r="I210" i="13"/>
  <c r="G210" i="13"/>
  <c r="F210" i="13"/>
  <c r="V209" i="13"/>
  <c r="U209" i="13"/>
  <c r="S209" i="13"/>
  <c r="R209" i="13"/>
  <c r="J209" i="13"/>
  <c r="I209" i="13"/>
  <c r="G209" i="13"/>
  <c r="F209" i="13"/>
  <c r="X205" i="13"/>
  <c r="V205" i="13"/>
  <c r="U205" i="13"/>
  <c r="S205" i="13"/>
  <c r="R205" i="13"/>
  <c r="M205" i="13"/>
  <c r="L205" i="13"/>
  <c r="K205" i="13"/>
  <c r="J205" i="13"/>
  <c r="I205" i="13"/>
  <c r="H205" i="13"/>
  <c r="G205" i="13"/>
  <c r="F205" i="13"/>
  <c r="V204" i="13"/>
  <c r="U204" i="13"/>
  <c r="S204" i="13"/>
  <c r="R204" i="13"/>
  <c r="K204" i="13"/>
  <c r="J204" i="13"/>
  <c r="I204" i="13"/>
  <c r="H204" i="13"/>
  <c r="G204" i="13"/>
  <c r="F204" i="13"/>
  <c r="V203" i="13"/>
  <c r="U203" i="13"/>
  <c r="S203" i="13"/>
  <c r="R203" i="13"/>
  <c r="K203" i="13"/>
  <c r="J203" i="13"/>
  <c r="I203" i="13"/>
  <c r="H203" i="13"/>
  <c r="G203" i="13"/>
  <c r="F203" i="13"/>
  <c r="X198" i="13"/>
  <c r="V198" i="13"/>
  <c r="U198" i="13"/>
  <c r="S198" i="13"/>
  <c r="R198" i="13"/>
  <c r="L198" i="13"/>
  <c r="J198" i="13"/>
  <c r="I198" i="13"/>
  <c r="G198" i="13"/>
  <c r="F198" i="13"/>
  <c r="V197" i="13"/>
  <c r="U197" i="13"/>
  <c r="S197" i="13"/>
  <c r="R197" i="13"/>
  <c r="J197" i="13"/>
  <c r="I197" i="13"/>
  <c r="G197" i="13"/>
  <c r="F197" i="13"/>
  <c r="V196" i="13"/>
  <c r="U196" i="13"/>
  <c r="S196" i="13"/>
  <c r="R196" i="13"/>
  <c r="J196" i="13"/>
  <c r="I196" i="13"/>
  <c r="G196" i="13"/>
  <c r="F196" i="13"/>
  <c r="X192" i="13"/>
  <c r="V192" i="13"/>
  <c r="U192" i="13"/>
  <c r="S192" i="13"/>
  <c r="R192" i="13"/>
  <c r="M192" i="13"/>
  <c r="L192" i="13"/>
  <c r="K192" i="13"/>
  <c r="J192" i="13"/>
  <c r="I192" i="13"/>
  <c r="H192" i="13"/>
  <c r="G192" i="13"/>
  <c r="F192" i="13"/>
  <c r="V191" i="13"/>
  <c r="U191" i="13"/>
  <c r="S191" i="13"/>
  <c r="R191" i="13"/>
  <c r="K191" i="13"/>
  <c r="J191" i="13"/>
  <c r="I191" i="13"/>
  <c r="H191" i="13"/>
  <c r="G191" i="13"/>
  <c r="F191" i="13"/>
  <c r="V190" i="13"/>
  <c r="U190" i="13"/>
  <c r="S190" i="13"/>
  <c r="R190" i="13"/>
  <c r="K190" i="13"/>
  <c r="J190" i="13"/>
  <c r="I190" i="13"/>
  <c r="H190" i="13"/>
  <c r="G190" i="13"/>
  <c r="F190" i="13"/>
  <c r="X185" i="13"/>
  <c r="V185" i="13"/>
  <c r="U185" i="13"/>
  <c r="S185" i="13"/>
  <c r="R185" i="13"/>
  <c r="L185" i="13"/>
  <c r="J185" i="13"/>
  <c r="I185" i="13"/>
  <c r="G185" i="13"/>
  <c r="F185" i="13"/>
  <c r="V184" i="13"/>
  <c r="U184" i="13"/>
  <c r="S184" i="13"/>
  <c r="R184" i="13"/>
  <c r="J184" i="13"/>
  <c r="I184" i="13"/>
  <c r="G184" i="13"/>
  <c r="F184" i="13"/>
  <c r="V183" i="13"/>
  <c r="U183" i="13"/>
  <c r="S183" i="13"/>
  <c r="R183" i="13"/>
  <c r="J183" i="13"/>
  <c r="I183" i="13"/>
  <c r="G183" i="13"/>
  <c r="F183" i="13"/>
  <c r="X179" i="13"/>
  <c r="V179" i="13"/>
  <c r="U179" i="13"/>
  <c r="S179" i="13"/>
  <c r="R179" i="13"/>
  <c r="M179" i="13"/>
  <c r="L179" i="13"/>
  <c r="K179" i="13"/>
  <c r="J179" i="13"/>
  <c r="I179" i="13"/>
  <c r="H179" i="13"/>
  <c r="G179" i="13"/>
  <c r="F179" i="13"/>
  <c r="V178" i="13"/>
  <c r="U178" i="13"/>
  <c r="S178" i="13"/>
  <c r="R178" i="13"/>
  <c r="K178" i="13"/>
  <c r="J178" i="13"/>
  <c r="I178" i="13"/>
  <c r="H178" i="13"/>
  <c r="G178" i="13"/>
  <c r="F178" i="13"/>
  <c r="V177" i="13"/>
  <c r="U177" i="13"/>
  <c r="S177" i="13"/>
  <c r="R177" i="13"/>
  <c r="K177" i="13"/>
  <c r="J177" i="13"/>
  <c r="I177" i="13"/>
  <c r="H177" i="13"/>
  <c r="G177" i="13"/>
  <c r="F177" i="13"/>
  <c r="X172" i="13"/>
  <c r="V172" i="13"/>
  <c r="U172" i="13"/>
  <c r="S172" i="13"/>
  <c r="R172" i="13"/>
  <c r="L172" i="13"/>
  <c r="J172" i="13"/>
  <c r="I172" i="13"/>
  <c r="G172" i="13"/>
  <c r="F172" i="13"/>
  <c r="V171" i="13"/>
  <c r="U171" i="13"/>
  <c r="S171" i="13"/>
  <c r="R171" i="13"/>
  <c r="J171" i="13"/>
  <c r="I171" i="13"/>
  <c r="G171" i="13"/>
  <c r="F171" i="13"/>
  <c r="V170" i="13"/>
  <c r="U170" i="13"/>
  <c r="S170" i="13"/>
  <c r="R170" i="13"/>
  <c r="J170" i="13"/>
  <c r="I170" i="13"/>
  <c r="G170" i="13"/>
  <c r="F170" i="13"/>
  <c r="X166" i="13"/>
  <c r="V166" i="13"/>
  <c r="U166" i="13"/>
  <c r="S166" i="13"/>
  <c r="R166" i="13"/>
  <c r="M166" i="13"/>
  <c r="L166" i="13"/>
  <c r="K166" i="13"/>
  <c r="J166" i="13"/>
  <c r="I166" i="13"/>
  <c r="H166" i="13"/>
  <c r="G166" i="13"/>
  <c r="F166" i="13"/>
  <c r="V165" i="13"/>
  <c r="U165" i="13"/>
  <c r="S165" i="13"/>
  <c r="R165" i="13"/>
  <c r="K165" i="13"/>
  <c r="J165" i="13"/>
  <c r="I165" i="13"/>
  <c r="H165" i="13"/>
  <c r="G165" i="13"/>
  <c r="F165" i="13"/>
  <c r="V164" i="13"/>
  <c r="U164" i="13"/>
  <c r="S164" i="13"/>
  <c r="R164" i="13"/>
  <c r="K164" i="13"/>
  <c r="J164" i="13"/>
  <c r="I164" i="13"/>
  <c r="H164" i="13"/>
  <c r="G164" i="13"/>
  <c r="F164" i="13"/>
  <c r="X159" i="13"/>
  <c r="V159" i="13"/>
  <c r="U159" i="13"/>
  <c r="S159" i="13"/>
  <c r="R159" i="13"/>
  <c r="L159" i="13"/>
  <c r="J159" i="13"/>
  <c r="I159" i="13"/>
  <c r="G159" i="13"/>
  <c r="F159" i="13"/>
  <c r="V158" i="13"/>
  <c r="U158" i="13"/>
  <c r="S158" i="13"/>
  <c r="R158" i="13"/>
  <c r="J158" i="13"/>
  <c r="I158" i="13"/>
  <c r="G158" i="13"/>
  <c r="F158" i="13"/>
  <c r="V157" i="13"/>
  <c r="U157" i="13"/>
  <c r="S157" i="13"/>
  <c r="R157" i="13"/>
  <c r="J157" i="13"/>
  <c r="I157" i="13"/>
  <c r="G157" i="13"/>
  <c r="F157" i="13"/>
  <c r="X153" i="13"/>
  <c r="V153" i="13"/>
  <c r="U153" i="13"/>
  <c r="S153" i="13"/>
  <c r="R153" i="13"/>
  <c r="M153" i="13"/>
  <c r="L153" i="13"/>
  <c r="K153" i="13"/>
  <c r="J153" i="13"/>
  <c r="I153" i="13"/>
  <c r="H153" i="13"/>
  <c r="G153" i="13"/>
  <c r="F153" i="13"/>
  <c r="V152" i="13"/>
  <c r="U152" i="13"/>
  <c r="S152" i="13"/>
  <c r="R152" i="13"/>
  <c r="K152" i="13"/>
  <c r="J152" i="13"/>
  <c r="I152" i="13"/>
  <c r="H152" i="13"/>
  <c r="G152" i="13"/>
  <c r="F152" i="13"/>
  <c r="V151" i="13"/>
  <c r="U151" i="13"/>
  <c r="S151" i="13"/>
  <c r="R151" i="13"/>
  <c r="K151" i="13"/>
  <c r="J151" i="13"/>
  <c r="I151" i="13"/>
  <c r="H151" i="13"/>
  <c r="G151" i="13"/>
  <c r="F151" i="13"/>
  <c r="X146" i="13"/>
  <c r="V146" i="13"/>
  <c r="U146" i="13"/>
  <c r="S146" i="13"/>
  <c r="R146" i="13"/>
  <c r="L146" i="13"/>
  <c r="J146" i="13"/>
  <c r="I146" i="13"/>
  <c r="G146" i="13"/>
  <c r="F146" i="13"/>
  <c r="V145" i="13"/>
  <c r="U145" i="13"/>
  <c r="S145" i="13"/>
  <c r="R145" i="13"/>
  <c r="J145" i="13"/>
  <c r="I145" i="13"/>
  <c r="G145" i="13"/>
  <c r="F145" i="13"/>
  <c r="V144" i="13"/>
  <c r="U144" i="13"/>
  <c r="S144" i="13"/>
  <c r="R144" i="13"/>
  <c r="J144" i="13"/>
  <c r="I144" i="13"/>
  <c r="G144" i="13"/>
  <c r="F144" i="13"/>
  <c r="X140" i="13"/>
  <c r="V140" i="13"/>
  <c r="U140" i="13"/>
  <c r="S140" i="13"/>
  <c r="R140" i="13"/>
  <c r="M140" i="13"/>
  <c r="L140" i="13"/>
  <c r="K140" i="13"/>
  <c r="J140" i="13"/>
  <c r="I140" i="13"/>
  <c r="H140" i="13"/>
  <c r="G140" i="13"/>
  <c r="F140" i="13"/>
  <c r="V139" i="13"/>
  <c r="U139" i="13"/>
  <c r="S139" i="13"/>
  <c r="R139" i="13"/>
  <c r="K139" i="13"/>
  <c r="J139" i="13"/>
  <c r="I139" i="13"/>
  <c r="H139" i="13"/>
  <c r="G139" i="13"/>
  <c r="F139" i="13"/>
  <c r="V138" i="13"/>
  <c r="U138" i="13"/>
  <c r="S138" i="13"/>
  <c r="R138" i="13"/>
  <c r="K138" i="13"/>
  <c r="J138" i="13"/>
  <c r="I138" i="13"/>
  <c r="H138" i="13"/>
  <c r="G138" i="13"/>
  <c r="F138" i="13"/>
  <c r="X133" i="13"/>
  <c r="V133" i="13"/>
  <c r="U133" i="13"/>
  <c r="S133" i="13"/>
  <c r="R133" i="13"/>
  <c r="L133" i="13"/>
  <c r="J133" i="13"/>
  <c r="I133" i="13"/>
  <c r="G133" i="13"/>
  <c r="F133" i="13"/>
  <c r="V132" i="13"/>
  <c r="U132" i="13"/>
  <c r="S132" i="13"/>
  <c r="R132" i="13"/>
  <c r="J132" i="13"/>
  <c r="I132" i="13"/>
  <c r="G132" i="13"/>
  <c r="F132" i="13"/>
  <c r="V131" i="13"/>
  <c r="U131" i="13"/>
  <c r="S131" i="13"/>
  <c r="R131" i="13"/>
  <c r="J131" i="13"/>
  <c r="I131" i="13"/>
  <c r="G131" i="13"/>
  <c r="F131" i="13"/>
  <c r="X127" i="13"/>
  <c r="V127" i="13"/>
  <c r="U127" i="13"/>
  <c r="S127" i="13"/>
  <c r="R127" i="13"/>
  <c r="M127" i="13"/>
  <c r="L127" i="13"/>
  <c r="K127" i="13"/>
  <c r="J127" i="13"/>
  <c r="I127" i="13"/>
  <c r="H127" i="13"/>
  <c r="G127" i="13"/>
  <c r="F127" i="13"/>
  <c r="V126" i="13"/>
  <c r="U126" i="13"/>
  <c r="S126" i="13"/>
  <c r="R126" i="13"/>
  <c r="K126" i="13"/>
  <c r="J126" i="13"/>
  <c r="I126" i="13"/>
  <c r="H126" i="13"/>
  <c r="G126" i="13"/>
  <c r="F126" i="13"/>
  <c r="V125" i="13"/>
  <c r="U125" i="13"/>
  <c r="S125" i="13"/>
  <c r="R125" i="13"/>
  <c r="K125" i="13"/>
  <c r="J125" i="13"/>
  <c r="I125" i="13"/>
  <c r="H125" i="13"/>
  <c r="G125" i="13"/>
  <c r="F125" i="13"/>
  <c r="X120" i="13"/>
  <c r="V120" i="13"/>
  <c r="U120" i="13"/>
  <c r="S120" i="13"/>
  <c r="R120" i="13"/>
  <c r="L120" i="13"/>
  <c r="J120" i="13"/>
  <c r="I120" i="13"/>
  <c r="G120" i="13"/>
  <c r="F120" i="13"/>
  <c r="V119" i="13"/>
  <c r="U119" i="13"/>
  <c r="S119" i="13"/>
  <c r="R119" i="13"/>
  <c r="J119" i="13"/>
  <c r="I119" i="13"/>
  <c r="G119" i="13"/>
  <c r="F119" i="13"/>
  <c r="V118" i="13"/>
  <c r="U118" i="13"/>
  <c r="S118" i="13"/>
  <c r="R118" i="13"/>
  <c r="J118" i="13"/>
  <c r="I118" i="13"/>
  <c r="G118" i="13"/>
  <c r="F118" i="13"/>
  <c r="X114" i="13"/>
  <c r="V114" i="13"/>
  <c r="U114" i="13"/>
  <c r="S114" i="13"/>
  <c r="R114" i="13"/>
  <c r="M114" i="13"/>
  <c r="L114" i="13"/>
  <c r="K114" i="13"/>
  <c r="J114" i="13"/>
  <c r="I114" i="13"/>
  <c r="H114" i="13"/>
  <c r="G114" i="13"/>
  <c r="F114" i="13"/>
  <c r="V113" i="13"/>
  <c r="U113" i="13"/>
  <c r="S113" i="13"/>
  <c r="R113" i="13"/>
  <c r="K113" i="13"/>
  <c r="J113" i="13"/>
  <c r="I113" i="13"/>
  <c r="H113" i="13"/>
  <c r="G113" i="13"/>
  <c r="F113" i="13"/>
  <c r="V112" i="13"/>
  <c r="U112" i="13"/>
  <c r="S112" i="13"/>
  <c r="R112" i="13"/>
  <c r="K112" i="13"/>
  <c r="J112" i="13"/>
  <c r="I112" i="13"/>
  <c r="H112" i="13"/>
  <c r="G112" i="13"/>
  <c r="F112" i="13"/>
  <c r="X107" i="13"/>
  <c r="V107" i="13"/>
  <c r="U107" i="13"/>
  <c r="S107" i="13"/>
  <c r="R107" i="13"/>
  <c r="L107" i="13"/>
  <c r="J107" i="13"/>
  <c r="I107" i="13"/>
  <c r="G107" i="13"/>
  <c r="F107" i="13"/>
  <c r="V106" i="13"/>
  <c r="U106" i="13"/>
  <c r="S106" i="13"/>
  <c r="R106" i="13"/>
  <c r="J106" i="13"/>
  <c r="I106" i="13"/>
  <c r="G106" i="13"/>
  <c r="F106" i="13"/>
  <c r="V105" i="13"/>
  <c r="U105" i="13"/>
  <c r="S105" i="13"/>
  <c r="R105" i="13"/>
  <c r="J105" i="13"/>
  <c r="I105" i="13"/>
  <c r="G105" i="13"/>
  <c r="F105" i="13"/>
  <c r="X101" i="13"/>
  <c r="V101" i="13"/>
  <c r="U101" i="13"/>
  <c r="S101" i="13"/>
  <c r="R101" i="13"/>
  <c r="M101" i="13"/>
  <c r="L101" i="13"/>
  <c r="K101" i="13"/>
  <c r="J101" i="13"/>
  <c r="I101" i="13"/>
  <c r="H101" i="13"/>
  <c r="G101" i="13"/>
  <c r="F101" i="13"/>
  <c r="V100" i="13"/>
  <c r="U100" i="13"/>
  <c r="S100" i="13"/>
  <c r="R100" i="13"/>
  <c r="K100" i="13"/>
  <c r="J100" i="13"/>
  <c r="I100" i="13"/>
  <c r="H100" i="13"/>
  <c r="G100" i="13"/>
  <c r="F100" i="13"/>
  <c r="V99" i="13"/>
  <c r="U99" i="13"/>
  <c r="S99" i="13"/>
  <c r="R99" i="13"/>
  <c r="K99" i="13"/>
  <c r="J99" i="13"/>
  <c r="I99" i="13"/>
  <c r="H99" i="13"/>
  <c r="G99" i="13"/>
  <c r="F99" i="13"/>
  <c r="X94" i="13"/>
  <c r="V94" i="13"/>
  <c r="U94" i="13"/>
  <c r="S94" i="13"/>
  <c r="R94" i="13"/>
  <c r="L94" i="13"/>
  <c r="J94" i="13"/>
  <c r="I94" i="13"/>
  <c r="G94" i="13"/>
  <c r="F94" i="13"/>
  <c r="V93" i="13"/>
  <c r="U93" i="13"/>
  <c r="S93" i="13"/>
  <c r="R93" i="13"/>
  <c r="J93" i="13"/>
  <c r="I93" i="13"/>
  <c r="G93" i="13"/>
  <c r="F93" i="13"/>
  <c r="V92" i="13"/>
  <c r="U92" i="13"/>
  <c r="S92" i="13"/>
  <c r="R92" i="13"/>
  <c r="J92" i="13"/>
  <c r="I92" i="13"/>
  <c r="G92" i="13"/>
  <c r="F92" i="13"/>
  <c r="X88" i="13"/>
  <c r="V88" i="13"/>
  <c r="U88" i="13"/>
  <c r="S88" i="13"/>
  <c r="R88" i="13"/>
  <c r="M88" i="13"/>
  <c r="L88" i="13"/>
  <c r="K88" i="13"/>
  <c r="J88" i="13"/>
  <c r="I88" i="13"/>
  <c r="H88" i="13"/>
  <c r="G88" i="13"/>
  <c r="F88" i="13"/>
  <c r="V87" i="13"/>
  <c r="U87" i="13"/>
  <c r="S87" i="13"/>
  <c r="R87" i="13"/>
  <c r="K87" i="13"/>
  <c r="J87" i="13"/>
  <c r="I87" i="13"/>
  <c r="H87" i="13"/>
  <c r="G87" i="13"/>
  <c r="F87" i="13"/>
  <c r="V86" i="13"/>
  <c r="U86" i="13"/>
  <c r="S86" i="13"/>
  <c r="R86" i="13"/>
  <c r="K86" i="13"/>
  <c r="J86" i="13"/>
  <c r="I86" i="13"/>
  <c r="H86" i="13"/>
  <c r="G86" i="13"/>
  <c r="F86" i="13"/>
  <c r="X81" i="13"/>
  <c r="V81" i="13"/>
  <c r="U81" i="13"/>
  <c r="S81" i="13"/>
  <c r="R81" i="13"/>
  <c r="L81" i="13"/>
  <c r="J81" i="13"/>
  <c r="I81" i="13"/>
  <c r="G81" i="13"/>
  <c r="F81" i="13"/>
  <c r="V80" i="13"/>
  <c r="U80" i="13"/>
  <c r="S80" i="13"/>
  <c r="R80" i="13"/>
  <c r="J80" i="13"/>
  <c r="I80" i="13"/>
  <c r="G80" i="13"/>
  <c r="F80" i="13"/>
  <c r="V79" i="13"/>
  <c r="U79" i="13"/>
  <c r="S79" i="13"/>
  <c r="R79" i="13"/>
  <c r="J79" i="13"/>
  <c r="I79" i="13"/>
  <c r="G79" i="13"/>
  <c r="F79" i="13"/>
  <c r="X75" i="13"/>
  <c r="V75" i="13"/>
  <c r="U75" i="13"/>
  <c r="S75" i="13"/>
  <c r="R75" i="13"/>
  <c r="M75" i="13"/>
  <c r="L75" i="13"/>
  <c r="K75" i="13"/>
  <c r="J75" i="13"/>
  <c r="I75" i="13"/>
  <c r="H75" i="13"/>
  <c r="G75" i="13"/>
  <c r="F75" i="13"/>
  <c r="V74" i="13"/>
  <c r="U74" i="13"/>
  <c r="S74" i="13"/>
  <c r="R74" i="13"/>
  <c r="K74" i="13"/>
  <c r="J74" i="13"/>
  <c r="I74" i="13"/>
  <c r="H74" i="13"/>
  <c r="G74" i="13"/>
  <c r="F74" i="13"/>
  <c r="V73" i="13"/>
  <c r="U73" i="13"/>
  <c r="S73" i="13"/>
  <c r="R73" i="13"/>
  <c r="K73" i="13"/>
  <c r="J73" i="13"/>
  <c r="I73" i="13"/>
  <c r="H73" i="13"/>
  <c r="G73" i="13"/>
  <c r="F73" i="13"/>
  <c r="X263" i="44"/>
  <c r="V263" i="44"/>
  <c r="U263" i="44"/>
  <c r="S263" i="44"/>
  <c r="R263" i="44"/>
  <c r="L263" i="44"/>
  <c r="J263" i="44"/>
  <c r="I263" i="44"/>
  <c r="G263" i="44"/>
  <c r="F263" i="44"/>
  <c r="V262" i="44"/>
  <c r="U262" i="44"/>
  <c r="S262" i="44"/>
  <c r="R262" i="44"/>
  <c r="J262" i="44"/>
  <c r="I262" i="44"/>
  <c r="G262" i="44"/>
  <c r="F262" i="44"/>
  <c r="V261" i="44"/>
  <c r="U261" i="44"/>
  <c r="S261" i="44"/>
  <c r="R261" i="44"/>
  <c r="J261" i="44"/>
  <c r="I261" i="44"/>
  <c r="G261" i="44"/>
  <c r="F261" i="44"/>
  <c r="X257" i="44"/>
  <c r="V257" i="44"/>
  <c r="U257" i="44"/>
  <c r="S257" i="44"/>
  <c r="R257" i="44"/>
  <c r="M257" i="44"/>
  <c r="L257" i="44"/>
  <c r="K257" i="44"/>
  <c r="J257" i="44"/>
  <c r="I257" i="44"/>
  <c r="H257" i="44"/>
  <c r="G257" i="44"/>
  <c r="F257" i="44"/>
  <c r="V256" i="44"/>
  <c r="U256" i="44"/>
  <c r="S256" i="44"/>
  <c r="R256" i="44"/>
  <c r="K256" i="44"/>
  <c r="J256" i="44"/>
  <c r="I256" i="44"/>
  <c r="H256" i="44"/>
  <c r="G256" i="44"/>
  <c r="F256" i="44"/>
  <c r="V255" i="44"/>
  <c r="U255" i="44"/>
  <c r="S255" i="44"/>
  <c r="R255" i="44"/>
  <c r="K255" i="44"/>
  <c r="J255" i="44"/>
  <c r="I255" i="44"/>
  <c r="H255" i="44"/>
  <c r="G255" i="44"/>
  <c r="F255" i="44"/>
  <c r="X250" i="44"/>
  <c r="V250" i="44"/>
  <c r="U250" i="44"/>
  <c r="S250" i="44"/>
  <c r="R250" i="44"/>
  <c r="L250" i="44"/>
  <c r="J250" i="44"/>
  <c r="I250" i="44"/>
  <c r="G250" i="44"/>
  <c r="F250" i="44"/>
  <c r="V249" i="44"/>
  <c r="U249" i="44"/>
  <c r="S249" i="44"/>
  <c r="R249" i="44"/>
  <c r="J249" i="44"/>
  <c r="I249" i="44"/>
  <c r="G249" i="44"/>
  <c r="F249" i="44"/>
  <c r="V248" i="44"/>
  <c r="U248" i="44"/>
  <c r="S248" i="44"/>
  <c r="R248" i="44"/>
  <c r="J248" i="44"/>
  <c r="I248" i="44"/>
  <c r="G248" i="44"/>
  <c r="F248" i="44"/>
  <c r="X244" i="44"/>
  <c r="V244" i="44"/>
  <c r="U244" i="44"/>
  <c r="S244" i="44"/>
  <c r="R244" i="44"/>
  <c r="M244" i="44"/>
  <c r="L244" i="44"/>
  <c r="K244" i="44"/>
  <c r="J244" i="44"/>
  <c r="I244" i="44"/>
  <c r="H244" i="44"/>
  <c r="G244" i="44"/>
  <c r="F244" i="44"/>
  <c r="V243" i="44"/>
  <c r="U243" i="44"/>
  <c r="S243" i="44"/>
  <c r="R243" i="44"/>
  <c r="K243" i="44"/>
  <c r="J243" i="44"/>
  <c r="I243" i="44"/>
  <c r="H243" i="44"/>
  <c r="G243" i="44"/>
  <c r="F243" i="44"/>
  <c r="V242" i="44"/>
  <c r="U242" i="44"/>
  <c r="S242" i="44"/>
  <c r="R242" i="44"/>
  <c r="K242" i="44"/>
  <c r="J242" i="44"/>
  <c r="I242" i="44"/>
  <c r="H242" i="44"/>
  <c r="G242" i="44"/>
  <c r="F242" i="44"/>
  <c r="X237" i="44"/>
  <c r="V237" i="44"/>
  <c r="U237" i="44"/>
  <c r="S237" i="44"/>
  <c r="R237" i="44"/>
  <c r="L237" i="44"/>
  <c r="J237" i="44"/>
  <c r="I237" i="44"/>
  <c r="G237" i="44"/>
  <c r="F237" i="44"/>
  <c r="V236" i="44"/>
  <c r="U236" i="44"/>
  <c r="S236" i="44"/>
  <c r="R236" i="44"/>
  <c r="J236" i="44"/>
  <c r="I236" i="44"/>
  <c r="G236" i="44"/>
  <c r="F236" i="44"/>
  <c r="V235" i="44"/>
  <c r="U235" i="44"/>
  <c r="S235" i="44"/>
  <c r="R235" i="44"/>
  <c r="J235" i="44"/>
  <c r="I235" i="44"/>
  <c r="G235" i="44"/>
  <c r="F235" i="44"/>
  <c r="X231" i="44"/>
  <c r="V231" i="44"/>
  <c r="U231" i="44"/>
  <c r="S231" i="44"/>
  <c r="R231" i="44"/>
  <c r="M231" i="44"/>
  <c r="L231" i="44"/>
  <c r="K231" i="44"/>
  <c r="J231" i="44"/>
  <c r="I231" i="44"/>
  <c r="H231" i="44"/>
  <c r="G231" i="44"/>
  <c r="F231" i="44"/>
  <c r="V230" i="44"/>
  <c r="U230" i="44"/>
  <c r="S230" i="44"/>
  <c r="R230" i="44"/>
  <c r="K230" i="44"/>
  <c r="J230" i="44"/>
  <c r="I230" i="44"/>
  <c r="H230" i="44"/>
  <c r="G230" i="44"/>
  <c r="F230" i="44"/>
  <c r="V229" i="44"/>
  <c r="U229" i="44"/>
  <c r="S229" i="44"/>
  <c r="R229" i="44"/>
  <c r="K229" i="44"/>
  <c r="J229" i="44"/>
  <c r="I229" i="44"/>
  <c r="H229" i="44"/>
  <c r="G229" i="44"/>
  <c r="F229" i="44"/>
  <c r="X224" i="44"/>
  <c r="V224" i="44"/>
  <c r="U224" i="44"/>
  <c r="S224" i="44"/>
  <c r="R224" i="44"/>
  <c r="L224" i="44"/>
  <c r="J224" i="44"/>
  <c r="I224" i="44"/>
  <c r="G224" i="44"/>
  <c r="F224" i="44"/>
  <c r="V223" i="44"/>
  <c r="U223" i="44"/>
  <c r="S223" i="44"/>
  <c r="R223" i="44"/>
  <c r="J223" i="44"/>
  <c r="I223" i="44"/>
  <c r="G223" i="44"/>
  <c r="F223" i="44"/>
  <c r="V222" i="44"/>
  <c r="U222" i="44"/>
  <c r="S222" i="44"/>
  <c r="R222" i="44"/>
  <c r="J222" i="44"/>
  <c r="I222" i="44"/>
  <c r="G222" i="44"/>
  <c r="F222" i="44"/>
  <c r="X218" i="44"/>
  <c r="V218" i="44"/>
  <c r="U218" i="44"/>
  <c r="S218" i="44"/>
  <c r="R218" i="44"/>
  <c r="M218" i="44"/>
  <c r="L218" i="44"/>
  <c r="K218" i="44"/>
  <c r="J218" i="44"/>
  <c r="I218" i="44"/>
  <c r="H218" i="44"/>
  <c r="G218" i="44"/>
  <c r="F218" i="44"/>
  <c r="V217" i="44"/>
  <c r="U217" i="44"/>
  <c r="S217" i="44"/>
  <c r="R217" i="44"/>
  <c r="K217" i="44"/>
  <c r="J217" i="44"/>
  <c r="I217" i="44"/>
  <c r="H217" i="44"/>
  <c r="G217" i="44"/>
  <c r="F217" i="44"/>
  <c r="V216" i="44"/>
  <c r="U216" i="44"/>
  <c r="S216" i="44"/>
  <c r="R216" i="44"/>
  <c r="K216" i="44"/>
  <c r="J216" i="44"/>
  <c r="I216" i="44"/>
  <c r="H216" i="44"/>
  <c r="G216" i="44"/>
  <c r="F216" i="44"/>
  <c r="X211" i="44"/>
  <c r="V211" i="44"/>
  <c r="U211" i="44"/>
  <c r="S211" i="44"/>
  <c r="R211" i="44"/>
  <c r="L211" i="44"/>
  <c r="J211" i="44"/>
  <c r="I211" i="44"/>
  <c r="G211" i="44"/>
  <c r="F211" i="44"/>
  <c r="V210" i="44"/>
  <c r="U210" i="44"/>
  <c r="S210" i="44"/>
  <c r="R210" i="44"/>
  <c r="J210" i="44"/>
  <c r="I210" i="44"/>
  <c r="G210" i="44"/>
  <c r="F210" i="44"/>
  <c r="V209" i="44"/>
  <c r="U209" i="44"/>
  <c r="S209" i="44"/>
  <c r="R209" i="44"/>
  <c r="J209" i="44"/>
  <c r="I209" i="44"/>
  <c r="G209" i="44"/>
  <c r="F209" i="44"/>
  <c r="X205" i="44"/>
  <c r="V205" i="44"/>
  <c r="U205" i="44"/>
  <c r="S205" i="44"/>
  <c r="R205" i="44"/>
  <c r="M205" i="44"/>
  <c r="L205" i="44"/>
  <c r="K205" i="44"/>
  <c r="J205" i="44"/>
  <c r="I205" i="44"/>
  <c r="H205" i="44"/>
  <c r="G205" i="44"/>
  <c r="F205" i="44"/>
  <c r="V204" i="44"/>
  <c r="U204" i="44"/>
  <c r="S204" i="44"/>
  <c r="R204" i="44"/>
  <c r="K204" i="44"/>
  <c r="J204" i="44"/>
  <c r="I204" i="44"/>
  <c r="H204" i="44"/>
  <c r="G204" i="44"/>
  <c r="F204" i="44"/>
  <c r="V203" i="44"/>
  <c r="U203" i="44"/>
  <c r="S203" i="44"/>
  <c r="R203" i="44"/>
  <c r="K203" i="44"/>
  <c r="J203" i="44"/>
  <c r="I203" i="44"/>
  <c r="H203" i="44"/>
  <c r="G203" i="44"/>
  <c r="F203" i="44"/>
  <c r="X198" i="44"/>
  <c r="V198" i="44"/>
  <c r="U198" i="44"/>
  <c r="S198" i="44"/>
  <c r="R198" i="44"/>
  <c r="L198" i="44"/>
  <c r="J198" i="44"/>
  <c r="I198" i="44"/>
  <c r="G198" i="44"/>
  <c r="F198" i="44"/>
  <c r="V197" i="44"/>
  <c r="U197" i="44"/>
  <c r="S197" i="44"/>
  <c r="R197" i="44"/>
  <c r="J197" i="44"/>
  <c r="I197" i="44"/>
  <c r="G197" i="44"/>
  <c r="F197" i="44"/>
  <c r="V196" i="44"/>
  <c r="U196" i="44"/>
  <c r="S196" i="44"/>
  <c r="R196" i="44"/>
  <c r="J196" i="44"/>
  <c r="I196" i="44"/>
  <c r="G196" i="44"/>
  <c r="F196" i="44"/>
  <c r="X192" i="44"/>
  <c r="V192" i="44"/>
  <c r="U192" i="44"/>
  <c r="S192" i="44"/>
  <c r="R192" i="44"/>
  <c r="M192" i="44"/>
  <c r="L192" i="44"/>
  <c r="K192" i="44"/>
  <c r="J192" i="44"/>
  <c r="I192" i="44"/>
  <c r="H192" i="44"/>
  <c r="G192" i="44"/>
  <c r="F192" i="44"/>
  <c r="V191" i="44"/>
  <c r="U191" i="44"/>
  <c r="S191" i="44"/>
  <c r="R191" i="44"/>
  <c r="K191" i="44"/>
  <c r="J191" i="44"/>
  <c r="I191" i="44"/>
  <c r="H191" i="44"/>
  <c r="G191" i="44"/>
  <c r="F191" i="44"/>
  <c r="V190" i="44"/>
  <c r="U190" i="44"/>
  <c r="S190" i="44"/>
  <c r="R190" i="44"/>
  <c r="K190" i="44"/>
  <c r="J190" i="44"/>
  <c r="I190" i="44"/>
  <c r="H190" i="44"/>
  <c r="G190" i="44"/>
  <c r="F190" i="44"/>
  <c r="X185" i="44"/>
  <c r="V185" i="44"/>
  <c r="U185" i="44"/>
  <c r="S185" i="44"/>
  <c r="R185" i="44"/>
  <c r="L185" i="44"/>
  <c r="J185" i="44"/>
  <c r="I185" i="44"/>
  <c r="G185" i="44"/>
  <c r="F185" i="44"/>
  <c r="V184" i="44"/>
  <c r="U184" i="44"/>
  <c r="S184" i="44"/>
  <c r="R184" i="44"/>
  <c r="J184" i="44"/>
  <c r="I184" i="44"/>
  <c r="G184" i="44"/>
  <c r="F184" i="44"/>
  <c r="V183" i="44"/>
  <c r="U183" i="44"/>
  <c r="S183" i="44"/>
  <c r="R183" i="44"/>
  <c r="J183" i="44"/>
  <c r="I183" i="44"/>
  <c r="G183" i="44"/>
  <c r="F183" i="44"/>
  <c r="X179" i="44"/>
  <c r="V179" i="44"/>
  <c r="U179" i="44"/>
  <c r="S179" i="44"/>
  <c r="R179" i="44"/>
  <c r="M179" i="44"/>
  <c r="L179" i="44"/>
  <c r="K179" i="44"/>
  <c r="J179" i="44"/>
  <c r="I179" i="44"/>
  <c r="H179" i="44"/>
  <c r="G179" i="44"/>
  <c r="F179" i="44"/>
  <c r="V178" i="44"/>
  <c r="U178" i="44"/>
  <c r="S178" i="44"/>
  <c r="R178" i="44"/>
  <c r="K178" i="44"/>
  <c r="J178" i="44"/>
  <c r="I178" i="44"/>
  <c r="H178" i="44"/>
  <c r="G178" i="44"/>
  <c r="F178" i="44"/>
  <c r="V177" i="44"/>
  <c r="U177" i="44"/>
  <c r="S177" i="44"/>
  <c r="R177" i="44"/>
  <c r="K177" i="44"/>
  <c r="J177" i="44"/>
  <c r="I177" i="44"/>
  <c r="H177" i="44"/>
  <c r="G177" i="44"/>
  <c r="F177" i="44"/>
  <c r="X172" i="44"/>
  <c r="V172" i="44"/>
  <c r="U172" i="44"/>
  <c r="S172" i="44"/>
  <c r="R172" i="44"/>
  <c r="L172" i="44"/>
  <c r="J172" i="44"/>
  <c r="I172" i="44"/>
  <c r="G172" i="44"/>
  <c r="F172" i="44"/>
  <c r="V171" i="44"/>
  <c r="U171" i="44"/>
  <c r="S171" i="44"/>
  <c r="R171" i="44"/>
  <c r="J171" i="44"/>
  <c r="I171" i="44"/>
  <c r="G171" i="44"/>
  <c r="F171" i="44"/>
  <c r="V170" i="44"/>
  <c r="U170" i="44"/>
  <c r="S170" i="44"/>
  <c r="R170" i="44"/>
  <c r="J170" i="44"/>
  <c r="I170" i="44"/>
  <c r="G170" i="44"/>
  <c r="F170" i="44"/>
  <c r="X166" i="44"/>
  <c r="V166" i="44"/>
  <c r="U166" i="44"/>
  <c r="S166" i="44"/>
  <c r="R166" i="44"/>
  <c r="M166" i="44"/>
  <c r="L166" i="44"/>
  <c r="K166" i="44"/>
  <c r="J166" i="44"/>
  <c r="I166" i="44"/>
  <c r="H166" i="44"/>
  <c r="G166" i="44"/>
  <c r="F166" i="44"/>
  <c r="V165" i="44"/>
  <c r="U165" i="44"/>
  <c r="S165" i="44"/>
  <c r="R165" i="44"/>
  <c r="K165" i="44"/>
  <c r="J165" i="44"/>
  <c r="I165" i="44"/>
  <c r="H165" i="44"/>
  <c r="G165" i="44"/>
  <c r="F165" i="44"/>
  <c r="V164" i="44"/>
  <c r="U164" i="44"/>
  <c r="S164" i="44"/>
  <c r="R164" i="44"/>
  <c r="K164" i="44"/>
  <c r="J164" i="44"/>
  <c r="I164" i="44"/>
  <c r="H164" i="44"/>
  <c r="G164" i="44"/>
  <c r="F164" i="44"/>
  <c r="X159" i="44"/>
  <c r="V159" i="44"/>
  <c r="U159" i="44"/>
  <c r="S159" i="44"/>
  <c r="R159" i="44"/>
  <c r="L159" i="44"/>
  <c r="J159" i="44"/>
  <c r="I159" i="44"/>
  <c r="G159" i="44"/>
  <c r="F159" i="44"/>
  <c r="V158" i="44"/>
  <c r="U158" i="44"/>
  <c r="S158" i="44"/>
  <c r="R158" i="44"/>
  <c r="J158" i="44"/>
  <c r="I158" i="44"/>
  <c r="G158" i="44"/>
  <c r="F158" i="44"/>
  <c r="V157" i="44"/>
  <c r="U157" i="44"/>
  <c r="S157" i="44"/>
  <c r="R157" i="44"/>
  <c r="J157" i="44"/>
  <c r="I157" i="44"/>
  <c r="G157" i="44"/>
  <c r="F157" i="44"/>
  <c r="X153" i="44"/>
  <c r="V153" i="44"/>
  <c r="U153" i="44"/>
  <c r="S153" i="44"/>
  <c r="R153" i="44"/>
  <c r="M153" i="44"/>
  <c r="L153" i="44"/>
  <c r="K153" i="44"/>
  <c r="J153" i="44"/>
  <c r="I153" i="44"/>
  <c r="H153" i="44"/>
  <c r="G153" i="44"/>
  <c r="F153" i="44"/>
  <c r="V152" i="44"/>
  <c r="U152" i="44"/>
  <c r="S152" i="44"/>
  <c r="R152" i="44"/>
  <c r="K152" i="44"/>
  <c r="J152" i="44"/>
  <c r="I152" i="44"/>
  <c r="H152" i="44"/>
  <c r="G152" i="44"/>
  <c r="F152" i="44"/>
  <c r="V151" i="44"/>
  <c r="U151" i="44"/>
  <c r="S151" i="44"/>
  <c r="R151" i="44"/>
  <c r="K151" i="44"/>
  <c r="J151" i="44"/>
  <c r="I151" i="44"/>
  <c r="H151" i="44"/>
  <c r="G151" i="44"/>
  <c r="F151" i="44"/>
  <c r="X146" i="44"/>
  <c r="V146" i="44"/>
  <c r="U146" i="44"/>
  <c r="S146" i="44"/>
  <c r="R146" i="44"/>
  <c r="L146" i="44"/>
  <c r="J146" i="44"/>
  <c r="I146" i="44"/>
  <c r="G146" i="44"/>
  <c r="F146" i="44"/>
  <c r="V145" i="44"/>
  <c r="U145" i="44"/>
  <c r="S145" i="44"/>
  <c r="R145" i="44"/>
  <c r="J145" i="44"/>
  <c r="I145" i="44"/>
  <c r="G145" i="44"/>
  <c r="F145" i="44"/>
  <c r="V144" i="44"/>
  <c r="U144" i="44"/>
  <c r="S144" i="44"/>
  <c r="R144" i="44"/>
  <c r="J144" i="44"/>
  <c r="I144" i="44"/>
  <c r="G144" i="44"/>
  <c r="F144" i="44"/>
  <c r="X140" i="44"/>
  <c r="V140" i="44"/>
  <c r="U140" i="44"/>
  <c r="S140" i="44"/>
  <c r="R140" i="44"/>
  <c r="M140" i="44"/>
  <c r="L140" i="44"/>
  <c r="K140" i="44"/>
  <c r="J140" i="44"/>
  <c r="I140" i="44"/>
  <c r="H140" i="44"/>
  <c r="G140" i="44"/>
  <c r="F140" i="44"/>
  <c r="V139" i="44"/>
  <c r="U139" i="44"/>
  <c r="S139" i="44"/>
  <c r="R139" i="44"/>
  <c r="K139" i="44"/>
  <c r="J139" i="44"/>
  <c r="I139" i="44"/>
  <c r="H139" i="44"/>
  <c r="G139" i="44"/>
  <c r="F139" i="44"/>
  <c r="V138" i="44"/>
  <c r="U138" i="44"/>
  <c r="S138" i="44"/>
  <c r="R138" i="44"/>
  <c r="K138" i="44"/>
  <c r="J138" i="44"/>
  <c r="I138" i="44"/>
  <c r="H138" i="44"/>
  <c r="G138" i="44"/>
  <c r="F138" i="44"/>
  <c r="X133" i="44"/>
  <c r="V133" i="44"/>
  <c r="U133" i="44"/>
  <c r="S133" i="44"/>
  <c r="R133" i="44"/>
  <c r="L133" i="44"/>
  <c r="J133" i="44"/>
  <c r="I133" i="44"/>
  <c r="G133" i="44"/>
  <c r="F133" i="44"/>
  <c r="V132" i="44"/>
  <c r="U132" i="44"/>
  <c r="S132" i="44"/>
  <c r="R132" i="44"/>
  <c r="J132" i="44"/>
  <c r="I132" i="44"/>
  <c r="G132" i="44"/>
  <c r="F132" i="44"/>
  <c r="V131" i="44"/>
  <c r="U131" i="44"/>
  <c r="S131" i="44"/>
  <c r="R131" i="44"/>
  <c r="J131" i="44"/>
  <c r="I131" i="44"/>
  <c r="G131" i="44"/>
  <c r="F131" i="44"/>
  <c r="X127" i="44"/>
  <c r="V127" i="44"/>
  <c r="U127" i="44"/>
  <c r="S127" i="44"/>
  <c r="R127" i="44"/>
  <c r="M127" i="44"/>
  <c r="L127" i="44"/>
  <c r="K127" i="44"/>
  <c r="J127" i="44"/>
  <c r="I127" i="44"/>
  <c r="H127" i="44"/>
  <c r="G127" i="44"/>
  <c r="F127" i="44"/>
  <c r="V126" i="44"/>
  <c r="U126" i="44"/>
  <c r="S126" i="44"/>
  <c r="R126" i="44"/>
  <c r="K126" i="44"/>
  <c r="J126" i="44"/>
  <c r="I126" i="44"/>
  <c r="H126" i="44"/>
  <c r="G126" i="44"/>
  <c r="F126" i="44"/>
  <c r="V125" i="44"/>
  <c r="U125" i="44"/>
  <c r="S125" i="44"/>
  <c r="R125" i="44"/>
  <c r="K125" i="44"/>
  <c r="J125" i="44"/>
  <c r="I125" i="44"/>
  <c r="H125" i="44"/>
  <c r="G125" i="44"/>
  <c r="F125" i="44"/>
  <c r="X120" i="44"/>
  <c r="V120" i="44"/>
  <c r="U120" i="44"/>
  <c r="S120" i="44"/>
  <c r="R120" i="44"/>
  <c r="L120" i="44"/>
  <c r="J120" i="44"/>
  <c r="I120" i="44"/>
  <c r="G120" i="44"/>
  <c r="F120" i="44"/>
  <c r="V119" i="44"/>
  <c r="U119" i="44"/>
  <c r="S119" i="44"/>
  <c r="R119" i="44"/>
  <c r="J119" i="44"/>
  <c r="I119" i="44"/>
  <c r="G119" i="44"/>
  <c r="F119" i="44"/>
  <c r="V118" i="44"/>
  <c r="U118" i="44"/>
  <c r="S118" i="44"/>
  <c r="R118" i="44"/>
  <c r="J118" i="44"/>
  <c r="I118" i="44"/>
  <c r="G118" i="44"/>
  <c r="F118" i="44"/>
  <c r="X114" i="44"/>
  <c r="V114" i="44"/>
  <c r="U114" i="44"/>
  <c r="S114" i="44"/>
  <c r="R114" i="44"/>
  <c r="M114" i="44"/>
  <c r="L114" i="44"/>
  <c r="K114" i="44"/>
  <c r="J114" i="44"/>
  <c r="I114" i="44"/>
  <c r="H114" i="44"/>
  <c r="G114" i="44"/>
  <c r="F114" i="44"/>
  <c r="V113" i="44"/>
  <c r="U113" i="44"/>
  <c r="S113" i="44"/>
  <c r="R113" i="44"/>
  <c r="K113" i="44"/>
  <c r="J113" i="44"/>
  <c r="I113" i="44"/>
  <c r="H113" i="44"/>
  <c r="G113" i="44"/>
  <c r="F113" i="44"/>
  <c r="V112" i="44"/>
  <c r="U112" i="44"/>
  <c r="S112" i="44"/>
  <c r="R112" i="44"/>
  <c r="K112" i="44"/>
  <c r="J112" i="44"/>
  <c r="I112" i="44"/>
  <c r="H112" i="44"/>
  <c r="G112" i="44"/>
  <c r="F112" i="44"/>
  <c r="X107" i="44"/>
  <c r="V107" i="44"/>
  <c r="U107" i="44"/>
  <c r="S107" i="44"/>
  <c r="R107" i="44"/>
  <c r="L107" i="44"/>
  <c r="J107" i="44"/>
  <c r="I107" i="44"/>
  <c r="G107" i="44"/>
  <c r="F107" i="44"/>
  <c r="V106" i="44"/>
  <c r="U106" i="44"/>
  <c r="S106" i="44"/>
  <c r="R106" i="44"/>
  <c r="J106" i="44"/>
  <c r="I106" i="44"/>
  <c r="G106" i="44"/>
  <c r="F106" i="44"/>
  <c r="V105" i="44"/>
  <c r="U105" i="44"/>
  <c r="S105" i="44"/>
  <c r="R105" i="44"/>
  <c r="J105" i="44"/>
  <c r="I105" i="44"/>
  <c r="G105" i="44"/>
  <c r="F105" i="44"/>
  <c r="X101" i="44"/>
  <c r="V101" i="44"/>
  <c r="U101" i="44"/>
  <c r="S101" i="44"/>
  <c r="R101" i="44"/>
  <c r="M101" i="44"/>
  <c r="L101" i="44"/>
  <c r="K101" i="44"/>
  <c r="J101" i="44"/>
  <c r="I101" i="44"/>
  <c r="H101" i="44"/>
  <c r="G101" i="44"/>
  <c r="F101" i="44"/>
  <c r="V100" i="44"/>
  <c r="U100" i="44"/>
  <c r="S100" i="44"/>
  <c r="R100" i="44"/>
  <c r="K100" i="44"/>
  <c r="J100" i="44"/>
  <c r="I100" i="44"/>
  <c r="H100" i="44"/>
  <c r="G100" i="44"/>
  <c r="F100" i="44"/>
  <c r="V99" i="44"/>
  <c r="U99" i="44"/>
  <c r="S99" i="44"/>
  <c r="R99" i="44"/>
  <c r="K99" i="44"/>
  <c r="J99" i="44"/>
  <c r="I99" i="44"/>
  <c r="H99" i="44"/>
  <c r="G99" i="44"/>
  <c r="F99" i="44"/>
  <c r="X94" i="44"/>
  <c r="V94" i="44"/>
  <c r="U94" i="44"/>
  <c r="S94" i="44"/>
  <c r="R94" i="44"/>
  <c r="L94" i="44"/>
  <c r="J94" i="44"/>
  <c r="I94" i="44"/>
  <c r="G94" i="44"/>
  <c r="F94" i="44"/>
  <c r="V93" i="44"/>
  <c r="U93" i="44"/>
  <c r="S93" i="44"/>
  <c r="R93" i="44"/>
  <c r="J93" i="44"/>
  <c r="I93" i="44"/>
  <c r="G93" i="44"/>
  <c r="F93" i="44"/>
  <c r="V92" i="44"/>
  <c r="U92" i="44"/>
  <c r="S92" i="44"/>
  <c r="R92" i="44"/>
  <c r="J92" i="44"/>
  <c r="I92" i="44"/>
  <c r="G92" i="44"/>
  <c r="F92" i="44"/>
  <c r="X88" i="44"/>
  <c r="V88" i="44"/>
  <c r="U88" i="44"/>
  <c r="S88" i="44"/>
  <c r="R88" i="44"/>
  <c r="M88" i="44"/>
  <c r="L88" i="44"/>
  <c r="K88" i="44"/>
  <c r="J88" i="44"/>
  <c r="I88" i="44"/>
  <c r="H88" i="44"/>
  <c r="G88" i="44"/>
  <c r="F88" i="44"/>
  <c r="V87" i="44"/>
  <c r="U87" i="44"/>
  <c r="S87" i="44"/>
  <c r="R87" i="44"/>
  <c r="K87" i="44"/>
  <c r="J87" i="44"/>
  <c r="I87" i="44"/>
  <c r="H87" i="44"/>
  <c r="G87" i="44"/>
  <c r="F87" i="44"/>
  <c r="V86" i="44"/>
  <c r="U86" i="44"/>
  <c r="S86" i="44"/>
  <c r="R86" i="44"/>
  <c r="K86" i="44"/>
  <c r="J86" i="44"/>
  <c r="I86" i="44"/>
  <c r="H86" i="44"/>
  <c r="G86" i="44"/>
  <c r="F86" i="44"/>
  <c r="X81" i="44"/>
  <c r="V81" i="44"/>
  <c r="U81" i="44"/>
  <c r="S81" i="44"/>
  <c r="R81" i="44"/>
  <c r="L81" i="44"/>
  <c r="J81" i="44"/>
  <c r="I81" i="44"/>
  <c r="G81" i="44"/>
  <c r="F81" i="44"/>
  <c r="V80" i="44"/>
  <c r="U80" i="44"/>
  <c r="S80" i="44"/>
  <c r="R80" i="44"/>
  <c r="J80" i="44"/>
  <c r="I80" i="44"/>
  <c r="G80" i="44"/>
  <c r="F80" i="44"/>
  <c r="V79" i="44"/>
  <c r="U79" i="44"/>
  <c r="S79" i="44"/>
  <c r="R79" i="44"/>
  <c r="J79" i="44"/>
  <c r="I79" i="44"/>
  <c r="G79" i="44"/>
  <c r="F79" i="44"/>
  <c r="X75" i="44"/>
  <c r="V75" i="44"/>
  <c r="U75" i="44"/>
  <c r="S75" i="44"/>
  <c r="R75" i="44"/>
  <c r="M75" i="44"/>
  <c r="L75" i="44"/>
  <c r="K75" i="44"/>
  <c r="J75" i="44"/>
  <c r="I75" i="44"/>
  <c r="H75" i="44"/>
  <c r="G75" i="44"/>
  <c r="F75" i="44"/>
  <c r="V74" i="44"/>
  <c r="U74" i="44"/>
  <c r="S74" i="44"/>
  <c r="R74" i="44"/>
  <c r="K74" i="44"/>
  <c r="J74" i="44"/>
  <c r="I74" i="44"/>
  <c r="H74" i="44"/>
  <c r="G74" i="44"/>
  <c r="F74" i="44"/>
  <c r="V73" i="44"/>
  <c r="U73" i="44"/>
  <c r="S73" i="44"/>
  <c r="R73" i="44"/>
  <c r="K73" i="44"/>
  <c r="J73" i="44"/>
  <c r="I73" i="44"/>
  <c r="H73" i="44"/>
  <c r="G73" i="44"/>
  <c r="F73" i="44"/>
  <c r="X263" i="15"/>
  <c r="V263" i="15"/>
  <c r="U263" i="15"/>
  <c r="S263" i="15"/>
  <c r="R263" i="15"/>
  <c r="L263" i="15"/>
  <c r="J263" i="15"/>
  <c r="I263" i="15"/>
  <c r="G263" i="15"/>
  <c r="F263" i="15"/>
  <c r="V262" i="15"/>
  <c r="U262" i="15"/>
  <c r="S262" i="15"/>
  <c r="R262" i="15"/>
  <c r="J262" i="15"/>
  <c r="I262" i="15"/>
  <c r="G262" i="15"/>
  <c r="F262" i="15"/>
  <c r="V261" i="15"/>
  <c r="U261" i="15"/>
  <c r="S261" i="15"/>
  <c r="R261" i="15"/>
  <c r="J261" i="15"/>
  <c r="I261" i="15"/>
  <c r="G261" i="15"/>
  <c r="F261" i="15"/>
  <c r="X257" i="15"/>
  <c r="V257" i="15"/>
  <c r="U257" i="15"/>
  <c r="S257" i="15"/>
  <c r="R257" i="15"/>
  <c r="M257" i="15"/>
  <c r="L257" i="15"/>
  <c r="K257" i="15"/>
  <c r="J257" i="15"/>
  <c r="I257" i="15"/>
  <c r="H257" i="15"/>
  <c r="G257" i="15"/>
  <c r="F257" i="15"/>
  <c r="V256" i="15"/>
  <c r="U256" i="15"/>
  <c r="S256" i="15"/>
  <c r="R256" i="15"/>
  <c r="K256" i="15"/>
  <c r="J256" i="15"/>
  <c r="I256" i="15"/>
  <c r="H256" i="15"/>
  <c r="G256" i="15"/>
  <c r="F256" i="15"/>
  <c r="V255" i="15"/>
  <c r="U255" i="15"/>
  <c r="S255" i="15"/>
  <c r="R255" i="15"/>
  <c r="K255" i="15"/>
  <c r="J255" i="15"/>
  <c r="I255" i="15"/>
  <c r="H255" i="15"/>
  <c r="G255" i="15"/>
  <c r="F255" i="15"/>
  <c r="X250" i="15"/>
  <c r="V250" i="15"/>
  <c r="U250" i="15"/>
  <c r="S250" i="15"/>
  <c r="R250" i="15"/>
  <c r="L250" i="15"/>
  <c r="J250" i="15"/>
  <c r="I250" i="15"/>
  <c r="G250" i="15"/>
  <c r="F250" i="15"/>
  <c r="V249" i="15"/>
  <c r="U249" i="15"/>
  <c r="S249" i="15"/>
  <c r="R249" i="15"/>
  <c r="J249" i="15"/>
  <c r="I249" i="15"/>
  <c r="G249" i="15"/>
  <c r="F249" i="15"/>
  <c r="V248" i="15"/>
  <c r="U248" i="15"/>
  <c r="S248" i="15"/>
  <c r="R248" i="15"/>
  <c r="J248" i="15"/>
  <c r="I248" i="15"/>
  <c r="G248" i="15"/>
  <c r="F248" i="15"/>
  <c r="X244" i="15"/>
  <c r="V244" i="15"/>
  <c r="U244" i="15"/>
  <c r="S244" i="15"/>
  <c r="R244" i="15"/>
  <c r="M244" i="15"/>
  <c r="L244" i="15"/>
  <c r="K244" i="15"/>
  <c r="J244" i="15"/>
  <c r="I244" i="15"/>
  <c r="H244" i="15"/>
  <c r="G244" i="15"/>
  <c r="F244" i="15"/>
  <c r="V243" i="15"/>
  <c r="U243" i="15"/>
  <c r="S243" i="15"/>
  <c r="R243" i="15"/>
  <c r="K243" i="15"/>
  <c r="J243" i="15"/>
  <c r="I243" i="15"/>
  <c r="H243" i="15"/>
  <c r="G243" i="15"/>
  <c r="F243" i="15"/>
  <c r="V242" i="15"/>
  <c r="U242" i="15"/>
  <c r="S242" i="15"/>
  <c r="R242" i="15"/>
  <c r="K242" i="15"/>
  <c r="J242" i="15"/>
  <c r="I242" i="15"/>
  <c r="H242" i="15"/>
  <c r="G242" i="15"/>
  <c r="F242" i="15"/>
  <c r="X237" i="15"/>
  <c r="V237" i="15"/>
  <c r="U237" i="15"/>
  <c r="S237" i="15"/>
  <c r="R237" i="15"/>
  <c r="L237" i="15"/>
  <c r="J237" i="15"/>
  <c r="I237" i="15"/>
  <c r="G237" i="15"/>
  <c r="F237" i="15"/>
  <c r="V236" i="15"/>
  <c r="U236" i="15"/>
  <c r="S236" i="15"/>
  <c r="R236" i="15"/>
  <c r="J236" i="15"/>
  <c r="I236" i="15"/>
  <c r="G236" i="15"/>
  <c r="F236" i="15"/>
  <c r="V235" i="15"/>
  <c r="U235" i="15"/>
  <c r="S235" i="15"/>
  <c r="R235" i="15"/>
  <c r="J235" i="15"/>
  <c r="I235" i="15"/>
  <c r="G235" i="15"/>
  <c r="F235" i="15"/>
  <c r="X231" i="15"/>
  <c r="V231" i="15"/>
  <c r="U231" i="15"/>
  <c r="S231" i="15"/>
  <c r="R231" i="15"/>
  <c r="M231" i="15"/>
  <c r="L231" i="15"/>
  <c r="K231" i="15"/>
  <c r="J231" i="15"/>
  <c r="I231" i="15"/>
  <c r="H231" i="15"/>
  <c r="G231" i="15"/>
  <c r="F231" i="15"/>
  <c r="V230" i="15"/>
  <c r="U230" i="15"/>
  <c r="S230" i="15"/>
  <c r="R230" i="15"/>
  <c r="K230" i="15"/>
  <c r="J230" i="15"/>
  <c r="I230" i="15"/>
  <c r="H230" i="15"/>
  <c r="G230" i="15"/>
  <c r="F230" i="15"/>
  <c r="V229" i="15"/>
  <c r="U229" i="15"/>
  <c r="S229" i="15"/>
  <c r="R229" i="15"/>
  <c r="K229" i="15"/>
  <c r="J229" i="15"/>
  <c r="I229" i="15"/>
  <c r="H229" i="15"/>
  <c r="G229" i="15"/>
  <c r="F229" i="15"/>
  <c r="X224" i="15"/>
  <c r="V224" i="15"/>
  <c r="U224" i="15"/>
  <c r="S224" i="15"/>
  <c r="R224" i="15"/>
  <c r="L224" i="15"/>
  <c r="J224" i="15"/>
  <c r="I224" i="15"/>
  <c r="G224" i="15"/>
  <c r="F224" i="15"/>
  <c r="V223" i="15"/>
  <c r="U223" i="15"/>
  <c r="S223" i="15"/>
  <c r="R223" i="15"/>
  <c r="J223" i="15"/>
  <c r="I223" i="15"/>
  <c r="G223" i="15"/>
  <c r="F223" i="15"/>
  <c r="V222" i="15"/>
  <c r="U222" i="15"/>
  <c r="S222" i="15"/>
  <c r="R222" i="15"/>
  <c r="J222" i="15"/>
  <c r="I222" i="15"/>
  <c r="G222" i="15"/>
  <c r="F222" i="15"/>
  <c r="X218" i="15"/>
  <c r="V218" i="15"/>
  <c r="U218" i="15"/>
  <c r="S218" i="15"/>
  <c r="R218" i="15"/>
  <c r="M218" i="15"/>
  <c r="L218" i="15"/>
  <c r="K218" i="15"/>
  <c r="J218" i="15"/>
  <c r="I218" i="15"/>
  <c r="H218" i="15"/>
  <c r="G218" i="15"/>
  <c r="F218" i="15"/>
  <c r="V217" i="15"/>
  <c r="U217" i="15"/>
  <c r="S217" i="15"/>
  <c r="R217" i="15"/>
  <c r="K217" i="15"/>
  <c r="J217" i="15"/>
  <c r="I217" i="15"/>
  <c r="H217" i="15"/>
  <c r="G217" i="15"/>
  <c r="F217" i="15"/>
  <c r="V216" i="15"/>
  <c r="U216" i="15"/>
  <c r="S216" i="15"/>
  <c r="R216" i="15"/>
  <c r="K216" i="15"/>
  <c r="J216" i="15"/>
  <c r="I216" i="15"/>
  <c r="H216" i="15"/>
  <c r="G216" i="15"/>
  <c r="F216" i="15"/>
  <c r="X211" i="15"/>
  <c r="V211" i="15"/>
  <c r="U211" i="15"/>
  <c r="S211" i="15"/>
  <c r="R211" i="15"/>
  <c r="L211" i="15"/>
  <c r="J211" i="15"/>
  <c r="I211" i="15"/>
  <c r="G211" i="15"/>
  <c r="F211" i="15"/>
  <c r="V210" i="15"/>
  <c r="U210" i="15"/>
  <c r="S210" i="15"/>
  <c r="R210" i="15"/>
  <c r="J210" i="15"/>
  <c r="I210" i="15"/>
  <c r="G210" i="15"/>
  <c r="F210" i="15"/>
  <c r="V209" i="15"/>
  <c r="U209" i="15"/>
  <c r="S209" i="15"/>
  <c r="R209" i="15"/>
  <c r="J209" i="15"/>
  <c r="I209" i="15"/>
  <c r="G209" i="15"/>
  <c r="F209" i="15"/>
  <c r="X205" i="15"/>
  <c r="V205" i="15"/>
  <c r="U205" i="15"/>
  <c r="S205" i="15"/>
  <c r="R205" i="15"/>
  <c r="M205" i="15"/>
  <c r="L205" i="15"/>
  <c r="K205" i="15"/>
  <c r="J205" i="15"/>
  <c r="I205" i="15"/>
  <c r="H205" i="15"/>
  <c r="G205" i="15"/>
  <c r="F205" i="15"/>
  <c r="V204" i="15"/>
  <c r="U204" i="15"/>
  <c r="S204" i="15"/>
  <c r="R204" i="15"/>
  <c r="K204" i="15"/>
  <c r="J204" i="15"/>
  <c r="I204" i="15"/>
  <c r="H204" i="15"/>
  <c r="G204" i="15"/>
  <c r="F204" i="15"/>
  <c r="V203" i="15"/>
  <c r="U203" i="15"/>
  <c r="S203" i="15"/>
  <c r="R203" i="15"/>
  <c r="K203" i="15"/>
  <c r="J203" i="15"/>
  <c r="I203" i="15"/>
  <c r="H203" i="15"/>
  <c r="G203" i="15"/>
  <c r="F203" i="15"/>
  <c r="X198" i="15"/>
  <c r="V198" i="15"/>
  <c r="U198" i="15"/>
  <c r="S198" i="15"/>
  <c r="R198" i="15"/>
  <c r="L198" i="15"/>
  <c r="J198" i="15"/>
  <c r="I198" i="15"/>
  <c r="G198" i="15"/>
  <c r="F198" i="15"/>
  <c r="V197" i="15"/>
  <c r="U197" i="15"/>
  <c r="S197" i="15"/>
  <c r="R197" i="15"/>
  <c r="J197" i="15"/>
  <c r="I197" i="15"/>
  <c r="G197" i="15"/>
  <c r="F197" i="15"/>
  <c r="V196" i="15"/>
  <c r="U196" i="15"/>
  <c r="S196" i="15"/>
  <c r="R196" i="15"/>
  <c r="J196" i="15"/>
  <c r="I196" i="15"/>
  <c r="G196" i="15"/>
  <c r="F196" i="15"/>
  <c r="X192" i="15"/>
  <c r="V192" i="15"/>
  <c r="U192" i="15"/>
  <c r="S192" i="15"/>
  <c r="R192" i="15"/>
  <c r="M192" i="15"/>
  <c r="L192" i="15"/>
  <c r="K192" i="15"/>
  <c r="J192" i="15"/>
  <c r="I192" i="15"/>
  <c r="H192" i="15"/>
  <c r="G192" i="15"/>
  <c r="F192" i="15"/>
  <c r="V191" i="15"/>
  <c r="U191" i="15"/>
  <c r="S191" i="15"/>
  <c r="R191" i="15"/>
  <c r="K191" i="15"/>
  <c r="J191" i="15"/>
  <c r="I191" i="15"/>
  <c r="H191" i="15"/>
  <c r="G191" i="15"/>
  <c r="F191" i="15"/>
  <c r="V190" i="15"/>
  <c r="U190" i="15"/>
  <c r="S190" i="15"/>
  <c r="R190" i="15"/>
  <c r="K190" i="15"/>
  <c r="J190" i="15"/>
  <c r="I190" i="15"/>
  <c r="H190" i="15"/>
  <c r="G190" i="15"/>
  <c r="F190" i="15"/>
  <c r="X185" i="15"/>
  <c r="V185" i="15"/>
  <c r="U185" i="15"/>
  <c r="S185" i="15"/>
  <c r="R185" i="15"/>
  <c r="L185" i="15"/>
  <c r="J185" i="15"/>
  <c r="I185" i="15"/>
  <c r="G185" i="15"/>
  <c r="F185" i="15"/>
  <c r="V184" i="15"/>
  <c r="U184" i="15"/>
  <c r="S184" i="15"/>
  <c r="R184" i="15"/>
  <c r="J184" i="15"/>
  <c r="I184" i="15"/>
  <c r="G184" i="15"/>
  <c r="F184" i="15"/>
  <c r="V183" i="15"/>
  <c r="U183" i="15"/>
  <c r="S183" i="15"/>
  <c r="R183" i="15"/>
  <c r="J183" i="15"/>
  <c r="I183" i="15"/>
  <c r="G183" i="15"/>
  <c r="F183" i="15"/>
  <c r="X179" i="15"/>
  <c r="V179" i="15"/>
  <c r="U179" i="15"/>
  <c r="S179" i="15"/>
  <c r="R179" i="15"/>
  <c r="M179" i="15"/>
  <c r="L179" i="15"/>
  <c r="K179" i="15"/>
  <c r="J179" i="15"/>
  <c r="I179" i="15"/>
  <c r="H179" i="15"/>
  <c r="G179" i="15"/>
  <c r="F179" i="15"/>
  <c r="V178" i="15"/>
  <c r="U178" i="15"/>
  <c r="S178" i="15"/>
  <c r="R178" i="15"/>
  <c r="K178" i="15"/>
  <c r="J178" i="15"/>
  <c r="I178" i="15"/>
  <c r="H178" i="15"/>
  <c r="G178" i="15"/>
  <c r="F178" i="15"/>
  <c r="V177" i="15"/>
  <c r="U177" i="15"/>
  <c r="S177" i="15"/>
  <c r="R177" i="15"/>
  <c r="K177" i="15"/>
  <c r="J177" i="15"/>
  <c r="I177" i="15"/>
  <c r="H177" i="15"/>
  <c r="G177" i="15"/>
  <c r="F177" i="15"/>
  <c r="X172" i="15"/>
  <c r="V172" i="15"/>
  <c r="U172" i="15"/>
  <c r="S172" i="15"/>
  <c r="R172" i="15"/>
  <c r="L172" i="15"/>
  <c r="J172" i="15"/>
  <c r="I172" i="15"/>
  <c r="G172" i="15"/>
  <c r="F172" i="15"/>
  <c r="V171" i="15"/>
  <c r="U171" i="15"/>
  <c r="S171" i="15"/>
  <c r="R171" i="15"/>
  <c r="J171" i="15"/>
  <c r="I171" i="15"/>
  <c r="G171" i="15"/>
  <c r="F171" i="15"/>
  <c r="V170" i="15"/>
  <c r="U170" i="15"/>
  <c r="S170" i="15"/>
  <c r="R170" i="15"/>
  <c r="J170" i="15"/>
  <c r="I170" i="15"/>
  <c r="G170" i="15"/>
  <c r="F170" i="15"/>
  <c r="X166" i="15"/>
  <c r="V166" i="15"/>
  <c r="U166" i="15"/>
  <c r="S166" i="15"/>
  <c r="R166" i="15"/>
  <c r="M166" i="15"/>
  <c r="L166" i="15"/>
  <c r="K166" i="15"/>
  <c r="J166" i="15"/>
  <c r="I166" i="15"/>
  <c r="H166" i="15"/>
  <c r="G166" i="15"/>
  <c r="F166" i="15"/>
  <c r="V165" i="15"/>
  <c r="U165" i="15"/>
  <c r="S165" i="15"/>
  <c r="R165" i="15"/>
  <c r="K165" i="15"/>
  <c r="J165" i="15"/>
  <c r="I165" i="15"/>
  <c r="H165" i="15"/>
  <c r="G165" i="15"/>
  <c r="F165" i="15"/>
  <c r="V164" i="15"/>
  <c r="U164" i="15"/>
  <c r="S164" i="15"/>
  <c r="R164" i="15"/>
  <c r="K164" i="15"/>
  <c r="J164" i="15"/>
  <c r="I164" i="15"/>
  <c r="H164" i="15"/>
  <c r="G164" i="15"/>
  <c r="F164" i="15"/>
  <c r="X159" i="15"/>
  <c r="V159" i="15"/>
  <c r="U159" i="15"/>
  <c r="S159" i="15"/>
  <c r="R159" i="15"/>
  <c r="L159" i="15"/>
  <c r="J159" i="15"/>
  <c r="I159" i="15"/>
  <c r="G159" i="15"/>
  <c r="F159" i="15"/>
  <c r="V158" i="15"/>
  <c r="U158" i="15"/>
  <c r="S158" i="15"/>
  <c r="R158" i="15"/>
  <c r="J158" i="15"/>
  <c r="I158" i="15"/>
  <c r="G158" i="15"/>
  <c r="F158" i="15"/>
  <c r="V157" i="15"/>
  <c r="U157" i="15"/>
  <c r="S157" i="15"/>
  <c r="R157" i="15"/>
  <c r="J157" i="15"/>
  <c r="I157" i="15"/>
  <c r="G157" i="15"/>
  <c r="F157" i="15"/>
  <c r="X153" i="15"/>
  <c r="V153" i="15"/>
  <c r="U153" i="15"/>
  <c r="S153" i="15"/>
  <c r="R153" i="15"/>
  <c r="M153" i="15"/>
  <c r="L153" i="15"/>
  <c r="K153" i="15"/>
  <c r="J153" i="15"/>
  <c r="I153" i="15"/>
  <c r="H153" i="15"/>
  <c r="G153" i="15"/>
  <c r="F153" i="15"/>
  <c r="V152" i="15"/>
  <c r="U152" i="15"/>
  <c r="S152" i="15"/>
  <c r="R152" i="15"/>
  <c r="K152" i="15"/>
  <c r="J152" i="15"/>
  <c r="I152" i="15"/>
  <c r="H152" i="15"/>
  <c r="G152" i="15"/>
  <c r="F152" i="15"/>
  <c r="V151" i="15"/>
  <c r="U151" i="15"/>
  <c r="S151" i="15"/>
  <c r="R151" i="15"/>
  <c r="K151" i="15"/>
  <c r="J151" i="15"/>
  <c r="I151" i="15"/>
  <c r="H151" i="15"/>
  <c r="G151" i="15"/>
  <c r="F151" i="15"/>
  <c r="X146" i="15"/>
  <c r="V146" i="15"/>
  <c r="U146" i="15"/>
  <c r="S146" i="15"/>
  <c r="R146" i="15"/>
  <c r="L146" i="15"/>
  <c r="J146" i="15"/>
  <c r="I146" i="15"/>
  <c r="G146" i="15"/>
  <c r="F146" i="15"/>
  <c r="V145" i="15"/>
  <c r="U145" i="15"/>
  <c r="S145" i="15"/>
  <c r="R145" i="15"/>
  <c r="J145" i="15"/>
  <c r="I145" i="15"/>
  <c r="G145" i="15"/>
  <c r="F145" i="15"/>
  <c r="V144" i="15"/>
  <c r="U144" i="15"/>
  <c r="S144" i="15"/>
  <c r="R144" i="15"/>
  <c r="J144" i="15"/>
  <c r="I144" i="15"/>
  <c r="G144" i="15"/>
  <c r="F144" i="15"/>
  <c r="X140" i="15"/>
  <c r="V140" i="15"/>
  <c r="U140" i="15"/>
  <c r="S140" i="15"/>
  <c r="R140" i="15"/>
  <c r="M140" i="15"/>
  <c r="L140" i="15"/>
  <c r="K140" i="15"/>
  <c r="J140" i="15"/>
  <c r="I140" i="15"/>
  <c r="H140" i="15"/>
  <c r="G140" i="15"/>
  <c r="F140" i="15"/>
  <c r="V139" i="15"/>
  <c r="U139" i="15"/>
  <c r="S139" i="15"/>
  <c r="R139" i="15"/>
  <c r="K139" i="15"/>
  <c r="J139" i="15"/>
  <c r="I139" i="15"/>
  <c r="H139" i="15"/>
  <c r="G139" i="15"/>
  <c r="F139" i="15"/>
  <c r="V138" i="15"/>
  <c r="U138" i="15"/>
  <c r="S138" i="15"/>
  <c r="R138" i="15"/>
  <c r="K138" i="15"/>
  <c r="J138" i="15"/>
  <c r="I138" i="15"/>
  <c r="H138" i="15"/>
  <c r="G138" i="15"/>
  <c r="F138" i="15"/>
  <c r="X133" i="15"/>
  <c r="V133" i="15"/>
  <c r="U133" i="15"/>
  <c r="S133" i="15"/>
  <c r="R133" i="15"/>
  <c r="L133" i="15"/>
  <c r="J133" i="15"/>
  <c r="I133" i="15"/>
  <c r="G133" i="15"/>
  <c r="F133" i="15"/>
  <c r="V132" i="15"/>
  <c r="U132" i="15"/>
  <c r="S132" i="15"/>
  <c r="R132" i="15"/>
  <c r="J132" i="15"/>
  <c r="I132" i="15"/>
  <c r="G132" i="15"/>
  <c r="F132" i="15"/>
  <c r="V131" i="15"/>
  <c r="U131" i="15"/>
  <c r="S131" i="15"/>
  <c r="R131" i="15"/>
  <c r="J131" i="15"/>
  <c r="I131" i="15"/>
  <c r="G131" i="15"/>
  <c r="F131" i="15"/>
  <c r="X127" i="15"/>
  <c r="V127" i="15"/>
  <c r="U127" i="15"/>
  <c r="S127" i="15"/>
  <c r="R127" i="15"/>
  <c r="M127" i="15"/>
  <c r="L127" i="15"/>
  <c r="K127" i="15"/>
  <c r="J127" i="15"/>
  <c r="I127" i="15"/>
  <c r="H127" i="15"/>
  <c r="G127" i="15"/>
  <c r="F127" i="15"/>
  <c r="V126" i="15"/>
  <c r="U126" i="15"/>
  <c r="S126" i="15"/>
  <c r="R126" i="15"/>
  <c r="K126" i="15"/>
  <c r="J126" i="15"/>
  <c r="I126" i="15"/>
  <c r="H126" i="15"/>
  <c r="G126" i="15"/>
  <c r="F126" i="15"/>
  <c r="V125" i="15"/>
  <c r="U125" i="15"/>
  <c r="S125" i="15"/>
  <c r="R125" i="15"/>
  <c r="K125" i="15"/>
  <c r="J125" i="15"/>
  <c r="I125" i="15"/>
  <c r="H125" i="15"/>
  <c r="G125" i="15"/>
  <c r="F125" i="15"/>
  <c r="X120" i="15"/>
  <c r="V120" i="15"/>
  <c r="U120" i="15"/>
  <c r="S120" i="15"/>
  <c r="R120" i="15"/>
  <c r="L120" i="15"/>
  <c r="J120" i="15"/>
  <c r="I120" i="15"/>
  <c r="G120" i="15"/>
  <c r="F120" i="15"/>
  <c r="V119" i="15"/>
  <c r="U119" i="15"/>
  <c r="S119" i="15"/>
  <c r="R119" i="15"/>
  <c r="J119" i="15"/>
  <c r="I119" i="15"/>
  <c r="G119" i="15"/>
  <c r="F119" i="15"/>
  <c r="V118" i="15"/>
  <c r="U118" i="15"/>
  <c r="S118" i="15"/>
  <c r="R118" i="15"/>
  <c r="J118" i="15"/>
  <c r="I118" i="15"/>
  <c r="G118" i="15"/>
  <c r="F118" i="15"/>
  <c r="X114" i="15"/>
  <c r="V114" i="15"/>
  <c r="U114" i="15"/>
  <c r="S114" i="15"/>
  <c r="R114" i="15"/>
  <c r="M114" i="15"/>
  <c r="L114" i="15"/>
  <c r="K114" i="15"/>
  <c r="J114" i="15"/>
  <c r="I114" i="15"/>
  <c r="H114" i="15"/>
  <c r="G114" i="15"/>
  <c r="F114" i="15"/>
  <c r="V113" i="15"/>
  <c r="U113" i="15"/>
  <c r="S113" i="15"/>
  <c r="R113" i="15"/>
  <c r="K113" i="15"/>
  <c r="J113" i="15"/>
  <c r="I113" i="15"/>
  <c r="H113" i="15"/>
  <c r="G113" i="15"/>
  <c r="F113" i="15"/>
  <c r="V112" i="15"/>
  <c r="U112" i="15"/>
  <c r="S112" i="15"/>
  <c r="R112" i="15"/>
  <c r="K112" i="15"/>
  <c r="J112" i="15"/>
  <c r="I112" i="15"/>
  <c r="H112" i="15"/>
  <c r="G112" i="15"/>
  <c r="F112" i="15"/>
  <c r="X107" i="15"/>
  <c r="V107" i="15"/>
  <c r="U107" i="15"/>
  <c r="S107" i="15"/>
  <c r="R107" i="15"/>
  <c r="L107" i="15"/>
  <c r="J107" i="15"/>
  <c r="I107" i="15"/>
  <c r="G107" i="15"/>
  <c r="F107" i="15"/>
  <c r="V106" i="15"/>
  <c r="U106" i="15"/>
  <c r="S106" i="15"/>
  <c r="R106" i="15"/>
  <c r="J106" i="15"/>
  <c r="I106" i="15"/>
  <c r="G106" i="15"/>
  <c r="F106" i="15"/>
  <c r="V105" i="15"/>
  <c r="U105" i="15"/>
  <c r="S105" i="15"/>
  <c r="R105" i="15"/>
  <c r="J105" i="15"/>
  <c r="I105" i="15"/>
  <c r="G105" i="15"/>
  <c r="F105" i="15"/>
  <c r="X101" i="15"/>
  <c r="V101" i="15"/>
  <c r="U101" i="15"/>
  <c r="S101" i="15"/>
  <c r="R101" i="15"/>
  <c r="M101" i="15"/>
  <c r="L101" i="15"/>
  <c r="K101" i="15"/>
  <c r="J101" i="15"/>
  <c r="I101" i="15"/>
  <c r="H101" i="15"/>
  <c r="G101" i="15"/>
  <c r="F101" i="15"/>
  <c r="V100" i="15"/>
  <c r="U100" i="15"/>
  <c r="S100" i="15"/>
  <c r="R100" i="15"/>
  <c r="K100" i="15"/>
  <c r="J100" i="15"/>
  <c r="I100" i="15"/>
  <c r="H100" i="15"/>
  <c r="G100" i="15"/>
  <c r="F100" i="15"/>
  <c r="V99" i="15"/>
  <c r="U99" i="15"/>
  <c r="S99" i="15"/>
  <c r="R99" i="15"/>
  <c r="K99" i="15"/>
  <c r="J99" i="15"/>
  <c r="I99" i="15"/>
  <c r="H99" i="15"/>
  <c r="G99" i="15"/>
  <c r="F99" i="15"/>
  <c r="X94" i="15"/>
  <c r="V94" i="15"/>
  <c r="U94" i="15"/>
  <c r="S94" i="15"/>
  <c r="R94" i="15"/>
  <c r="L94" i="15"/>
  <c r="J94" i="15"/>
  <c r="I94" i="15"/>
  <c r="G94" i="15"/>
  <c r="F94" i="15"/>
  <c r="V93" i="15"/>
  <c r="U93" i="15"/>
  <c r="S93" i="15"/>
  <c r="R93" i="15"/>
  <c r="J93" i="15"/>
  <c r="I93" i="15"/>
  <c r="G93" i="15"/>
  <c r="F93" i="15"/>
  <c r="V92" i="15"/>
  <c r="U92" i="15"/>
  <c r="S92" i="15"/>
  <c r="R92" i="15"/>
  <c r="J92" i="15"/>
  <c r="I92" i="15"/>
  <c r="G92" i="15"/>
  <c r="F92" i="15"/>
  <c r="X88" i="15"/>
  <c r="V88" i="15"/>
  <c r="U88" i="15"/>
  <c r="S88" i="15"/>
  <c r="R88" i="15"/>
  <c r="M88" i="15"/>
  <c r="L88" i="15"/>
  <c r="K88" i="15"/>
  <c r="J88" i="15"/>
  <c r="I88" i="15"/>
  <c r="H88" i="15"/>
  <c r="G88" i="15"/>
  <c r="F88" i="15"/>
  <c r="V87" i="15"/>
  <c r="U87" i="15"/>
  <c r="S87" i="15"/>
  <c r="R87" i="15"/>
  <c r="K87" i="15"/>
  <c r="J87" i="15"/>
  <c r="I87" i="15"/>
  <c r="H87" i="15"/>
  <c r="G87" i="15"/>
  <c r="F87" i="15"/>
  <c r="V86" i="15"/>
  <c r="U86" i="15"/>
  <c r="S86" i="15"/>
  <c r="R86" i="15"/>
  <c r="K86" i="15"/>
  <c r="J86" i="15"/>
  <c r="I86" i="15"/>
  <c r="H86" i="15"/>
  <c r="G86" i="15"/>
  <c r="F86" i="15"/>
  <c r="X81" i="15"/>
  <c r="V81" i="15"/>
  <c r="U81" i="15"/>
  <c r="S81" i="15"/>
  <c r="R81" i="15"/>
  <c r="L81" i="15"/>
  <c r="J81" i="15"/>
  <c r="I81" i="15"/>
  <c r="G81" i="15"/>
  <c r="F81" i="15"/>
  <c r="V80" i="15"/>
  <c r="U80" i="15"/>
  <c r="S80" i="15"/>
  <c r="R80" i="15"/>
  <c r="J80" i="15"/>
  <c r="I80" i="15"/>
  <c r="G80" i="15"/>
  <c r="F80" i="15"/>
  <c r="V79" i="15"/>
  <c r="U79" i="15"/>
  <c r="S79" i="15"/>
  <c r="R79" i="15"/>
  <c r="J79" i="15"/>
  <c r="I79" i="15"/>
  <c r="G79" i="15"/>
  <c r="F79" i="15"/>
  <c r="X75" i="15"/>
  <c r="V75" i="15"/>
  <c r="U75" i="15"/>
  <c r="S75" i="15"/>
  <c r="R75" i="15"/>
  <c r="M75" i="15"/>
  <c r="L75" i="15"/>
  <c r="K75" i="15"/>
  <c r="J75" i="15"/>
  <c r="I75" i="15"/>
  <c r="H75" i="15"/>
  <c r="G75" i="15"/>
  <c r="F75" i="15"/>
  <c r="V74" i="15"/>
  <c r="U74" i="15"/>
  <c r="S74" i="15"/>
  <c r="R74" i="15"/>
  <c r="K74" i="15"/>
  <c r="J74" i="15"/>
  <c r="I74" i="15"/>
  <c r="H74" i="15"/>
  <c r="G74" i="15"/>
  <c r="F74" i="15"/>
  <c r="V73" i="15"/>
  <c r="U73" i="15"/>
  <c r="S73" i="15"/>
  <c r="R73" i="15"/>
  <c r="K73" i="15"/>
  <c r="J73" i="15"/>
  <c r="I73" i="15"/>
  <c r="H73" i="15"/>
  <c r="G73" i="15"/>
  <c r="F73" i="15"/>
  <c r="X263" i="17"/>
  <c r="V263" i="17"/>
  <c r="U263" i="17"/>
  <c r="S263" i="17"/>
  <c r="R263" i="17"/>
  <c r="L263" i="17"/>
  <c r="J263" i="17"/>
  <c r="I263" i="17"/>
  <c r="G263" i="17"/>
  <c r="F263" i="17"/>
  <c r="V262" i="17"/>
  <c r="U262" i="17"/>
  <c r="S262" i="17"/>
  <c r="R262" i="17"/>
  <c r="J262" i="17"/>
  <c r="I262" i="17"/>
  <c r="G262" i="17"/>
  <c r="F262" i="17"/>
  <c r="V261" i="17"/>
  <c r="U261" i="17"/>
  <c r="S261" i="17"/>
  <c r="R261" i="17"/>
  <c r="J261" i="17"/>
  <c r="I261" i="17"/>
  <c r="G261" i="17"/>
  <c r="F261" i="17"/>
  <c r="X257" i="17"/>
  <c r="V257" i="17"/>
  <c r="U257" i="17"/>
  <c r="S257" i="17"/>
  <c r="R257" i="17"/>
  <c r="M257" i="17"/>
  <c r="L257" i="17"/>
  <c r="K257" i="17"/>
  <c r="J257" i="17"/>
  <c r="I257" i="17"/>
  <c r="H257" i="17"/>
  <c r="G257" i="17"/>
  <c r="F257" i="17"/>
  <c r="V256" i="17"/>
  <c r="U256" i="17"/>
  <c r="S256" i="17"/>
  <c r="R256" i="17"/>
  <c r="K256" i="17"/>
  <c r="J256" i="17"/>
  <c r="I256" i="17"/>
  <c r="H256" i="17"/>
  <c r="G256" i="17"/>
  <c r="F256" i="17"/>
  <c r="V255" i="17"/>
  <c r="U255" i="17"/>
  <c r="S255" i="17"/>
  <c r="R255" i="17"/>
  <c r="K255" i="17"/>
  <c r="J255" i="17"/>
  <c r="I255" i="17"/>
  <c r="H255" i="17"/>
  <c r="G255" i="17"/>
  <c r="F255" i="17"/>
  <c r="X250" i="17"/>
  <c r="V250" i="17"/>
  <c r="U250" i="17"/>
  <c r="S250" i="17"/>
  <c r="R250" i="17"/>
  <c r="L250" i="17"/>
  <c r="J250" i="17"/>
  <c r="I250" i="17"/>
  <c r="G250" i="17"/>
  <c r="F250" i="17"/>
  <c r="V249" i="17"/>
  <c r="U249" i="17"/>
  <c r="S249" i="17"/>
  <c r="R249" i="17"/>
  <c r="J249" i="17"/>
  <c r="I249" i="17"/>
  <c r="G249" i="17"/>
  <c r="F249" i="17"/>
  <c r="V248" i="17"/>
  <c r="U248" i="17"/>
  <c r="S248" i="17"/>
  <c r="R248" i="17"/>
  <c r="J248" i="17"/>
  <c r="I248" i="17"/>
  <c r="G248" i="17"/>
  <c r="F248" i="17"/>
  <c r="X244" i="17"/>
  <c r="V244" i="17"/>
  <c r="U244" i="17"/>
  <c r="S244" i="17"/>
  <c r="R244" i="17"/>
  <c r="M244" i="17"/>
  <c r="L244" i="17"/>
  <c r="K244" i="17"/>
  <c r="J244" i="17"/>
  <c r="I244" i="17"/>
  <c r="H244" i="17"/>
  <c r="G244" i="17"/>
  <c r="F244" i="17"/>
  <c r="V243" i="17"/>
  <c r="U243" i="17"/>
  <c r="S243" i="17"/>
  <c r="R243" i="17"/>
  <c r="K243" i="17"/>
  <c r="J243" i="17"/>
  <c r="I243" i="17"/>
  <c r="H243" i="17"/>
  <c r="G243" i="17"/>
  <c r="F243" i="17"/>
  <c r="V242" i="17"/>
  <c r="U242" i="17"/>
  <c r="S242" i="17"/>
  <c r="R242" i="17"/>
  <c r="K242" i="17"/>
  <c r="J242" i="17"/>
  <c r="I242" i="17"/>
  <c r="H242" i="17"/>
  <c r="G242" i="17"/>
  <c r="F242" i="17"/>
  <c r="X237" i="17"/>
  <c r="V237" i="17"/>
  <c r="U237" i="17"/>
  <c r="S237" i="17"/>
  <c r="R237" i="17"/>
  <c r="L237" i="17"/>
  <c r="J237" i="17"/>
  <c r="I237" i="17"/>
  <c r="G237" i="17"/>
  <c r="F237" i="17"/>
  <c r="V236" i="17"/>
  <c r="U236" i="17"/>
  <c r="S236" i="17"/>
  <c r="R236" i="17"/>
  <c r="J236" i="17"/>
  <c r="I236" i="17"/>
  <c r="G236" i="17"/>
  <c r="F236" i="17"/>
  <c r="V235" i="17"/>
  <c r="U235" i="17"/>
  <c r="S235" i="17"/>
  <c r="R235" i="17"/>
  <c r="J235" i="17"/>
  <c r="I235" i="17"/>
  <c r="G235" i="17"/>
  <c r="F235" i="17"/>
  <c r="X231" i="17"/>
  <c r="V231" i="17"/>
  <c r="U231" i="17"/>
  <c r="S231" i="17"/>
  <c r="R231" i="17"/>
  <c r="M231" i="17"/>
  <c r="L231" i="17"/>
  <c r="K231" i="17"/>
  <c r="J231" i="17"/>
  <c r="I231" i="17"/>
  <c r="H231" i="17"/>
  <c r="G231" i="17"/>
  <c r="F231" i="17"/>
  <c r="V230" i="17"/>
  <c r="U230" i="17"/>
  <c r="S230" i="17"/>
  <c r="R230" i="17"/>
  <c r="K230" i="17"/>
  <c r="J230" i="17"/>
  <c r="I230" i="17"/>
  <c r="H230" i="17"/>
  <c r="G230" i="17"/>
  <c r="F230" i="17"/>
  <c r="V229" i="17"/>
  <c r="U229" i="17"/>
  <c r="S229" i="17"/>
  <c r="R229" i="17"/>
  <c r="K229" i="17"/>
  <c r="J229" i="17"/>
  <c r="I229" i="17"/>
  <c r="H229" i="17"/>
  <c r="G229" i="17"/>
  <c r="F229" i="17"/>
  <c r="X224" i="17"/>
  <c r="V224" i="17"/>
  <c r="U224" i="17"/>
  <c r="S224" i="17"/>
  <c r="R224" i="17"/>
  <c r="L224" i="17"/>
  <c r="J224" i="17"/>
  <c r="I224" i="17"/>
  <c r="G224" i="17"/>
  <c r="F224" i="17"/>
  <c r="V223" i="17"/>
  <c r="U223" i="17"/>
  <c r="S223" i="17"/>
  <c r="R223" i="17"/>
  <c r="J223" i="17"/>
  <c r="I223" i="17"/>
  <c r="G223" i="17"/>
  <c r="F223" i="17"/>
  <c r="V222" i="17"/>
  <c r="U222" i="17"/>
  <c r="S222" i="17"/>
  <c r="R222" i="17"/>
  <c r="J222" i="17"/>
  <c r="I222" i="17"/>
  <c r="G222" i="17"/>
  <c r="F222" i="17"/>
  <c r="X218" i="17"/>
  <c r="V218" i="17"/>
  <c r="U218" i="17"/>
  <c r="S218" i="17"/>
  <c r="R218" i="17"/>
  <c r="M218" i="17"/>
  <c r="L218" i="17"/>
  <c r="K218" i="17"/>
  <c r="J218" i="17"/>
  <c r="I218" i="17"/>
  <c r="H218" i="17"/>
  <c r="G218" i="17"/>
  <c r="F218" i="17"/>
  <c r="V217" i="17"/>
  <c r="U217" i="17"/>
  <c r="S217" i="17"/>
  <c r="R217" i="17"/>
  <c r="K217" i="17"/>
  <c r="J217" i="17"/>
  <c r="I217" i="17"/>
  <c r="H217" i="17"/>
  <c r="G217" i="17"/>
  <c r="F217" i="17"/>
  <c r="V216" i="17"/>
  <c r="U216" i="17"/>
  <c r="S216" i="17"/>
  <c r="R216" i="17"/>
  <c r="K216" i="17"/>
  <c r="J216" i="17"/>
  <c r="I216" i="17"/>
  <c r="H216" i="17"/>
  <c r="G216" i="17"/>
  <c r="F216" i="17"/>
  <c r="X211" i="17"/>
  <c r="V211" i="17"/>
  <c r="U211" i="17"/>
  <c r="S211" i="17"/>
  <c r="R211" i="17"/>
  <c r="L211" i="17"/>
  <c r="J211" i="17"/>
  <c r="I211" i="17"/>
  <c r="G211" i="17"/>
  <c r="F211" i="17"/>
  <c r="V210" i="17"/>
  <c r="U210" i="17"/>
  <c r="S210" i="17"/>
  <c r="R210" i="17"/>
  <c r="J210" i="17"/>
  <c r="I210" i="17"/>
  <c r="G210" i="17"/>
  <c r="F210" i="17"/>
  <c r="V209" i="17"/>
  <c r="U209" i="17"/>
  <c r="S209" i="17"/>
  <c r="R209" i="17"/>
  <c r="J209" i="17"/>
  <c r="I209" i="17"/>
  <c r="G209" i="17"/>
  <c r="F209" i="17"/>
  <c r="X205" i="17"/>
  <c r="V205" i="17"/>
  <c r="U205" i="17"/>
  <c r="S205" i="17"/>
  <c r="R205" i="17"/>
  <c r="M205" i="17"/>
  <c r="L205" i="17"/>
  <c r="K205" i="17"/>
  <c r="J205" i="17"/>
  <c r="I205" i="17"/>
  <c r="H205" i="17"/>
  <c r="G205" i="17"/>
  <c r="F205" i="17"/>
  <c r="V204" i="17"/>
  <c r="U204" i="17"/>
  <c r="S204" i="17"/>
  <c r="R204" i="17"/>
  <c r="K204" i="17"/>
  <c r="J204" i="17"/>
  <c r="I204" i="17"/>
  <c r="H204" i="17"/>
  <c r="G204" i="17"/>
  <c r="F204" i="17"/>
  <c r="V203" i="17"/>
  <c r="U203" i="17"/>
  <c r="S203" i="17"/>
  <c r="R203" i="17"/>
  <c r="K203" i="17"/>
  <c r="J203" i="17"/>
  <c r="I203" i="17"/>
  <c r="H203" i="17"/>
  <c r="G203" i="17"/>
  <c r="F203" i="17"/>
  <c r="X198" i="17"/>
  <c r="V198" i="17"/>
  <c r="U198" i="17"/>
  <c r="S198" i="17"/>
  <c r="R198" i="17"/>
  <c r="L198" i="17"/>
  <c r="J198" i="17"/>
  <c r="I198" i="17"/>
  <c r="G198" i="17"/>
  <c r="F198" i="17"/>
  <c r="V197" i="17"/>
  <c r="U197" i="17"/>
  <c r="S197" i="17"/>
  <c r="R197" i="17"/>
  <c r="J197" i="17"/>
  <c r="I197" i="17"/>
  <c r="G197" i="17"/>
  <c r="F197" i="17"/>
  <c r="V196" i="17"/>
  <c r="U196" i="17"/>
  <c r="S196" i="17"/>
  <c r="R196" i="17"/>
  <c r="J196" i="17"/>
  <c r="I196" i="17"/>
  <c r="G196" i="17"/>
  <c r="F196" i="17"/>
  <c r="X192" i="17"/>
  <c r="V192" i="17"/>
  <c r="U192" i="17"/>
  <c r="S192" i="17"/>
  <c r="R192" i="17"/>
  <c r="M192" i="17"/>
  <c r="L192" i="17"/>
  <c r="K192" i="17"/>
  <c r="J192" i="17"/>
  <c r="I192" i="17"/>
  <c r="H192" i="17"/>
  <c r="G192" i="17"/>
  <c r="F192" i="17"/>
  <c r="V191" i="17"/>
  <c r="U191" i="17"/>
  <c r="S191" i="17"/>
  <c r="R191" i="17"/>
  <c r="K191" i="17"/>
  <c r="J191" i="17"/>
  <c r="I191" i="17"/>
  <c r="H191" i="17"/>
  <c r="G191" i="17"/>
  <c r="F191" i="17"/>
  <c r="V190" i="17"/>
  <c r="U190" i="17"/>
  <c r="S190" i="17"/>
  <c r="R190" i="17"/>
  <c r="K190" i="17"/>
  <c r="J190" i="17"/>
  <c r="I190" i="17"/>
  <c r="H190" i="17"/>
  <c r="G190" i="17"/>
  <c r="F190" i="17"/>
  <c r="X185" i="17"/>
  <c r="V185" i="17"/>
  <c r="U185" i="17"/>
  <c r="S185" i="17"/>
  <c r="R185" i="17"/>
  <c r="L185" i="17"/>
  <c r="J185" i="17"/>
  <c r="I185" i="17"/>
  <c r="G185" i="17"/>
  <c r="F185" i="17"/>
  <c r="V184" i="17"/>
  <c r="U184" i="17"/>
  <c r="S184" i="17"/>
  <c r="R184" i="17"/>
  <c r="J184" i="17"/>
  <c r="I184" i="17"/>
  <c r="G184" i="17"/>
  <c r="F184" i="17"/>
  <c r="V183" i="17"/>
  <c r="U183" i="17"/>
  <c r="S183" i="17"/>
  <c r="R183" i="17"/>
  <c r="J183" i="17"/>
  <c r="I183" i="17"/>
  <c r="G183" i="17"/>
  <c r="F183" i="17"/>
  <c r="X179" i="17"/>
  <c r="V179" i="17"/>
  <c r="U179" i="17"/>
  <c r="S179" i="17"/>
  <c r="R179" i="17"/>
  <c r="M179" i="17"/>
  <c r="L179" i="17"/>
  <c r="K179" i="17"/>
  <c r="J179" i="17"/>
  <c r="I179" i="17"/>
  <c r="H179" i="17"/>
  <c r="G179" i="17"/>
  <c r="F179" i="17"/>
  <c r="V178" i="17"/>
  <c r="U178" i="17"/>
  <c r="S178" i="17"/>
  <c r="R178" i="17"/>
  <c r="K178" i="17"/>
  <c r="J178" i="17"/>
  <c r="I178" i="17"/>
  <c r="H178" i="17"/>
  <c r="G178" i="17"/>
  <c r="F178" i="17"/>
  <c r="V177" i="17"/>
  <c r="U177" i="17"/>
  <c r="S177" i="17"/>
  <c r="R177" i="17"/>
  <c r="K177" i="17"/>
  <c r="J177" i="17"/>
  <c r="I177" i="17"/>
  <c r="H177" i="17"/>
  <c r="G177" i="17"/>
  <c r="F177" i="17"/>
  <c r="X172" i="17"/>
  <c r="V172" i="17"/>
  <c r="U172" i="17"/>
  <c r="S172" i="17"/>
  <c r="R172" i="17"/>
  <c r="L172" i="17"/>
  <c r="J172" i="17"/>
  <c r="I172" i="17"/>
  <c r="G172" i="17"/>
  <c r="F172" i="17"/>
  <c r="V171" i="17"/>
  <c r="U171" i="17"/>
  <c r="S171" i="17"/>
  <c r="R171" i="17"/>
  <c r="J171" i="17"/>
  <c r="I171" i="17"/>
  <c r="G171" i="17"/>
  <c r="F171" i="17"/>
  <c r="V170" i="17"/>
  <c r="U170" i="17"/>
  <c r="S170" i="17"/>
  <c r="R170" i="17"/>
  <c r="J170" i="17"/>
  <c r="I170" i="17"/>
  <c r="G170" i="17"/>
  <c r="F170" i="17"/>
  <c r="X166" i="17"/>
  <c r="V166" i="17"/>
  <c r="U166" i="17"/>
  <c r="S166" i="17"/>
  <c r="R166" i="17"/>
  <c r="M166" i="17"/>
  <c r="L166" i="17"/>
  <c r="K166" i="17"/>
  <c r="J166" i="17"/>
  <c r="I166" i="17"/>
  <c r="H166" i="17"/>
  <c r="G166" i="17"/>
  <c r="F166" i="17"/>
  <c r="V165" i="17"/>
  <c r="U165" i="17"/>
  <c r="S165" i="17"/>
  <c r="R165" i="17"/>
  <c r="K165" i="17"/>
  <c r="J165" i="17"/>
  <c r="I165" i="17"/>
  <c r="H165" i="17"/>
  <c r="G165" i="17"/>
  <c r="F165" i="17"/>
  <c r="V164" i="17"/>
  <c r="U164" i="17"/>
  <c r="S164" i="17"/>
  <c r="R164" i="17"/>
  <c r="K164" i="17"/>
  <c r="J164" i="17"/>
  <c r="I164" i="17"/>
  <c r="H164" i="17"/>
  <c r="G164" i="17"/>
  <c r="F164" i="17"/>
  <c r="X159" i="17"/>
  <c r="V159" i="17"/>
  <c r="U159" i="17"/>
  <c r="S159" i="17"/>
  <c r="R159" i="17"/>
  <c r="L159" i="17"/>
  <c r="J159" i="17"/>
  <c r="I159" i="17"/>
  <c r="G159" i="17"/>
  <c r="F159" i="17"/>
  <c r="V158" i="17"/>
  <c r="U158" i="17"/>
  <c r="S158" i="17"/>
  <c r="R158" i="17"/>
  <c r="J158" i="17"/>
  <c r="I158" i="17"/>
  <c r="G158" i="17"/>
  <c r="F158" i="17"/>
  <c r="V157" i="17"/>
  <c r="U157" i="17"/>
  <c r="S157" i="17"/>
  <c r="R157" i="17"/>
  <c r="J157" i="17"/>
  <c r="I157" i="17"/>
  <c r="G157" i="17"/>
  <c r="F157" i="17"/>
  <c r="X153" i="17"/>
  <c r="V153" i="17"/>
  <c r="U153" i="17"/>
  <c r="S153" i="17"/>
  <c r="R153" i="17"/>
  <c r="M153" i="17"/>
  <c r="L153" i="17"/>
  <c r="K153" i="17"/>
  <c r="J153" i="17"/>
  <c r="I153" i="17"/>
  <c r="H153" i="17"/>
  <c r="G153" i="17"/>
  <c r="F153" i="17"/>
  <c r="V152" i="17"/>
  <c r="U152" i="17"/>
  <c r="S152" i="17"/>
  <c r="R152" i="17"/>
  <c r="K152" i="17"/>
  <c r="J152" i="17"/>
  <c r="I152" i="17"/>
  <c r="H152" i="17"/>
  <c r="G152" i="17"/>
  <c r="F152" i="17"/>
  <c r="V151" i="17"/>
  <c r="U151" i="17"/>
  <c r="S151" i="17"/>
  <c r="R151" i="17"/>
  <c r="K151" i="17"/>
  <c r="J151" i="17"/>
  <c r="I151" i="17"/>
  <c r="H151" i="17"/>
  <c r="G151" i="17"/>
  <c r="F151" i="17"/>
  <c r="X146" i="17"/>
  <c r="V146" i="17"/>
  <c r="U146" i="17"/>
  <c r="S146" i="17"/>
  <c r="R146" i="17"/>
  <c r="L146" i="17"/>
  <c r="J146" i="17"/>
  <c r="I146" i="17"/>
  <c r="G146" i="17"/>
  <c r="F146" i="17"/>
  <c r="V145" i="17"/>
  <c r="U145" i="17"/>
  <c r="S145" i="17"/>
  <c r="R145" i="17"/>
  <c r="J145" i="17"/>
  <c r="I145" i="17"/>
  <c r="G145" i="17"/>
  <c r="F145" i="17"/>
  <c r="V144" i="17"/>
  <c r="U144" i="17"/>
  <c r="S144" i="17"/>
  <c r="R144" i="17"/>
  <c r="J144" i="17"/>
  <c r="I144" i="17"/>
  <c r="G144" i="17"/>
  <c r="F144" i="17"/>
  <c r="X140" i="17"/>
  <c r="V140" i="17"/>
  <c r="U140" i="17"/>
  <c r="S140" i="17"/>
  <c r="R140" i="17"/>
  <c r="M140" i="17"/>
  <c r="L140" i="17"/>
  <c r="K140" i="17"/>
  <c r="J140" i="17"/>
  <c r="I140" i="17"/>
  <c r="H140" i="17"/>
  <c r="G140" i="17"/>
  <c r="F140" i="17"/>
  <c r="V139" i="17"/>
  <c r="U139" i="17"/>
  <c r="S139" i="17"/>
  <c r="R139" i="17"/>
  <c r="K139" i="17"/>
  <c r="J139" i="17"/>
  <c r="I139" i="17"/>
  <c r="H139" i="17"/>
  <c r="G139" i="17"/>
  <c r="F139" i="17"/>
  <c r="V138" i="17"/>
  <c r="U138" i="17"/>
  <c r="S138" i="17"/>
  <c r="R138" i="17"/>
  <c r="K138" i="17"/>
  <c r="J138" i="17"/>
  <c r="I138" i="17"/>
  <c r="H138" i="17"/>
  <c r="G138" i="17"/>
  <c r="F138" i="17"/>
  <c r="X133" i="17"/>
  <c r="V133" i="17"/>
  <c r="U133" i="17"/>
  <c r="S133" i="17"/>
  <c r="R133" i="17"/>
  <c r="L133" i="17"/>
  <c r="J133" i="17"/>
  <c r="I133" i="17"/>
  <c r="G133" i="17"/>
  <c r="F133" i="17"/>
  <c r="V132" i="17"/>
  <c r="U132" i="17"/>
  <c r="S132" i="17"/>
  <c r="R132" i="17"/>
  <c r="J132" i="17"/>
  <c r="I132" i="17"/>
  <c r="G132" i="17"/>
  <c r="F132" i="17"/>
  <c r="V131" i="17"/>
  <c r="U131" i="17"/>
  <c r="S131" i="17"/>
  <c r="R131" i="17"/>
  <c r="J131" i="17"/>
  <c r="I131" i="17"/>
  <c r="G131" i="17"/>
  <c r="F131" i="17"/>
  <c r="X127" i="17"/>
  <c r="V127" i="17"/>
  <c r="U127" i="17"/>
  <c r="S127" i="17"/>
  <c r="R127" i="17"/>
  <c r="M127" i="17"/>
  <c r="L127" i="17"/>
  <c r="K127" i="17"/>
  <c r="J127" i="17"/>
  <c r="I127" i="17"/>
  <c r="H127" i="17"/>
  <c r="G127" i="17"/>
  <c r="F127" i="17"/>
  <c r="V126" i="17"/>
  <c r="U126" i="17"/>
  <c r="S126" i="17"/>
  <c r="R126" i="17"/>
  <c r="K126" i="17"/>
  <c r="J126" i="17"/>
  <c r="I126" i="17"/>
  <c r="H126" i="17"/>
  <c r="G126" i="17"/>
  <c r="F126" i="17"/>
  <c r="V125" i="17"/>
  <c r="U125" i="17"/>
  <c r="S125" i="17"/>
  <c r="R125" i="17"/>
  <c r="K125" i="17"/>
  <c r="J125" i="17"/>
  <c r="I125" i="17"/>
  <c r="H125" i="17"/>
  <c r="G125" i="17"/>
  <c r="F125" i="17"/>
  <c r="X120" i="17"/>
  <c r="V120" i="17"/>
  <c r="U120" i="17"/>
  <c r="S120" i="17"/>
  <c r="R120" i="17"/>
  <c r="L120" i="17"/>
  <c r="J120" i="17"/>
  <c r="I120" i="17"/>
  <c r="G120" i="17"/>
  <c r="F120" i="17"/>
  <c r="V119" i="17"/>
  <c r="U119" i="17"/>
  <c r="S119" i="17"/>
  <c r="R119" i="17"/>
  <c r="J119" i="17"/>
  <c r="I119" i="17"/>
  <c r="G119" i="17"/>
  <c r="F119" i="17"/>
  <c r="V118" i="17"/>
  <c r="U118" i="17"/>
  <c r="S118" i="17"/>
  <c r="R118" i="17"/>
  <c r="J118" i="17"/>
  <c r="I118" i="17"/>
  <c r="G118" i="17"/>
  <c r="F118" i="17"/>
  <c r="X114" i="17"/>
  <c r="V114" i="17"/>
  <c r="U114" i="17"/>
  <c r="S114" i="17"/>
  <c r="R114" i="17"/>
  <c r="M114" i="17"/>
  <c r="L114" i="17"/>
  <c r="K114" i="17"/>
  <c r="J114" i="17"/>
  <c r="I114" i="17"/>
  <c r="H114" i="17"/>
  <c r="G114" i="17"/>
  <c r="F114" i="17"/>
  <c r="V113" i="17"/>
  <c r="U113" i="17"/>
  <c r="S113" i="17"/>
  <c r="R113" i="17"/>
  <c r="K113" i="17"/>
  <c r="J113" i="17"/>
  <c r="I113" i="17"/>
  <c r="H113" i="17"/>
  <c r="G113" i="17"/>
  <c r="F113" i="17"/>
  <c r="V112" i="17"/>
  <c r="U112" i="17"/>
  <c r="S112" i="17"/>
  <c r="R112" i="17"/>
  <c r="K112" i="17"/>
  <c r="J112" i="17"/>
  <c r="I112" i="17"/>
  <c r="H112" i="17"/>
  <c r="G112" i="17"/>
  <c r="F112" i="17"/>
  <c r="X107" i="17"/>
  <c r="V107" i="17"/>
  <c r="U107" i="17"/>
  <c r="S107" i="17"/>
  <c r="R107" i="17"/>
  <c r="L107" i="17"/>
  <c r="J107" i="17"/>
  <c r="I107" i="17"/>
  <c r="G107" i="17"/>
  <c r="F107" i="17"/>
  <c r="V106" i="17"/>
  <c r="U106" i="17"/>
  <c r="S106" i="17"/>
  <c r="R106" i="17"/>
  <c r="J106" i="17"/>
  <c r="I106" i="17"/>
  <c r="G106" i="17"/>
  <c r="F106" i="17"/>
  <c r="V105" i="17"/>
  <c r="U105" i="17"/>
  <c r="S105" i="17"/>
  <c r="R105" i="17"/>
  <c r="J105" i="17"/>
  <c r="I105" i="17"/>
  <c r="G105" i="17"/>
  <c r="F105" i="17"/>
  <c r="X101" i="17"/>
  <c r="V101" i="17"/>
  <c r="U101" i="17"/>
  <c r="S101" i="17"/>
  <c r="R101" i="17"/>
  <c r="M101" i="17"/>
  <c r="L101" i="17"/>
  <c r="K101" i="17"/>
  <c r="J101" i="17"/>
  <c r="I101" i="17"/>
  <c r="H101" i="17"/>
  <c r="G101" i="17"/>
  <c r="F101" i="17"/>
  <c r="V100" i="17"/>
  <c r="U100" i="17"/>
  <c r="S100" i="17"/>
  <c r="R100" i="17"/>
  <c r="K100" i="17"/>
  <c r="J100" i="17"/>
  <c r="I100" i="17"/>
  <c r="H100" i="17"/>
  <c r="G100" i="17"/>
  <c r="F100" i="17"/>
  <c r="V99" i="17"/>
  <c r="U99" i="17"/>
  <c r="S99" i="17"/>
  <c r="R99" i="17"/>
  <c r="K99" i="17"/>
  <c r="J99" i="17"/>
  <c r="I99" i="17"/>
  <c r="H99" i="17"/>
  <c r="G99" i="17"/>
  <c r="F99" i="17"/>
  <c r="X94" i="17"/>
  <c r="V94" i="17"/>
  <c r="U94" i="17"/>
  <c r="S94" i="17"/>
  <c r="R94" i="17"/>
  <c r="L94" i="17"/>
  <c r="J94" i="17"/>
  <c r="I94" i="17"/>
  <c r="G94" i="17"/>
  <c r="F94" i="17"/>
  <c r="V93" i="17"/>
  <c r="U93" i="17"/>
  <c r="S93" i="17"/>
  <c r="R93" i="17"/>
  <c r="J93" i="17"/>
  <c r="I93" i="17"/>
  <c r="G93" i="17"/>
  <c r="F93" i="17"/>
  <c r="V92" i="17"/>
  <c r="U92" i="17"/>
  <c r="S92" i="17"/>
  <c r="R92" i="17"/>
  <c r="J92" i="17"/>
  <c r="I92" i="17"/>
  <c r="G92" i="17"/>
  <c r="F92" i="17"/>
  <c r="X88" i="17"/>
  <c r="V88" i="17"/>
  <c r="U88" i="17"/>
  <c r="S88" i="17"/>
  <c r="R88" i="17"/>
  <c r="M88" i="17"/>
  <c r="L88" i="17"/>
  <c r="K88" i="17"/>
  <c r="J88" i="17"/>
  <c r="I88" i="17"/>
  <c r="H88" i="17"/>
  <c r="G88" i="17"/>
  <c r="F88" i="17"/>
  <c r="V87" i="17"/>
  <c r="U87" i="17"/>
  <c r="S87" i="17"/>
  <c r="R87" i="17"/>
  <c r="K87" i="17"/>
  <c r="J87" i="17"/>
  <c r="I87" i="17"/>
  <c r="H87" i="17"/>
  <c r="G87" i="17"/>
  <c r="F87" i="17"/>
  <c r="V86" i="17"/>
  <c r="U86" i="17"/>
  <c r="S86" i="17"/>
  <c r="R86" i="17"/>
  <c r="K86" i="17"/>
  <c r="J86" i="17"/>
  <c r="I86" i="17"/>
  <c r="H86" i="17"/>
  <c r="G86" i="17"/>
  <c r="F86" i="17"/>
  <c r="X81" i="17"/>
  <c r="V81" i="17"/>
  <c r="U81" i="17"/>
  <c r="S81" i="17"/>
  <c r="R81" i="17"/>
  <c r="L81" i="17"/>
  <c r="J81" i="17"/>
  <c r="I81" i="17"/>
  <c r="G81" i="17"/>
  <c r="F81" i="17"/>
  <c r="V80" i="17"/>
  <c r="U80" i="17"/>
  <c r="S80" i="17"/>
  <c r="R80" i="17"/>
  <c r="J80" i="17"/>
  <c r="I80" i="17"/>
  <c r="G80" i="17"/>
  <c r="F80" i="17"/>
  <c r="V79" i="17"/>
  <c r="U79" i="17"/>
  <c r="S79" i="17"/>
  <c r="R79" i="17"/>
  <c r="J79" i="17"/>
  <c r="I79" i="17"/>
  <c r="G79" i="17"/>
  <c r="F79" i="17"/>
  <c r="X75" i="17"/>
  <c r="V75" i="17"/>
  <c r="U75" i="17"/>
  <c r="S75" i="17"/>
  <c r="R75" i="17"/>
  <c r="M75" i="17"/>
  <c r="L75" i="17"/>
  <c r="K75" i="17"/>
  <c r="J75" i="17"/>
  <c r="I75" i="17"/>
  <c r="H75" i="17"/>
  <c r="G75" i="17"/>
  <c r="F75" i="17"/>
  <c r="V74" i="17"/>
  <c r="U74" i="17"/>
  <c r="S74" i="17"/>
  <c r="R74" i="17"/>
  <c r="K74" i="17"/>
  <c r="J74" i="17"/>
  <c r="I74" i="17"/>
  <c r="H74" i="17"/>
  <c r="G74" i="17"/>
  <c r="F74" i="17"/>
  <c r="V73" i="17"/>
  <c r="U73" i="17"/>
  <c r="S73" i="17"/>
  <c r="R73" i="17"/>
  <c r="K73" i="17"/>
  <c r="J73" i="17"/>
  <c r="I73" i="17"/>
  <c r="H73" i="17"/>
  <c r="G73" i="17"/>
  <c r="F73" i="17"/>
  <c r="X263" i="19"/>
  <c r="V263" i="19"/>
  <c r="U263" i="19"/>
  <c r="S263" i="19"/>
  <c r="R263" i="19"/>
  <c r="L263" i="19"/>
  <c r="J263" i="19"/>
  <c r="I263" i="19"/>
  <c r="G263" i="19"/>
  <c r="F263" i="19"/>
  <c r="V262" i="19"/>
  <c r="U262" i="19"/>
  <c r="S262" i="19"/>
  <c r="R262" i="19"/>
  <c r="J262" i="19"/>
  <c r="I262" i="19"/>
  <c r="G262" i="19"/>
  <c r="F262" i="19"/>
  <c r="V261" i="19"/>
  <c r="U261" i="19"/>
  <c r="S261" i="19"/>
  <c r="R261" i="19"/>
  <c r="J261" i="19"/>
  <c r="I261" i="19"/>
  <c r="G261" i="19"/>
  <c r="F261" i="19"/>
  <c r="X257" i="19"/>
  <c r="V257" i="19"/>
  <c r="U257" i="19"/>
  <c r="S257" i="19"/>
  <c r="R257" i="19"/>
  <c r="M257" i="19"/>
  <c r="L257" i="19"/>
  <c r="K257" i="19"/>
  <c r="J257" i="19"/>
  <c r="I257" i="19"/>
  <c r="H257" i="19"/>
  <c r="G257" i="19"/>
  <c r="F257" i="19"/>
  <c r="V256" i="19"/>
  <c r="U256" i="19"/>
  <c r="S256" i="19"/>
  <c r="R256" i="19"/>
  <c r="K256" i="19"/>
  <c r="J256" i="19"/>
  <c r="I256" i="19"/>
  <c r="H256" i="19"/>
  <c r="G256" i="19"/>
  <c r="F256" i="19"/>
  <c r="V255" i="19"/>
  <c r="U255" i="19"/>
  <c r="S255" i="19"/>
  <c r="R255" i="19"/>
  <c r="K255" i="19"/>
  <c r="J255" i="19"/>
  <c r="I255" i="19"/>
  <c r="H255" i="19"/>
  <c r="G255" i="19"/>
  <c r="F255" i="19"/>
  <c r="X250" i="19"/>
  <c r="V250" i="19"/>
  <c r="U250" i="19"/>
  <c r="S250" i="19"/>
  <c r="R250" i="19"/>
  <c r="L250" i="19"/>
  <c r="J250" i="19"/>
  <c r="I250" i="19"/>
  <c r="G250" i="19"/>
  <c r="F250" i="19"/>
  <c r="V249" i="19"/>
  <c r="U249" i="19"/>
  <c r="S249" i="19"/>
  <c r="R249" i="19"/>
  <c r="J249" i="19"/>
  <c r="I249" i="19"/>
  <c r="G249" i="19"/>
  <c r="F249" i="19"/>
  <c r="V248" i="19"/>
  <c r="U248" i="19"/>
  <c r="S248" i="19"/>
  <c r="R248" i="19"/>
  <c r="J248" i="19"/>
  <c r="I248" i="19"/>
  <c r="G248" i="19"/>
  <c r="F248" i="19"/>
  <c r="X244" i="19"/>
  <c r="V244" i="19"/>
  <c r="U244" i="19"/>
  <c r="S244" i="19"/>
  <c r="R244" i="19"/>
  <c r="M244" i="19"/>
  <c r="L244" i="19"/>
  <c r="K244" i="19"/>
  <c r="J244" i="19"/>
  <c r="I244" i="19"/>
  <c r="H244" i="19"/>
  <c r="G244" i="19"/>
  <c r="F244" i="19"/>
  <c r="V243" i="19"/>
  <c r="U243" i="19"/>
  <c r="S243" i="19"/>
  <c r="R243" i="19"/>
  <c r="K243" i="19"/>
  <c r="J243" i="19"/>
  <c r="I243" i="19"/>
  <c r="H243" i="19"/>
  <c r="G243" i="19"/>
  <c r="F243" i="19"/>
  <c r="V242" i="19"/>
  <c r="U242" i="19"/>
  <c r="S242" i="19"/>
  <c r="R242" i="19"/>
  <c r="K242" i="19"/>
  <c r="J242" i="19"/>
  <c r="I242" i="19"/>
  <c r="H242" i="19"/>
  <c r="G242" i="19"/>
  <c r="F242" i="19"/>
  <c r="X237" i="19"/>
  <c r="V237" i="19"/>
  <c r="U237" i="19"/>
  <c r="S237" i="19"/>
  <c r="R237" i="19"/>
  <c r="L237" i="19"/>
  <c r="J237" i="19"/>
  <c r="I237" i="19"/>
  <c r="G237" i="19"/>
  <c r="F237" i="19"/>
  <c r="V236" i="19"/>
  <c r="U236" i="19"/>
  <c r="S236" i="19"/>
  <c r="R236" i="19"/>
  <c r="J236" i="19"/>
  <c r="I236" i="19"/>
  <c r="G236" i="19"/>
  <c r="F236" i="19"/>
  <c r="V235" i="19"/>
  <c r="U235" i="19"/>
  <c r="S235" i="19"/>
  <c r="R235" i="19"/>
  <c r="J235" i="19"/>
  <c r="I235" i="19"/>
  <c r="G235" i="19"/>
  <c r="F235" i="19"/>
  <c r="X231" i="19"/>
  <c r="V231" i="19"/>
  <c r="U231" i="19"/>
  <c r="S231" i="19"/>
  <c r="R231" i="19"/>
  <c r="M231" i="19"/>
  <c r="L231" i="19"/>
  <c r="K231" i="19"/>
  <c r="J231" i="19"/>
  <c r="I231" i="19"/>
  <c r="H231" i="19"/>
  <c r="G231" i="19"/>
  <c r="F231" i="19"/>
  <c r="V230" i="19"/>
  <c r="U230" i="19"/>
  <c r="S230" i="19"/>
  <c r="R230" i="19"/>
  <c r="K230" i="19"/>
  <c r="J230" i="19"/>
  <c r="I230" i="19"/>
  <c r="H230" i="19"/>
  <c r="G230" i="19"/>
  <c r="F230" i="19"/>
  <c r="V229" i="19"/>
  <c r="U229" i="19"/>
  <c r="S229" i="19"/>
  <c r="R229" i="19"/>
  <c r="K229" i="19"/>
  <c r="J229" i="19"/>
  <c r="I229" i="19"/>
  <c r="H229" i="19"/>
  <c r="G229" i="19"/>
  <c r="F229" i="19"/>
  <c r="X224" i="19"/>
  <c r="V224" i="19"/>
  <c r="U224" i="19"/>
  <c r="S224" i="19"/>
  <c r="R224" i="19"/>
  <c r="L224" i="19"/>
  <c r="J224" i="19"/>
  <c r="I224" i="19"/>
  <c r="G224" i="19"/>
  <c r="F224" i="19"/>
  <c r="V223" i="19"/>
  <c r="U223" i="19"/>
  <c r="S223" i="19"/>
  <c r="R223" i="19"/>
  <c r="J223" i="19"/>
  <c r="I223" i="19"/>
  <c r="G223" i="19"/>
  <c r="F223" i="19"/>
  <c r="V222" i="19"/>
  <c r="U222" i="19"/>
  <c r="S222" i="19"/>
  <c r="R222" i="19"/>
  <c r="J222" i="19"/>
  <c r="I222" i="19"/>
  <c r="G222" i="19"/>
  <c r="F222" i="19"/>
  <c r="X218" i="19"/>
  <c r="V218" i="19"/>
  <c r="U218" i="19"/>
  <c r="S218" i="19"/>
  <c r="R218" i="19"/>
  <c r="M218" i="19"/>
  <c r="L218" i="19"/>
  <c r="K218" i="19"/>
  <c r="J218" i="19"/>
  <c r="I218" i="19"/>
  <c r="H218" i="19"/>
  <c r="G218" i="19"/>
  <c r="F218" i="19"/>
  <c r="V217" i="19"/>
  <c r="U217" i="19"/>
  <c r="S217" i="19"/>
  <c r="R217" i="19"/>
  <c r="K217" i="19"/>
  <c r="J217" i="19"/>
  <c r="I217" i="19"/>
  <c r="H217" i="19"/>
  <c r="G217" i="19"/>
  <c r="F217" i="19"/>
  <c r="V216" i="19"/>
  <c r="U216" i="19"/>
  <c r="S216" i="19"/>
  <c r="R216" i="19"/>
  <c r="K216" i="19"/>
  <c r="J216" i="19"/>
  <c r="I216" i="19"/>
  <c r="H216" i="19"/>
  <c r="G216" i="19"/>
  <c r="F216" i="19"/>
  <c r="X211" i="19"/>
  <c r="V211" i="19"/>
  <c r="U211" i="19"/>
  <c r="S211" i="19"/>
  <c r="R211" i="19"/>
  <c r="L211" i="19"/>
  <c r="J211" i="19"/>
  <c r="I211" i="19"/>
  <c r="G211" i="19"/>
  <c r="F211" i="19"/>
  <c r="V210" i="19"/>
  <c r="U210" i="19"/>
  <c r="S210" i="19"/>
  <c r="R210" i="19"/>
  <c r="J210" i="19"/>
  <c r="I210" i="19"/>
  <c r="G210" i="19"/>
  <c r="F210" i="19"/>
  <c r="V209" i="19"/>
  <c r="U209" i="19"/>
  <c r="S209" i="19"/>
  <c r="R209" i="19"/>
  <c r="J209" i="19"/>
  <c r="I209" i="19"/>
  <c r="G209" i="19"/>
  <c r="F209" i="19"/>
  <c r="X205" i="19"/>
  <c r="V205" i="19"/>
  <c r="U205" i="19"/>
  <c r="S205" i="19"/>
  <c r="R205" i="19"/>
  <c r="M205" i="19"/>
  <c r="L205" i="19"/>
  <c r="K205" i="19"/>
  <c r="J205" i="19"/>
  <c r="I205" i="19"/>
  <c r="H205" i="19"/>
  <c r="G205" i="19"/>
  <c r="F205" i="19"/>
  <c r="V204" i="19"/>
  <c r="U204" i="19"/>
  <c r="S204" i="19"/>
  <c r="R204" i="19"/>
  <c r="K204" i="19"/>
  <c r="J204" i="19"/>
  <c r="I204" i="19"/>
  <c r="H204" i="19"/>
  <c r="G204" i="19"/>
  <c r="F204" i="19"/>
  <c r="V203" i="19"/>
  <c r="U203" i="19"/>
  <c r="S203" i="19"/>
  <c r="R203" i="19"/>
  <c r="K203" i="19"/>
  <c r="J203" i="19"/>
  <c r="I203" i="19"/>
  <c r="H203" i="19"/>
  <c r="G203" i="19"/>
  <c r="F203" i="19"/>
  <c r="X198" i="19"/>
  <c r="V198" i="19"/>
  <c r="U198" i="19"/>
  <c r="S198" i="19"/>
  <c r="R198" i="19"/>
  <c r="L198" i="19"/>
  <c r="J198" i="19"/>
  <c r="I198" i="19"/>
  <c r="G198" i="19"/>
  <c r="F198" i="19"/>
  <c r="V197" i="19"/>
  <c r="U197" i="19"/>
  <c r="S197" i="19"/>
  <c r="R197" i="19"/>
  <c r="J197" i="19"/>
  <c r="I197" i="19"/>
  <c r="G197" i="19"/>
  <c r="F197" i="19"/>
  <c r="V196" i="19"/>
  <c r="U196" i="19"/>
  <c r="S196" i="19"/>
  <c r="R196" i="19"/>
  <c r="J196" i="19"/>
  <c r="I196" i="19"/>
  <c r="G196" i="19"/>
  <c r="F196" i="19"/>
  <c r="X192" i="19"/>
  <c r="V192" i="19"/>
  <c r="U192" i="19"/>
  <c r="S192" i="19"/>
  <c r="R192" i="19"/>
  <c r="M192" i="19"/>
  <c r="L192" i="19"/>
  <c r="K192" i="19"/>
  <c r="J192" i="19"/>
  <c r="I192" i="19"/>
  <c r="H192" i="19"/>
  <c r="G192" i="19"/>
  <c r="F192" i="19"/>
  <c r="V191" i="19"/>
  <c r="U191" i="19"/>
  <c r="S191" i="19"/>
  <c r="R191" i="19"/>
  <c r="K191" i="19"/>
  <c r="J191" i="19"/>
  <c r="I191" i="19"/>
  <c r="H191" i="19"/>
  <c r="G191" i="19"/>
  <c r="F191" i="19"/>
  <c r="V190" i="19"/>
  <c r="U190" i="19"/>
  <c r="S190" i="19"/>
  <c r="R190" i="19"/>
  <c r="K190" i="19"/>
  <c r="J190" i="19"/>
  <c r="I190" i="19"/>
  <c r="H190" i="19"/>
  <c r="G190" i="19"/>
  <c r="F190" i="19"/>
  <c r="X185" i="19"/>
  <c r="V185" i="19"/>
  <c r="U185" i="19"/>
  <c r="S185" i="19"/>
  <c r="R185" i="19"/>
  <c r="L185" i="19"/>
  <c r="J185" i="19"/>
  <c r="I185" i="19"/>
  <c r="G185" i="19"/>
  <c r="F185" i="19"/>
  <c r="V184" i="19"/>
  <c r="U184" i="19"/>
  <c r="S184" i="19"/>
  <c r="R184" i="19"/>
  <c r="J184" i="19"/>
  <c r="I184" i="19"/>
  <c r="G184" i="19"/>
  <c r="F184" i="19"/>
  <c r="V183" i="19"/>
  <c r="U183" i="19"/>
  <c r="S183" i="19"/>
  <c r="R183" i="19"/>
  <c r="J183" i="19"/>
  <c r="I183" i="19"/>
  <c r="G183" i="19"/>
  <c r="F183" i="19"/>
  <c r="X179" i="19"/>
  <c r="V179" i="19"/>
  <c r="U179" i="19"/>
  <c r="S179" i="19"/>
  <c r="R179" i="19"/>
  <c r="M179" i="19"/>
  <c r="L179" i="19"/>
  <c r="K179" i="19"/>
  <c r="J179" i="19"/>
  <c r="I179" i="19"/>
  <c r="H179" i="19"/>
  <c r="G179" i="19"/>
  <c r="F179" i="19"/>
  <c r="V178" i="19"/>
  <c r="U178" i="19"/>
  <c r="S178" i="19"/>
  <c r="R178" i="19"/>
  <c r="K178" i="19"/>
  <c r="J178" i="19"/>
  <c r="I178" i="19"/>
  <c r="H178" i="19"/>
  <c r="G178" i="19"/>
  <c r="F178" i="19"/>
  <c r="V177" i="19"/>
  <c r="U177" i="19"/>
  <c r="S177" i="19"/>
  <c r="R177" i="19"/>
  <c r="K177" i="19"/>
  <c r="J177" i="19"/>
  <c r="I177" i="19"/>
  <c r="H177" i="19"/>
  <c r="G177" i="19"/>
  <c r="F177" i="19"/>
  <c r="X172" i="19"/>
  <c r="V172" i="19"/>
  <c r="U172" i="19"/>
  <c r="S172" i="19"/>
  <c r="R172" i="19"/>
  <c r="L172" i="19"/>
  <c r="J172" i="19"/>
  <c r="I172" i="19"/>
  <c r="G172" i="19"/>
  <c r="F172" i="19"/>
  <c r="V171" i="19"/>
  <c r="U171" i="19"/>
  <c r="S171" i="19"/>
  <c r="R171" i="19"/>
  <c r="J171" i="19"/>
  <c r="I171" i="19"/>
  <c r="G171" i="19"/>
  <c r="F171" i="19"/>
  <c r="V170" i="19"/>
  <c r="U170" i="19"/>
  <c r="S170" i="19"/>
  <c r="R170" i="19"/>
  <c r="J170" i="19"/>
  <c r="I170" i="19"/>
  <c r="G170" i="19"/>
  <c r="F170" i="19"/>
  <c r="X166" i="19"/>
  <c r="V166" i="19"/>
  <c r="U166" i="19"/>
  <c r="S166" i="19"/>
  <c r="R166" i="19"/>
  <c r="M166" i="19"/>
  <c r="L166" i="19"/>
  <c r="K166" i="19"/>
  <c r="J166" i="19"/>
  <c r="I166" i="19"/>
  <c r="H166" i="19"/>
  <c r="G166" i="19"/>
  <c r="F166" i="19"/>
  <c r="V165" i="19"/>
  <c r="U165" i="19"/>
  <c r="S165" i="19"/>
  <c r="R165" i="19"/>
  <c r="K165" i="19"/>
  <c r="J165" i="19"/>
  <c r="I165" i="19"/>
  <c r="H165" i="19"/>
  <c r="G165" i="19"/>
  <c r="F165" i="19"/>
  <c r="V164" i="19"/>
  <c r="U164" i="19"/>
  <c r="S164" i="19"/>
  <c r="R164" i="19"/>
  <c r="K164" i="19"/>
  <c r="J164" i="19"/>
  <c r="I164" i="19"/>
  <c r="H164" i="19"/>
  <c r="G164" i="19"/>
  <c r="F164" i="19"/>
  <c r="X159" i="19"/>
  <c r="V159" i="19"/>
  <c r="U159" i="19"/>
  <c r="S159" i="19"/>
  <c r="R159" i="19"/>
  <c r="L159" i="19"/>
  <c r="J159" i="19"/>
  <c r="I159" i="19"/>
  <c r="G159" i="19"/>
  <c r="F159" i="19"/>
  <c r="V158" i="19"/>
  <c r="U158" i="19"/>
  <c r="S158" i="19"/>
  <c r="R158" i="19"/>
  <c r="J158" i="19"/>
  <c r="I158" i="19"/>
  <c r="G158" i="19"/>
  <c r="F158" i="19"/>
  <c r="V157" i="19"/>
  <c r="U157" i="19"/>
  <c r="S157" i="19"/>
  <c r="R157" i="19"/>
  <c r="J157" i="19"/>
  <c r="I157" i="19"/>
  <c r="G157" i="19"/>
  <c r="F157" i="19"/>
  <c r="X153" i="19"/>
  <c r="V153" i="19"/>
  <c r="U153" i="19"/>
  <c r="S153" i="19"/>
  <c r="R153" i="19"/>
  <c r="M153" i="19"/>
  <c r="L153" i="19"/>
  <c r="K153" i="19"/>
  <c r="J153" i="19"/>
  <c r="I153" i="19"/>
  <c r="H153" i="19"/>
  <c r="G153" i="19"/>
  <c r="F153" i="19"/>
  <c r="V152" i="19"/>
  <c r="U152" i="19"/>
  <c r="S152" i="19"/>
  <c r="R152" i="19"/>
  <c r="K152" i="19"/>
  <c r="J152" i="19"/>
  <c r="I152" i="19"/>
  <c r="H152" i="19"/>
  <c r="G152" i="19"/>
  <c r="F152" i="19"/>
  <c r="V151" i="19"/>
  <c r="U151" i="19"/>
  <c r="S151" i="19"/>
  <c r="R151" i="19"/>
  <c r="K151" i="19"/>
  <c r="J151" i="19"/>
  <c r="I151" i="19"/>
  <c r="H151" i="19"/>
  <c r="G151" i="19"/>
  <c r="F151" i="19"/>
  <c r="X146" i="19"/>
  <c r="V146" i="19"/>
  <c r="U146" i="19"/>
  <c r="S146" i="19"/>
  <c r="R146" i="19"/>
  <c r="L146" i="19"/>
  <c r="J146" i="19"/>
  <c r="I146" i="19"/>
  <c r="G146" i="19"/>
  <c r="F146" i="19"/>
  <c r="V145" i="19"/>
  <c r="U145" i="19"/>
  <c r="S145" i="19"/>
  <c r="R145" i="19"/>
  <c r="J145" i="19"/>
  <c r="I145" i="19"/>
  <c r="G145" i="19"/>
  <c r="F145" i="19"/>
  <c r="V144" i="19"/>
  <c r="U144" i="19"/>
  <c r="S144" i="19"/>
  <c r="R144" i="19"/>
  <c r="J144" i="19"/>
  <c r="I144" i="19"/>
  <c r="G144" i="19"/>
  <c r="F144" i="19"/>
  <c r="X140" i="19"/>
  <c r="V140" i="19"/>
  <c r="U140" i="19"/>
  <c r="S140" i="19"/>
  <c r="R140" i="19"/>
  <c r="M140" i="19"/>
  <c r="L140" i="19"/>
  <c r="K140" i="19"/>
  <c r="J140" i="19"/>
  <c r="I140" i="19"/>
  <c r="H140" i="19"/>
  <c r="G140" i="19"/>
  <c r="F140" i="19"/>
  <c r="V139" i="19"/>
  <c r="U139" i="19"/>
  <c r="S139" i="19"/>
  <c r="R139" i="19"/>
  <c r="K139" i="19"/>
  <c r="J139" i="19"/>
  <c r="I139" i="19"/>
  <c r="H139" i="19"/>
  <c r="G139" i="19"/>
  <c r="F139" i="19"/>
  <c r="V138" i="19"/>
  <c r="U138" i="19"/>
  <c r="S138" i="19"/>
  <c r="R138" i="19"/>
  <c r="K138" i="19"/>
  <c r="J138" i="19"/>
  <c r="I138" i="19"/>
  <c r="H138" i="19"/>
  <c r="G138" i="19"/>
  <c r="F138" i="19"/>
  <c r="X133" i="19"/>
  <c r="V133" i="19"/>
  <c r="U133" i="19"/>
  <c r="S133" i="19"/>
  <c r="R133" i="19"/>
  <c r="L133" i="19"/>
  <c r="J133" i="19"/>
  <c r="I133" i="19"/>
  <c r="G133" i="19"/>
  <c r="F133" i="19"/>
  <c r="V132" i="19"/>
  <c r="U132" i="19"/>
  <c r="S132" i="19"/>
  <c r="R132" i="19"/>
  <c r="J132" i="19"/>
  <c r="I132" i="19"/>
  <c r="G132" i="19"/>
  <c r="F132" i="19"/>
  <c r="V131" i="19"/>
  <c r="U131" i="19"/>
  <c r="S131" i="19"/>
  <c r="R131" i="19"/>
  <c r="J131" i="19"/>
  <c r="I131" i="19"/>
  <c r="G131" i="19"/>
  <c r="F131" i="19"/>
  <c r="X127" i="19"/>
  <c r="V127" i="19"/>
  <c r="U127" i="19"/>
  <c r="S127" i="19"/>
  <c r="R127" i="19"/>
  <c r="M127" i="19"/>
  <c r="L127" i="19"/>
  <c r="K127" i="19"/>
  <c r="J127" i="19"/>
  <c r="I127" i="19"/>
  <c r="H127" i="19"/>
  <c r="G127" i="19"/>
  <c r="F127" i="19"/>
  <c r="V126" i="19"/>
  <c r="U126" i="19"/>
  <c r="S126" i="19"/>
  <c r="R126" i="19"/>
  <c r="K126" i="19"/>
  <c r="J126" i="19"/>
  <c r="I126" i="19"/>
  <c r="H126" i="19"/>
  <c r="G126" i="19"/>
  <c r="F126" i="19"/>
  <c r="V125" i="19"/>
  <c r="U125" i="19"/>
  <c r="S125" i="19"/>
  <c r="R125" i="19"/>
  <c r="K125" i="19"/>
  <c r="J125" i="19"/>
  <c r="I125" i="19"/>
  <c r="H125" i="19"/>
  <c r="G125" i="19"/>
  <c r="F125" i="19"/>
  <c r="X120" i="19"/>
  <c r="V120" i="19"/>
  <c r="U120" i="19"/>
  <c r="S120" i="19"/>
  <c r="R120" i="19"/>
  <c r="L120" i="19"/>
  <c r="J120" i="19"/>
  <c r="I120" i="19"/>
  <c r="G120" i="19"/>
  <c r="F120" i="19"/>
  <c r="V119" i="19"/>
  <c r="U119" i="19"/>
  <c r="S119" i="19"/>
  <c r="R119" i="19"/>
  <c r="J119" i="19"/>
  <c r="I119" i="19"/>
  <c r="G119" i="19"/>
  <c r="F119" i="19"/>
  <c r="V118" i="19"/>
  <c r="U118" i="19"/>
  <c r="S118" i="19"/>
  <c r="R118" i="19"/>
  <c r="J118" i="19"/>
  <c r="I118" i="19"/>
  <c r="G118" i="19"/>
  <c r="F118" i="19"/>
  <c r="X114" i="19"/>
  <c r="V114" i="19"/>
  <c r="U114" i="19"/>
  <c r="S114" i="19"/>
  <c r="R114" i="19"/>
  <c r="M114" i="19"/>
  <c r="L114" i="19"/>
  <c r="K114" i="19"/>
  <c r="J114" i="19"/>
  <c r="I114" i="19"/>
  <c r="H114" i="19"/>
  <c r="G114" i="19"/>
  <c r="F114" i="19"/>
  <c r="V113" i="19"/>
  <c r="U113" i="19"/>
  <c r="S113" i="19"/>
  <c r="R113" i="19"/>
  <c r="K113" i="19"/>
  <c r="J113" i="19"/>
  <c r="I113" i="19"/>
  <c r="H113" i="19"/>
  <c r="G113" i="19"/>
  <c r="F113" i="19"/>
  <c r="V112" i="19"/>
  <c r="U112" i="19"/>
  <c r="S112" i="19"/>
  <c r="R112" i="19"/>
  <c r="K112" i="19"/>
  <c r="J112" i="19"/>
  <c r="I112" i="19"/>
  <c r="H112" i="19"/>
  <c r="G112" i="19"/>
  <c r="F112" i="19"/>
  <c r="X107" i="19"/>
  <c r="V107" i="19"/>
  <c r="U107" i="19"/>
  <c r="S107" i="19"/>
  <c r="R107" i="19"/>
  <c r="L107" i="19"/>
  <c r="J107" i="19"/>
  <c r="I107" i="19"/>
  <c r="G107" i="19"/>
  <c r="F107" i="19"/>
  <c r="V106" i="19"/>
  <c r="U106" i="19"/>
  <c r="S106" i="19"/>
  <c r="R106" i="19"/>
  <c r="J106" i="19"/>
  <c r="I106" i="19"/>
  <c r="G106" i="19"/>
  <c r="F106" i="19"/>
  <c r="V105" i="19"/>
  <c r="U105" i="19"/>
  <c r="S105" i="19"/>
  <c r="R105" i="19"/>
  <c r="J105" i="19"/>
  <c r="I105" i="19"/>
  <c r="G105" i="19"/>
  <c r="F105" i="19"/>
  <c r="X101" i="19"/>
  <c r="V101" i="19"/>
  <c r="U101" i="19"/>
  <c r="S101" i="19"/>
  <c r="R101" i="19"/>
  <c r="M101" i="19"/>
  <c r="L101" i="19"/>
  <c r="K101" i="19"/>
  <c r="J101" i="19"/>
  <c r="I101" i="19"/>
  <c r="H101" i="19"/>
  <c r="G101" i="19"/>
  <c r="F101" i="19"/>
  <c r="V100" i="19"/>
  <c r="U100" i="19"/>
  <c r="S100" i="19"/>
  <c r="R100" i="19"/>
  <c r="K100" i="19"/>
  <c r="J100" i="19"/>
  <c r="I100" i="19"/>
  <c r="H100" i="19"/>
  <c r="G100" i="19"/>
  <c r="F100" i="19"/>
  <c r="V99" i="19"/>
  <c r="U99" i="19"/>
  <c r="S99" i="19"/>
  <c r="R99" i="19"/>
  <c r="K99" i="19"/>
  <c r="J99" i="19"/>
  <c r="I99" i="19"/>
  <c r="H99" i="19"/>
  <c r="G99" i="19"/>
  <c r="F99" i="19"/>
  <c r="X94" i="19"/>
  <c r="V94" i="19"/>
  <c r="U94" i="19"/>
  <c r="S94" i="19"/>
  <c r="R94" i="19"/>
  <c r="L94" i="19"/>
  <c r="J94" i="19"/>
  <c r="I94" i="19"/>
  <c r="G94" i="19"/>
  <c r="F94" i="19"/>
  <c r="V93" i="19"/>
  <c r="U93" i="19"/>
  <c r="S93" i="19"/>
  <c r="R93" i="19"/>
  <c r="J93" i="19"/>
  <c r="I93" i="19"/>
  <c r="G93" i="19"/>
  <c r="F93" i="19"/>
  <c r="V92" i="19"/>
  <c r="U92" i="19"/>
  <c r="S92" i="19"/>
  <c r="R92" i="19"/>
  <c r="J92" i="19"/>
  <c r="I92" i="19"/>
  <c r="G92" i="19"/>
  <c r="F92" i="19"/>
  <c r="X88" i="19"/>
  <c r="V88" i="19"/>
  <c r="U88" i="19"/>
  <c r="S88" i="19"/>
  <c r="R88" i="19"/>
  <c r="M88" i="19"/>
  <c r="L88" i="19"/>
  <c r="K88" i="19"/>
  <c r="J88" i="19"/>
  <c r="I88" i="19"/>
  <c r="H88" i="19"/>
  <c r="G88" i="19"/>
  <c r="F88" i="19"/>
  <c r="V87" i="19"/>
  <c r="U87" i="19"/>
  <c r="S87" i="19"/>
  <c r="R87" i="19"/>
  <c r="K87" i="19"/>
  <c r="J87" i="19"/>
  <c r="I87" i="19"/>
  <c r="H87" i="19"/>
  <c r="G87" i="19"/>
  <c r="F87" i="19"/>
  <c r="V86" i="19"/>
  <c r="U86" i="19"/>
  <c r="S86" i="19"/>
  <c r="R86" i="19"/>
  <c r="K86" i="19"/>
  <c r="J86" i="19"/>
  <c r="I86" i="19"/>
  <c r="H86" i="19"/>
  <c r="G86" i="19"/>
  <c r="F86" i="19"/>
  <c r="X81" i="19"/>
  <c r="V81" i="19"/>
  <c r="U81" i="19"/>
  <c r="S81" i="19"/>
  <c r="R81" i="19"/>
  <c r="L81" i="19"/>
  <c r="J81" i="19"/>
  <c r="I81" i="19"/>
  <c r="G81" i="19"/>
  <c r="F81" i="19"/>
  <c r="V80" i="19"/>
  <c r="U80" i="19"/>
  <c r="S80" i="19"/>
  <c r="R80" i="19"/>
  <c r="J80" i="19"/>
  <c r="I80" i="19"/>
  <c r="G80" i="19"/>
  <c r="F80" i="19"/>
  <c r="V79" i="19"/>
  <c r="U79" i="19"/>
  <c r="S79" i="19"/>
  <c r="R79" i="19"/>
  <c r="J79" i="19"/>
  <c r="I79" i="19"/>
  <c r="G79" i="19"/>
  <c r="F79" i="19"/>
  <c r="X75" i="19"/>
  <c r="V75" i="19"/>
  <c r="U75" i="19"/>
  <c r="S75" i="19"/>
  <c r="R75" i="19"/>
  <c r="M75" i="19"/>
  <c r="L75" i="19"/>
  <c r="K75" i="19"/>
  <c r="J75" i="19"/>
  <c r="I75" i="19"/>
  <c r="H75" i="19"/>
  <c r="G75" i="19"/>
  <c r="F75" i="19"/>
  <c r="V74" i="19"/>
  <c r="U74" i="19"/>
  <c r="S74" i="19"/>
  <c r="R74" i="19"/>
  <c r="K74" i="19"/>
  <c r="J74" i="19"/>
  <c r="I74" i="19"/>
  <c r="H74" i="19"/>
  <c r="G74" i="19"/>
  <c r="F74" i="19"/>
  <c r="V73" i="19"/>
  <c r="U73" i="19"/>
  <c r="S73" i="19"/>
  <c r="R73" i="19"/>
  <c r="K73" i="19"/>
  <c r="J73" i="19"/>
  <c r="I73" i="19"/>
  <c r="H73" i="19"/>
  <c r="G73" i="19"/>
  <c r="F73" i="19"/>
  <c r="X263" i="43"/>
  <c r="V263" i="43"/>
  <c r="U263" i="43"/>
  <c r="S263" i="43"/>
  <c r="R263" i="43"/>
  <c r="L263" i="43"/>
  <c r="J263" i="43"/>
  <c r="I263" i="43"/>
  <c r="G263" i="43"/>
  <c r="F263" i="43"/>
  <c r="V262" i="43"/>
  <c r="U262" i="43"/>
  <c r="S262" i="43"/>
  <c r="R262" i="43"/>
  <c r="J262" i="43"/>
  <c r="I262" i="43"/>
  <c r="G262" i="43"/>
  <c r="F262" i="43"/>
  <c r="V261" i="43"/>
  <c r="U261" i="43"/>
  <c r="S261" i="43"/>
  <c r="R261" i="43"/>
  <c r="J261" i="43"/>
  <c r="I261" i="43"/>
  <c r="G261" i="43"/>
  <c r="F261" i="43"/>
  <c r="X257" i="43"/>
  <c r="V257" i="43"/>
  <c r="U257" i="43"/>
  <c r="S257" i="43"/>
  <c r="R257" i="43"/>
  <c r="M257" i="43"/>
  <c r="L257" i="43"/>
  <c r="K257" i="43"/>
  <c r="J257" i="43"/>
  <c r="I257" i="43"/>
  <c r="H257" i="43"/>
  <c r="G257" i="43"/>
  <c r="F257" i="43"/>
  <c r="V256" i="43"/>
  <c r="U256" i="43"/>
  <c r="S256" i="43"/>
  <c r="R256" i="43"/>
  <c r="K256" i="43"/>
  <c r="J256" i="43"/>
  <c r="I256" i="43"/>
  <c r="H256" i="43"/>
  <c r="G256" i="43"/>
  <c r="F256" i="43"/>
  <c r="V255" i="43"/>
  <c r="U255" i="43"/>
  <c r="S255" i="43"/>
  <c r="R255" i="43"/>
  <c r="K255" i="43"/>
  <c r="J255" i="43"/>
  <c r="I255" i="43"/>
  <c r="H255" i="43"/>
  <c r="G255" i="43"/>
  <c r="F255" i="43"/>
  <c r="X250" i="43"/>
  <c r="V250" i="43"/>
  <c r="U250" i="43"/>
  <c r="S250" i="43"/>
  <c r="R250" i="43"/>
  <c r="L250" i="43"/>
  <c r="J250" i="43"/>
  <c r="I250" i="43"/>
  <c r="G250" i="43"/>
  <c r="F250" i="43"/>
  <c r="V249" i="43"/>
  <c r="U249" i="43"/>
  <c r="S249" i="43"/>
  <c r="R249" i="43"/>
  <c r="J249" i="43"/>
  <c r="I249" i="43"/>
  <c r="G249" i="43"/>
  <c r="F249" i="43"/>
  <c r="V248" i="43"/>
  <c r="U248" i="43"/>
  <c r="S248" i="43"/>
  <c r="R248" i="43"/>
  <c r="J248" i="43"/>
  <c r="I248" i="43"/>
  <c r="G248" i="43"/>
  <c r="F248" i="43"/>
  <c r="X244" i="43"/>
  <c r="V244" i="43"/>
  <c r="U244" i="43"/>
  <c r="S244" i="43"/>
  <c r="R244" i="43"/>
  <c r="M244" i="43"/>
  <c r="L244" i="43"/>
  <c r="K244" i="43"/>
  <c r="J244" i="43"/>
  <c r="I244" i="43"/>
  <c r="H244" i="43"/>
  <c r="G244" i="43"/>
  <c r="F244" i="43"/>
  <c r="V243" i="43"/>
  <c r="U243" i="43"/>
  <c r="S243" i="43"/>
  <c r="R243" i="43"/>
  <c r="K243" i="43"/>
  <c r="J243" i="43"/>
  <c r="I243" i="43"/>
  <c r="H243" i="43"/>
  <c r="G243" i="43"/>
  <c r="F243" i="43"/>
  <c r="V242" i="43"/>
  <c r="U242" i="43"/>
  <c r="S242" i="43"/>
  <c r="R242" i="43"/>
  <c r="K242" i="43"/>
  <c r="J242" i="43"/>
  <c r="I242" i="43"/>
  <c r="H242" i="43"/>
  <c r="G242" i="43"/>
  <c r="F242" i="43"/>
  <c r="X237" i="43"/>
  <c r="V237" i="43"/>
  <c r="U237" i="43"/>
  <c r="S237" i="43"/>
  <c r="R237" i="43"/>
  <c r="L237" i="43"/>
  <c r="J237" i="43"/>
  <c r="I237" i="43"/>
  <c r="G237" i="43"/>
  <c r="F237" i="43"/>
  <c r="V236" i="43"/>
  <c r="U236" i="43"/>
  <c r="S236" i="43"/>
  <c r="R236" i="43"/>
  <c r="J236" i="43"/>
  <c r="I236" i="43"/>
  <c r="G236" i="43"/>
  <c r="F236" i="43"/>
  <c r="V235" i="43"/>
  <c r="U235" i="43"/>
  <c r="S235" i="43"/>
  <c r="R235" i="43"/>
  <c r="J235" i="43"/>
  <c r="I235" i="43"/>
  <c r="G235" i="43"/>
  <c r="F235" i="43"/>
  <c r="X231" i="43"/>
  <c r="V231" i="43"/>
  <c r="U231" i="43"/>
  <c r="S231" i="43"/>
  <c r="R231" i="43"/>
  <c r="M231" i="43"/>
  <c r="L231" i="43"/>
  <c r="K231" i="43"/>
  <c r="J231" i="43"/>
  <c r="I231" i="43"/>
  <c r="H231" i="43"/>
  <c r="G231" i="43"/>
  <c r="F231" i="43"/>
  <c r="V230" i="43"/>
  <c r="U230" i="43"/>
  <c r="S230" i="43"/>
  <c r="R230" i="43"/>
  <c r="K230" i="43"/>
  <c r="J230" i="43"/>
  <c r="I230" i="43"/>
  <c r="H230" i="43"/>
  <c r="G230" i="43"/>
  <c r="F230" i="43"/>
  <c r="V229" i="43"/>
  <c r="U229" i="43"/>
  <c r="S229" i="43"/>
  <c r="R229" i="43"/>
  <c r="K229" i="43"/>
  <c r="J229" i="43"/>
  <c r="I229" i="43"/>
  <c r="H229" i="43"/>
  <c r="G229" i="43"/>
  <c r="F229" i="43"/>
  <c r="X224" i="43"/>
  <c r="V224" i="43"/>
  <c r="U224" i="43"/>
  <c r="S224" i="43"/>
  <c r="R224" i="43"/>
  <c r="L224" i="43"/>
  <c r="J224" i="43"/>
  <c r="I224" i="43"/>
  <c r="G224" i="43"/>
  <c r="F224" i="43"/>
  <c r="V223" i="43"/>
  <c r="U223" i="43"/>
  <c r="S223" i="43"/>
  <c r="R223" i="43"/>
  <c r="J223" i="43"/>
  <c r="I223" i="43"/>
  <c r="G223" i="43"/>
  <c r="F223" i="43"/>
  <c r="V222" i="43"/>
  <c r="U222" i="43"/>
  <c r="S222" i="43"/>
  <c r="R222" i="43"/>
  <c r="J222" i="43"/>
  <c r="I222" i="43"/>
  <c r="G222" i="43"/>
  <c r="F222" i="43"/>
  <c r="X218" i="43"/>
  <c r="V218" i="43"/>
  <c r="U218" i="43"/>
  <c r="S218" i="43"/>
  <c r="R218" i="43"/>
  <c r="M218" i="43"/>
  <c r="L218" i="43"/>
  <c r="K218" i="43"/>
  <c r="J218" i="43"/>
  <c r="I218" i="43"/>
  <c r="H218" i="43"/>
  <c r="G218" i="43"/>
  <c r="F218" i="43"/>
  <c r="V217" i="43"/>
  <c r="U217" i="43"/>
  <c r="S217" i="43"/>
  <c r="R217" i="43"/>
  <c r="K217" i="43"/>
  <c r="J217" i="43"/>
  <c r="I217" i="43"/>
  <c r="H217" i="43"/>
  <c r="G217" i="43"/>
  <c r="F217" i="43"/>
  <c r="V216" i="43"/>
  <c r="U216" i="43"/>
  <c r="S216" i="43"/>
  <c r="R216" i="43"/>
  <c r="K216" i="43"/>
  <c r="J216" i="43"/>
  <c r="I216" i="43"/>
  <c r="H216" i="43"/>
  <c r="G216" i="43"/>
  <c r="F216" i="43"/>
  <c r="X211" i="43"/>
  <c r="V211" i="43"/>
  <c r="U211" i="43"/>
  <c r="S211" i="43"/>
  <c r="R211" i="43"/>
  <c r="L211" i="43"/>
  <c r="J211" i="43"/>
  <c r="I211" i="43"/>
  <c r="G211" i="43"/>
  <c r="F211" i="43"/>
  <c r="V210" i="43"/>
  <c r="U210" i="43"/>
  <c r="S210" i="43"/>
  <c r="R210" i="43"/>
  <c r="J210" i="43"/>
  <c r="I210" i="43"/>
  <c r="G210" i="43"/>
  <c r="F210" i="43"/>
  <c r="V209" i="43"/>
  <c r="U209" i="43"/>
  <c r="S209" i="43"/>
  <c r="R209" i="43"/>
  <c r="J209" i="43"/>
  <c r="I209" i="43"/>
  <c r="G209" i="43"/>
  <c r="F209" i="43"/>
  <c r="X205" i="43"/>
  <c r="V205" i="43"/>
  <c r="U205" i="43"/>
  <c r="S205" i="43"/>
  <c r="R205" i="43"/>
  <c r="M205" i="43"/>
  <c r="L205" i="43"/>
  <c r="K205" i="43"/>
  <c r="J205" i="43"/>
  <c r="I205" i="43"/>
  <c r="H205" i="43"/>
  <c r="G205" i="43"/>
  <c r="F205" i="43"/>
  <c r="V204" i="43"/>
  <c r="U204" i="43"/>
  <c r="S204" i="43"/>
  <c r="R204" i="43"/>
  <c r="K204" i="43"/>
  <c r="J204" i="43"/>
  <c r="I204" i="43"/>
  <c r="H204" i="43"/>
  <c r="G204" i="43"/>
  <c r="F204" i="43"/>
  <c r="V203" i="43"/>
  <c r="U203" i="43"/>
  <c r="S203" i="43"/>
  <c r="R203" i="43"/>
  <c r="K203" i="43"/>
  <c r="J203" i="43"/>
  <c r="I203" i="43"/>
  <c r="H203" i="43"/>
  <c r="G203" i="43"/>
  <c r="F203" i="43"/>
  <c r="X198" i="43"/>
  <c r="V198" i="43"/>
  <c r="U198" i="43"/>
  <c r="S198" i="43"/>
  <c r="R198" i="43"/>
  <c r="L198" i="43"/>
  <c r="J198" i="43"/>
  <c r="I198" i="43"/>
  <c r="G198" i="43"/>
  <c r="F198" i="43"/>
  <c r="V197" i="43"/>
  <c r="U197" i="43"/>
  <c r="S197" i="43"/>
  <c r="R197" i="43"/>
  <c r="J197" i="43"/>
  <c r="I197" i="43"/>
  <c r="G197" i="43"/>
  <c r="F197" i="43"/>
  <c r="V196" i="43"/>
  <c r="U196" i="43"/>
  <c r="S196" i="43"/>
  <c r="R196" i="43"/>
  <c r="J196" i="43"/>
  <c r="I196" i="43"/>
  <c r="G196" i="43"/>
  <c r="F196" i="43"/>
  <c r="X192" i="43"/>
  <c r="V192" i="43"/>
  <c r="U192" i="43"/>
  <c r="S192" i="43"/>
  <c r="R192" i="43"/>
  <c r="M192" i="43"/>
  <c r="L192" i="43"/>
  <c r="K192" i="43"/>
  <c r="J192" i="43"/>
  <c r="I192" i="43"/>
  <c r="H192" i="43"/>
  <c r="G192" i="43"/>
  <c r="F192" i="43"/>
  <c r="V191" i="43"/>
  <c r="U191" i="43"/>
  <c r="S191" i="43"/>
  <c r="R191" i="43"/>
  <c r="K191" i="43"/>
  <c r="J191" i="43"/>
  <c r="I191" i="43"/>
  <c r="H191" i="43"/>
  <c r="G191" i="43"/>
  <c r="F191" i="43"/>
  <c r="V190" i="43"/>
  <c r="U190" i="43"/>
  <c r="S190" i="43"/>
  <c r="R190" i="43"/>
  <c r="K190" i="43"/>
  <c r="J190" i="43"/>
  <c r="I190" i="43"/>
  <c r="H190" i="43"/>
  <c r="G190" i="43"/>
  <c r="F190" i="43"/>
  <c r="X185" i="43"/>
  <c r="V185" i="43"/>
  <c r="U185" i="43"/>
  <c r="S185" i="43"/>
  <c r="R185" i="43"/>
  <c r="L185" i="43"/>
  <c r="J185" i="43"/>
  <c r="I185" i="43"/>
  <c r="G185" i="43"/>
  <c r="F185" i="43"/>
  <c r="V184" i="43"/>
  <c r="U184" i="43"/>
  <c r="S184" i="43"/>
  <c r="R184" i="43"/>
  <c r="J184" i="43"/>
  <c r="I184" i="43"/>
  <c r="G184" i="43"/>
  <c r="F184" i="43"/>
  <c r="V183" i="43"/>
  <c r="U183" i="43"/>
  <c r="S183" i="43"/>
  <c r="R183" i="43"/>
  <c r="J183" i="43"/>
  <c r="I183" i="43"/>
  <c r="G183" i="43"/>
  <c r="F183" i="43"/>
  <c r="X179" i="43"/>
  <c r="V179" i="43"/>
  <c r="U179" i="43"/>
  <c r="S179" i="43"/>
  <c r="R179" i="43"/>
  <c r="M179" i="43"/>
  <c r="L179" i="43"/>
  <c r="K179" i="43"/>
  <c r="J179" i="43"/>
  <c r="I179" i="43"/>
  <c r="H179" i="43"/>
  <c r="G179" i="43"/>
  <c r="F179" i="43"/>
  <c r="V178" i="43"/>
  <c r="U178" i="43"/>
  <c r="S178" i="43"/>
  <c r="R178" i="43"/>
  <c r="K178" i="43"/>
  <c r="J178" i="43"/>
  <c r="I178" i="43"/>
  <c r="H178" i="43"/>
  <c r="G178" i="43"/>
  <c r="F178" i="43"/>
  <c r="V177" i="43"/>
  <c r="U177" i="43"/>
  <c r="S177" i="43"/>
  <c r="R177" i="43"/>
  <c r="K177" i="43"/>
  <c r="J177" i="43"/>
  <c r="I177" i="43"/>
  <c r="H177" i="43"/>
  <c r="G177" i="43"/>
  <c r="F177" i="43"/>
  <c r="X172" i="43"/>
  <c r="V172" i="43"/>
  <c r="U172" i="43"/>
  <c r="S172" i="43"/>
  <c r="R172" i="43"/>
  <c r="L172" i="43"/>
  <c r="J172" i="43"/>
  <c r="I172" i="43"/>
  <c r="G172" i="43"/>
  <c r="F172" i="43"/>
  <c r="V171" i="43"/>
  <c r="U171" i="43"/>
  <c r="S171" i="43"/>
  <c r="R171" i="43"/>
  <c r="J171" i="43"/>
  <c r="I171" i="43"/>
  <c r="G171" i="43"/>
  <c r="F171" i="43"/>
  <c r="V170" i="43"/>
  <c r="U170" i="43"/>
  <c r="S170" i="43"/>
  <c r="R170" i="43"/>
  <c r="J170" i="43"/>
  <c r="I170" i="43"/>
  <c r="G170" i="43"/>
  <c r="F170" i="43"/>
  <c r="X166" i="43"/>
  <c r="V166" i="43"/>
  <c r="U166" i="43"/>
  <c r="S166" i="43"/>
  <c r="R166" i="43"/>
  <c r="M166" i="43"/>
  <c r="L166" i="43"/>
  <c r="K166" i="43"/>
  <c r="J166" i="43"/>
  <c r="I166" i="43"/>
  <c r="H166" i="43"/>
  <c r="G166" i="43"/>
  <c r="F166" i="43"/>
  <c r="V165" i="43"/>
  <c r="U165" i="43"/>
  <c r="S165" i="43"/>
  <c r="R165" i="43"/>
  <c r="K165" i="43"/>
  <c r="J165" i="43"/>
  <c r="I165" i="43"/>
  <c r="H165" i="43"/>
  <c r="G165" i="43"/>
  <c r="F165" i="43"/>
  <c r="V164" i="43"/>
  <c r="U164" i="43"/>
  <c r="S164" i="43"/>
  <c r="R164" i="43"/>
  <c r="K164" i="43"/>
  <c r="J164" i="43"/>
  <c r="I164" i="43"/>
  <c r="H164" i="43"/>
  <c r="G164" i="43"/>
  <c r="F164" i="43"/>
  <c r="X159" i="43"/>
  <c r="V159" i="43"/>
  <c r="U159" i="43"/>
  <c r="S159" i="43"/>
  <c r="R159" i="43"/>
  <c r="L159" i="43"/>
  <c r="J159" i="43"/>
  <c r="I159" i="43"/>
  <c r="G159" i="43"/>
  <c r="F159" i="43"/>
  <c r="V158" i="43"/>
  <c r="U158" i="43"/>
  <c r="S158" i="43"/>
  <c r="R158" i="43"/>
  <c r="J158" i="43"/>
  <c r="I158" i="43"/>
  <c r="G158" i="43"/>
  <c r="F158" i="43"/>
  <c r="V157" i="43"/>
  <c r="U157" i="43"/>
  <c r="S157" i="43"/>
  <c r="R157" i="43"/>
  <c r="J157" i="43"/>
  <c r="I157" i="43"/>
  <c r="G157" i="43"/>
  <c r="F157" i="43"/>
  <c r="X153" i="43"/>
  <c r="V153" i="43"/>
  <c r="U153" i="43"/>
  <c r="S153" i="43"/>
  <c r="R153" i="43"/>
  <c r="M153" i="43"/>
  <c r="L153" i="43"/>
  <c r="K153" i="43"/>
  <c r="J153" i="43"/>
  <c r="I153" i="43"/>
  <c r="H153" i="43"/>
  <c r="G153" i="43"/>
  <c r="F153" i="43"/>
  <c r="V152" i="43"/>
  <c r="U152" i="43"/>
  <c r="S152" i="43"/>
  <c r="R152" i="43"/>
  <c r="K152" i="43"/>
  <c r="J152" i="43"/>
  <c r="I152" i="43"/>
  <c r="H152" i="43"/>
  <c r="G152" i="43"/>
  <c r="F152" i="43"/>
  <c r="V151" i="43"/>
  <c r="U151" i="43"/>
  <c r="S151" i="43"/>
  <c r="R151" i="43"/>
  <c r="K151" i="43"/>
  <c r="J151" i="43"/>
  <c r="I151" i="43"/>
  <c r="H151" i="43"/>
  <c r="G151" i="43"/>
  <c r="F151" i="43"/>
  <c r="X146" i="43"/>
  <c r="V146" i="43"/>
  <c r="U146" i="43"/>
  <c r="S146" i="43"/>
  <c r="R146" i="43"/>
  <c r="L146" i="43"/>
  <c r="J146" i="43"/>
  <c r="I146" i="43"/>
  <c r="G146" i="43"/>
  <c r="F146" i="43"/>
  <c r="V145" i="43"/>
  <c r="U145" i="43"/>
  <c r="S145" i="43"/>
  <c r="R145" i="43"/>
  <c r="J145" i="43"/>
  <c r="I145" i="43"/>
  <c r="G145" i="43"/>
  <c r="F145" i="43"/>
  <c r="V144" i="43"/>
  <c r="U144" i="43"/>
  <c r="S144" i="43"/>
  <c r="R144" i="43"/>
  <c r="J144" i="43"/>
  <c r="I144" i="43"/>
  <c r="G144" i="43"/>
  <c r="F144" i="43"/>
  <c r="X140" i="43"/>
  <c r="V140" i="43"/>
  <c r="U140" i="43"/>
  <c r="S140" i="43"/>
  <c r="R140" i="43"/>
  <c r="M140" i="43"/>
  <c r="L140" i="43"/>
  <c r="K140" i="43"/>
  <c r="J140" i="43"/>
  <c r="I140" i="43"/>
  <c r="H140" i="43"/>
  <c r="G140" i="43"/>
  <c r="F140" i="43"/>
  <c r="V139" i="43"/>
  <c r="U139" i="43"/>
  <c r="S139" i="43"/>
  <c r="R139" i="43"/>
  <c r="K139" i="43"/>
  <c r="J139" i="43"/>
  <c r="I139" i="43"/>
  <c r="H139" i="43"/>
  <c r="G139" i="43"/>
  <c r="F139" i="43"/>
  <c r="V138" i="43"/>
  <c r="U138" i="43"/>
  <c r="S138" i="43"/>
  <c r="R138" i="43"/>
  <c r="K138" i="43"/>
  <c r="J138" i="43"/>
  <c r="I138" i="43"/>
  <c r="H138" i="43"/>
  <c r="G138" i="43"/>
  <c r="F138" i="43"/>
  <c r="X133" i="43"/>
  <c r="V133" i="43"/>
  <c r="U133" i="43"/>
  <c r="S133" i="43"/>
  <c r="R133" i="43"/>
  <c r="L133" i="43"/>
  <c r="J133" i="43"/>
  <c r="I133" i="43"/>
  <c r="G133" i="43"/>
  <c r="F133" i="43"/>
  <c r="V132" i="43"/>
  <c r="U132" i="43"/>
  <c r="S132" i="43"/>
  <c r="R132" i="43"/>
  <c r="J132" i="43"/>
  <c r="I132" i="43"/>
  <c r="G132" i="43"/>
  <c r="F132" i="43"/>
  <c r="V131" i="43"/>
  <c r="U131" i="43"/>
  <c r="S131" i="43"/>
  <c r="R131" i="43"/>
  <c r="J131" i="43"/>
  <c r="I131" i="43"/>
  <c r="G131" i="43"/>
  <c r="F131" i="43"/>
  <c r="X127" i="43"/>
  <c r="V127" i="43"/>
  <c r="U127" i="43"/>
  <c r="S127" i="43"/>
  <c r="R127" i="43"/>
  <c r="M127" i="43"/>
  <c r="L127" i="43"/>
  <c r="K127" i="43"/>
  <c r="J127" i="43"/>
  <c r="I127" i="43"/>
  <c r="H127" i="43"/>
  <c r="G127" i="43"/>
  <c r="F127" i="43"/>
  <c r="V126" i="43"/>
  <c r="U126" i="43"/>
  <c r="S126" i="43"/>
  <c r="R126" i="43"/>
  <c r="K126" i="43"/>
  <c r="J126" i="43"/>
  <c r="I126" i="43"/>
  <c r="H126" i="43"/>
  <c r="G126" i="43"/>
  <c r="F126" i="43"/>
  <c r="V125" i="43"/>
  <c r="U125" i="43"/>
  <c r="S125" i="43"/>
  <c r="R125" i="43"/>
  <c r="K125" i="43"/>
  <c r="J125" i="43"/>
  <c r="I125" i="43"/>
  <c r="H125" i="43"/>
  <c r="G125" i="43"/>
  <c r="F125" i="43"/>
  <c r="X120" i="43"/>
  <c r="V120" i="43"/>
  <c r="U120" i="43"/>
  <c r="S120" i="43"/>
  <c r="R120" i="43"/>
  <c r="L120" i="43"/>
  <c r="J120" i="43"/>
  <c r="I120" i="43"/>
  <c r="G120" i="43"/>
  <c r="F120" i="43"/>
  <c r="V119" i="43"/>
  <c r="U119" i="43"/>
  <c r="S119" i="43"/>
  <c r="R119" i="43"/>
  <c r="J119" i="43"/>
  <c r="I119" i="43"/>
  <c r="G119" i="43"/>
  <c r="F119" i="43"/>
  <c r="V118" i="43"/>
  <c r="U118" i="43"/>
  <c r="S118" i="43"/>
  <c r="R118" i="43"/>
  <c r="J118" i="43"/>
  <c r="I118" i="43"/>
  <c r="G118" i="43"/>
  <c r="F118" i="43"/>
  <c r="X114" i="43"/>
  <c r="V114" i="43"/>
  <c r="U114" i="43"/>
  <c r="S114" i="43"/>
  <c r="R114" i="43"/>
  <c r="M114" i="43"/>
  <c r="L114" i="43"/>
  <c r="K114" i="43"/>
  <c r="J114" i="43"/>
  <c r="I114" i="43"/>
  <c r="H114" i="43"/>
  <c r="G114" i="43"/>
  <c r="F114" i="43"/>
  <c r="V113" i="43"/>
  <c r="U113" i="43"/>
  <c r="S113" i="43"/>
  <c r="R113" i="43"/>
  <c r="K113" i="43"/>
  <c r="J113" i="43"/>
  <c r="I113" i="43"/>
  <c r="H113" i="43"/>
  <c r="G113" i="43"/>
  <c r="F113" i="43"/>
  <c r="V112" i="43"/>
  <c r="U112" i="43"/>
  <c r="S112" i="43"/>
  <c r="R112" i="43"/>
  <c r="K112" i="43"/>
  <c r="J112" i="43"/>
  <c r="I112" i="43"/>
  <c r="H112" i="43"/>
  <c r="G112" i="43"/>
  <c r="F112" i="43"/>
  <c r="X107" i="43"/>
  <c r="V107" i="43"/>
  <c r="U107" i="43"/>
  <c r="S107" i="43"/>
  <c r="R107" i="43"/>
  <c r="L107" i="43"/>
  <c r="J107" i="43"/>
  <c r="I107" i="43"/>
  <c r="G107" i="43"/>
  <c r="F107" i="43"/>
  <c r="V106" i="43"/>
  <c r="U106" i="43"/>
  <c r="S106" i="43"/>
  <c r="R106" i="43"/>
  <c r="J106" i="43"/>
  <c r="I106" i="43"/>
  <c r="G106" i="43"/>
  <c r="F106" i="43"/>
  <c r="V105" i="43"/>
  <c r="U105" i="43"/>
  <c r="S105" i="43"/>
  <c r="R105" i="43"/>
  <c r="J105" i="43"/>
  <c r="I105" i="43"/>
  <c r="G105" i="43"/>
  <c r="F105" i="43"/>
  <c r="X101" i="43"/>
  <c r="V101" i="43"/>
  <c r="U101" i="43"/>
  <c r="S101" i="43"/>
  <c r="R101" i="43"/>
  <c r="M101" i="43"/>
  <c r="L101" i="43"/>
  <c r="K101" i="43"/>
  <c r="J101" i="43"/>
  <c r="I101" i="43"/>
  <c r="H101" i="43"/>
  <c r="G101" i="43"/>
  <c r="F101" i="43"/>
  <c r="V100" i="43"/>
  <c r="U100" i="43"/>
  <c r="S100" i="43"/>
  <c r="R100" i="43"/>
  <c r="K100" i="43"/>
  <c r="J100" i="43"/>
  <c r="I100" i="43"/>
  <c r="H100" i="43"/>
  <c r="G100" i="43"/>
  <c r="F100" i="43"/>
  <c r="V99" i="43"/>
  <c r="U99" i="43"/>
  <c r="S99" i="43"/>
  <c r="R99" i="43"/>
  <c r="K99" i="43"/>
  <c r="J99" i="43"/>
  <c r="I99" i="43"/>
  <c r="H99" i="43"/>
  <c r="G99" i="43"/>
  <c r="F99" i="43"/>
  <c r="X94" i="43"/>
  <c r="V94" i="43"/>
  <c r="U94" i="43"/>
  <c r="S94" i="43"/>
  <c r="R94" i="43"/>
  <c r="L94" i="43"/>
  <c r="J94" i="43"/>
  <c r="I94" i="43"/>
  <c r="G94" i="43"/>
  <c r="F94" i="43"/>
  <c r="V93" i="43"/>
  <c r="U93" i="43"/>
  <c r="S93" i="43"/>
  <c r="R93" i="43"/>
  <c r="J93" i="43"/>
  <c r="I93" i="43"/>
  <c r="G93" i="43"/>
  <c r="F93" i="43"/>
  <c r="V92" i="43"/>
  <c r="U92" i="43"/>
  <c r="S92" i="43"/>
  <c r="R92" i="43"/>
  <c r="J92" i="43"/>
  <c r="I92" i="43"/>
  <c r="G92" i="43"/>
  <c r="F92" i="43"/>
  <c r="X88" i="43"/>
  <c r="V88" i="43"/>
  <c r="U88" i="43"/>
  <c r="S88" i="43"/>
  <c r="R88" i="43"/>
  <c r="M88" i="43"/>
  <c r="L88" i="43"/>
  <c r="K88" i="43"/>
  <c r="J88" i="43"/>
  <c r="I88" i="43"/>
  <c r="H88" i="43"/>
  <c r="G88" i="43"/>
  <c r="F88" i="43"/>
  <c r="V87" i="43"/>
  <c r="U87" i="43"/>
  <c r="S87" i="43"/>
  <c r="R87" i="43"/>
  <c r="K87" i="43"/>
  <c r="J87" i="43"/>
  <c r="I87" i="43"/>
  <c r="H87" i="43"/>
  <c r="G87" i="43"/>
  <c r="F87" i="43"/>
  <c r="V86" i="43"/>
  <c r="U86" i="43"/>
  <c r="S86" i="43"/>
  <c r="R86" i="43"/>
  <c r="K86" i="43"/>
  <c r="J86" i="43"/>
  <c r="I86" i="43"/>
  <c r="H86" i="43"/>
  <c r="G86" i="43"/>
  <c r="F86" i="43"/>
  <c r="X81" i="43"/>
  <c r="V81" i="43"/>
  <c r="U81" i="43"/>
  <c r="S81" i="43"/>
  <c r="R81" i="43"/>
  <c r="L81" i="43"/>
  <c r="J81" i="43"/>
  <c r="I81" i="43"/>
  <c r="G81" i="43"/>
  <c r="F81" i="43"/>
  <c r="V80" i="43"/>
  <c r="U80" i="43"/>
  <c r="S80" i="43"/>
  <c r="R80" i="43"/>
  <c r="J80" i="43"/>
  <c r="I80" i="43"/>
  <c r="G80" i="43"/>
  <c r="F80" i="43"/>
  <c r="V79" i="43"/>
  <c r="U79" i="43"/>
  <c r="S79" i="43"/>
  <c r="R79" i="43"/>
  <c r="J79" i="43"/>
  <c r="I79" i="43"/>
  <c r="G79" i="43"/>
  <c r="F79" i="43"/>
  <c r="X75" i="43"/>
  <c r="V75" i="43"/>
  <c r="U75" i="43"/>
  <c r="S75" i="43"/>
  <c r="R75" i="43"/>
  <c r="M75" i="43"/>
  <c r="L75" i="43"/>
  <c r="K75" i="43"/>
  <c r="J75" i="43"/>
  <c r="I75" i="43"/>
  <c r="H75" i="43"/>
  <c r="G75" i="43"/>
  <c r="F75" i="43"/>
  <c r="V74" i="43"/>
  <c r="U74" i="43"/>
  <c r="S74" i="43"/>
  <c r="R74" i="43"/>
  <c r="K74" i="43"/>
  <c r="J74" i="43"/>
  <c r="I74" i="43"/>
  <c r="H74" i="43"/>
  <c r="G74" i="43"/>
  <c r="F74" i="43"/>
  <c r="V73" i="43"/>
  <c r="U73" i="43"/>
  <c r="S73" i="43"/>
  <c r="R73" i="43"/>
  <c r="K73" i="43"/>
  <c r="J73" i="43"/>
  <c r="I73" i="43"/>
  <c r="H73" i="43"/>
  <c r="G73" i="43"/>
  <c r="F73" i="43"/>
  <c r="X263" i="31"/>
  <c r="V263" i="31"/>
  <c r="U263" i="31"/>
  <c r="S263" i="31"/>
  <c r="R263" i="31"/>
  <c r="L263" i="31"/>
  <c r="J263" i="31"/>
  <c r="I263" i="31"/>
  <c r="G263" i="31"/>
  <c r="F263" i="31"/>
  <c r="V262" i="31"/>
  <c r="U262" i="31"/>
  <c r="S262" i="31"/>
  <c r="R262" i="31"/>
  <c r="J262" i="31"/>
  <c r="I262" i="31"/>
  <c r="G262" i="31"/>
  <c r="F262" i="31"/>
  <c r="V261" i="31"/>
  <c r="U261" i="31"/>
  <c r="S261" i="31"/>
  <c r="R261" i="31"/>
  <c r="J261" i="31"/>
  <c r="I261" i="31"/>
  <c r="G261" i="31"/>
  <c r="F261" i="31"/>
  <c r="X257" i="31"/>
  <c r="V257" i="31"/>
  <c r="U257" i="31"/>
  <c r="S257" i="31"/>
  <c r="R257" i="31"/>
  <c r="M257" i="31"/>
  <c r="L257" i="31"/>
  <c r="K257" i="31"/>
  <c r="J257" i="31"/>
  <c r="I257" i="31"/>
  <c r="H257" i="31"/>
  <c r="G257" i="31"/>
  <c r="F257" i="31"/>
  <c r="V256" i="31"/>
  <c r="U256" i="31"/>
  <c r="S256" i="31"/>
  <c r="R256" i="31"/>
  <c r="K256" i="31"/>
  <c r="J256" i="31"/>
  <c r="I256" i="31"/>
  <c r="H256" i="31"/>
  <c r="G256" i="31"/>
  <c r="F256" i="31"/>
  <c r="V255" i="31"/>
  <c r="U255" i="31"/>
  <c r="S255" i="31"/>
  <c r="R255" i="31"/>
  <c r="K255" i="31"/>
  <c r="J255" i="31"/>
  <c r="I255" i="31"/>
  <c r="H255" i="31"/>
  <c r="G255" i="31"/>
  <c r="F255" i="31"/>
  <c r="X250" i="31"/>
  <c r="V250" i="31"/>
  <c r="U250" i="31"/>
  <c r="S250" i="31"/>
  <c r="R250" i="31"/>
  <c r="L250" i="31"/>
  <c r="J250" i="31"/>
  <c r="I250" i="31"/>
  <c r="G250" i="31"/>
  <c r="F250" i="31"/>
  <c r="V249" i="31"/>
  <c r="U249" i="31"/>
  <c r="S249" i="31"/>
  <c r="R249" i="31"/>
  <c r="J249" i="31"/>
  <c r="I249" i="31"/>
  <c r="G249" i="31"/>
  <c r="F249" i="31"/>
  <c r="V248" i="31"/>
  <c r="U248" i="31"/>
  <c r="S248" i="31"/>
  <c r="R248" i="31"/>
  <c r="J248" i="31"/>
  <c r="I248" i="31"/>
  <c r="G248" i="31"/>
  <c r="F248" i="31"/>
  <c r="X244" i="31"/>
  <c r="V244" i="31"/>
  <c r="U244" i="31"/>
  <c r="S244" i="31"/>
  <c r="R244" i="31"/>
  <c r="M244" i="31"/>
  <c r="L244" i="31"/>
  <c r="K244" i="31"/>
  <c r="J244" i="31"/>
  <c r="I244" i="31"/>
  <c r="H244" i="31"/>
  <c r="G244" i="31"/>
  <c r="F244" i="31"/>
  <c r="V243" i="31"/>
  <c r="U243" i="31"/>
  <c r="S243" i="31"/>
  <c r="R243" i="31"/>
  <c r="K243" i="31"/>
  <c r="J243" i="31"/>
  <c r="I243" i="31"/>
  <c r="H243" i="31"/>
  <c r="G243" i="31"/>
  <c r="F243" i="31"/>
  <c r="V242" i="31"/>
  <c r="U242" i="31"/>
  <c r="S242" i="31"/>
  <c r="R242" i="31"/>
  <c r="K242" i="31"/>
  <c r="J242" i="31"/>
  <c r="I242" i="31"/>
  <c r="H242" i="31"/>
  <c r="G242" i="31"/>
  <c r="F242" i="31"/>
  <c r="X237" i="31"/>
  <c r="V237" i="31"/>
  <c r="U237" i="31"/>
  <c r="S237" i="31"/>
  <c r="R237" i="31"/>
  <c r="L237" i="31"/>
  <c r="J237" i="31"/>
  <c r="I237" i="31"/>
  <c r="G237" i="31"/>
  <c r="F237" i="31"/>
  <c r="V236" i="31"/>
  <c r="U236" i="31"/>
  <c r="S236" i="31"/>
  <c r="R236" i="31"/>
  <c r="J236" i="31"/>
  <c r="I236" i="31"/>
  <c r="G236" i="31"/>
  <c r="F236" i="31"/>
  <c r="V235" i="31"/>
  <c r="U235" i="31"/>
  <c r="S235" i="31"/>
  <c r="R235" i="31"/>
  <c r="J235" i="31"/>
  <c r="I235" i="31"/>
  <c r="G235" i="31"/>
  <c r="F235" i="31"/>
  <c r="X231" i="31"/>
  <c r="V231" i="31"/>
  <c r="U231" i="31"/>
  <c r="S231" i="31"/>
  <c r="R231" i="31"/>
  <c r="M231" i="31"/>
  <c r="L231" i="31"/>
  <c r="K231" i="31"/>
  <c r="J231" i="31"/>
  <c r="I231" i="31"/>
  <c r="H231" i="31"/>
  <c r="G231" i="31"/>
  <c r="F231" i="31"/>
  <c r="V230" i="31"/>
  <c r="U230" i="31"/>
  <c r="S230" i="31"/>
  <c r="R230" i="31"/>
  <c r="K230" i="31"/>
  <c r="J230" i="31"/>
  <c r="I230" i="31"/>
  <c r="H230" i="31"/>
  <c r="G230" i="31"/>
  <c r="F230" i="31"/>
  <c r="V229" i="31"/>
  <c r="U229" i="31"/>
  <c r="S229" i="31"/>
  <c r="R229" i="31"/>
  <c r="K229" i="31"/>
  <c r="J229" i="31"/>
  <c r="I229" i="31"/>
  <c r="H229" i="31"/>
  <c r="G229" i="31"/>
  <c r="F229" i="31"/>
  <c r="X224" i="31"/>
  <c r="V224" i="31"/>
  <c r="U224" i="31"/>
  <c r="S224" i="31"/>
  <c r="R224" i="31"/>
  <c r="L224" i="31"/>
  <c r="J224" i="31"/>
  <c r="I224" i="31"/>
  <c r="G224" i="31"/>
  <c r="F224" i="31"/>
  <c r="V223" i="31"/>
  <c r="U223" i="31"/>
  <c r="S223" i="31"/>
  <c r="R223" i="31"/>
  <c r="J223" i="31"/>
  <c r="I223" i="31"/>
  <c r="G223" i="31"/>
  <c r="F223" i="31"/>
  <c r="V222" i="31"/>
  <c r="U222" i="31"/>
  <c r="S222" i="31"/>
  <c r="R222" i="31"/>
  <c r="J222" i="31"/>
  <c r="I222" i="31"/>
  <c r="G222" i="31"/>
  <c r="F222" i="31"/>
  <c r="X218" i="31"/>
  <c r="V218" i="31"/>
  <c r="U218" i="31"/>
  <c r="S218" i="31"/>
  <c r="R218" i="31"/>
  <c r="M218" i="31"/>
  <c r="L218" i="31"/>
  <c r="K218" i="31"/>
  <c r="J218" i="31"/>
  <c r="I218" i="31"/>
  <c r="H218" i="31"/>
  <c r="G218" i="31"/>
  <c r="F218" i="31"/>
  <c r="V217" i="31"/>
  <c r="U217" i="31"/>
  <c r="S217" i="31"/>
  <c r="R217" i="31"/>
  <c r="K217" i="31"/>
  <c r="J217" i="31"/>
  <c r="I217" i="31"/>
  <c r="H217" i="31"/>
  <c r="G217" i="31"/>
  <c r="F217" i="31"/>
  <c r="V216" i="31"/>
  <c r="U216" i="31"/>
  <c r="S216" i="31"/>
  <c r="R216" i="31"/>
  <c r="K216" i="31"/>
  <c r="J216" i="31"/>
  <c r="I216" i="31"/>
  <c r="H216" i="31"/>
  <c r="G216" i="31"/>
  <c r="F216" i="31"/>
  <c r="X211" i="31"/>
  <c r="V211" i="31"/>
  <c r="U211" i="31"/>
  <c r="S211" i="31"/>
  <c r="R211" i="31"/>
  <c r="L211" i="31"/>
  <c r="J211" i="31"/>
  <c r="I211" i="31"/>
  <c r="G211" i="31"/>
  <c r="F211" i="31"/>
  <c r="V210" i="31"/>
  <c r="U210" i="31"/>
  <c r="S210" i="31"/>
  <c r="R210" i="31"/>
  <c r="J210" i="31"/>
  <c r="I210" i="31"/>
  <c r="G210" i="31"/>
  <c r="F210" i="31"/>
  <c r="V209" i="31"/>
  <c r="U209" i="31"/>
  <c r="S209" i="31"/>
  <c r="R209" i="31"/>
  <c r="J209" i="31"/>
  <c r="I209" i="31"/>
  <c r="G209" i="31"/>
  <c r="F209" i="31"/>
  <c r="X205" i="31"/>
  <c r="V205" i="31"/>
  <c r="U205" i="31"/>
  <c r="S205" i="31"/>
  <c r="R205" i="31"/>
  <c r="M205" i="31"/>
  <c r="L205" i="31"/>
  <c r="K205" i="31"/>
  <c r="J205" i="31"/>
  <c r="I205" i="31"/>
  <c r="H205" i="31"/>
  <c r="G205" i="31"/>
  <c r="F205" i="31"/>
  <c r="V204" i="31"/>
  <c r="U204" i="31"/>
  <c r="S204" i="31"/>
  <c r="R204" i="31"/>
  <c r="K204" i="31"/>
  <c r="J204" i="31"/>
  <c r="I204" i="31"/>
  <c r="H204" i="31"/>
  <c r="G204" i="31"/>
  <c r="F204" i="31"/>
  <c r="V203" i="31"/>
  <c r="U203" i="31"/>
  <c r="S203" i="31"/>
  <c r="R203" i="31"/>
  <c r="K203" i="31"/>
  <c r="J203" i="31"/>
  <c r="I203" i="31"/>
  <c r="H203" i="31"/>
  <c r="G203" i="31"/>
  <c r="F203" i="31"/>
  <c r="X198" i="31"/>
  <c r="V198" i="31"/>
  <c r="U198" i="31"/>
  <c r="S198" i="31"/>
  <c r="R198" i="31"/>
  <c r="L198" i="31"/>
  <c r="J198" i="31"/>
  <c r="I198" i="31"/>
  <c r="G198" i="31"/>
  <c r="F198" i="31"/>
  <c r="V197" i="31"/>
  <c r="U197" i="31"/>
  <c r="S197" i="31"/>
  <c r="R197" i="31"/>
  <c r="J197" i="31"/>
  <c r="I197" i="31"/>
  <c r="G197" i="31"/>
  <c r="F197" i="31"/>
  <c r="V196" i="31"/>
  <c r="U196" i="31"/>
  <c r="S196" i="31"/>
  <c r="R196" i="31"/>
  <c r="J196" i="31"/>
  <c r="I196" i="31"/>
  <c r="G196" i="31"/>
  <c r="F196" i="31"/>
  <c r="X192" i="31"/>
  <c r="V192" i="31"/>
  <c r="U192" i="31"/>
  <c r="S192" i="31"/>
  <c r="R192" i="31"/>
  <c r="M192" i="31"/>
  <c r="L192" i="31"/>
  <c r="K192" i="31"/>
  <c r="J192" i="31"/>
  <c r="I192" i="31"/>
  <c r="H192" i="31"/>
  <c r="G192" i="31"/>
  <c r="F192" i="31"/>
  <c r="V191" i="31"/>
  <c r="U191" i="31"/>
  <c r="S191" i="31"/>
  <c r="R191" i="31"/>
  <c r="K191" i="31"/>
  <c r="J191" i="31"/>
  <c r="I191" i="31"/>
  <c r="H191" i="31"/>
  <c r="G191" i="31"/>
  <c r="F191" i="31"/>
  <c r="V190" i="31"/>
  <c r="U190" i="31"/>
  <c r="S190" i="31"/>
  <c r="R190" i="31"/>
  <c r="K190" i="31"/>
  <c r="J190" i="31"/>
  <c r="I190" i="31"/>
  <c r="H190" i="31"/>
  <c r="G190" i="31"/>
  <c r="F190" i="31"/>
  <c r="X185" i="31"/>
  <c r="V185" i="31"/>
  <c r="U185" i="31"/>
  <c r="S185" i="31"/>
  <c r="R185" i="31"/>
  <c r="L185" i="31"/>
  <c r="J185" i="31"/>
  <c r="I185" i="31"/>
  <c r="G185" i="31"/>
  <c r="F185" i="31"/>
  <c r="V184" i="31"/>
  <c r="U184" i="31"/>
  <c r="S184" i="31"/>
  <c r="R184" i="31"/>
  <c r="J184" i="31"/>
  <c r="I184" i="31"/>
  <c r="G184" i="31"/>
  <c r="F184" i="31"/>
  <c r="V183" i="31"/>
  <c r="U183" i="31"/>
  <c r="S183" i="31"/>
  <c r="R183" i="31"/>
  <c r="J183" i="31"/>
  <c r="I183" i="31"/>
  <c r="G183" i="31"/>
  <c r="F183" i="31"/>
  <c r="X179" i="31"/>
  <c r="V179" i="31"/>
  <c r="U179" i="31"/>
  <c r="S179" i="31"/>
  <c r="R179" i="31"/>
  <c r="M179" i="31"/>
  <c r="L179" i="31"/>
  <c r="K179" i="31"/>
  <c r="J179" i="31"/>
  <c r="I179" i="31"/>
  <c r="H179" i="31"/>
  <c r="G179" i="31"/>
  <c r="F179" i="31"/>
  <c r="V178" i="31"/>
  <c r="U178" i="31"/>
  <c r="S178" i="31"/>
  <c r="R178" i="31"/>
  <c r="K178" i="31"/>
  <c r="J178" i="31"/>
  <c r="I178" i="31"/>
  <c r="H178" i="31"/>
  <c r="G178" i="31"/>
  <c r="F178" i="31"/>
  <c r="V177" i="31"/>
  <c r="U177" i="31"/>
  <c r="S177" i="31"/>
  <c r="R177" i="31"/>
  <c r="K177" i="31"/>
  <c r="J177" i="31"/>
  <c r="I177" i="31"/>
  <c r="H177" i="31"/>
  <c r="G177" i="31"/>
  <c r="F177" i="31"/>
  <c r="X172" i="31"/>
  <c r="V172" i="31"/>
  <c r="U172" i="31"/>
  <c r="S172" i="31"/>
  <c r="R172" i="31"/>
  <c r="L172" i="31"/>
  <c r="J172" i="31"/>
  <c r="I172" i="31"/>
  <c r="G172" i="31"/>
  <c r="F172" i="31"/>
  <c r="V171" i="31"/>
  <c r="U171" i="31"/>
  <c r="S171" i="31"/>
  <c r="R171" i="31"/>
  <c r="J171" i="31"/>
  <c r="I171" i="31"/>
  <c r="G171" i="31"/>
  <c r="F171" i="31"/>
  <c r="V170" i="31"/>
  <c r="U170" i="31"/>
  <c r="S170" i="31"/>
  <c r="R170" i="31"/>
  <c r="J170" i="31"/>
  <c r="I170" i="31"/>
  <c r="G170" i="31"/>
  <c r="F170" i="31"/>
  <c r="X166" i="31"/>
  <c r="V166" i="31"/>
  <c r="U166" i="31"/>
  <c r="S166" i="31"/>
  <c r="R166" i="31"/>
  <c r="M166" i="31"/>
  <c r="L166" i="31"/>
  <c r="K166" i="31"/>
  <c r="J166" i="31"/>
  <c r="I166" i="31"/>
  <c r="H166" i="31"/>
  <c r="G166" i="31"/>
  <c r="F166" i="31"/>
  <c r="V165" i="31"/>
  <c r="U165" i="31"/>
  <c r="S165" i="31"/>
  <c r="R165" i="31"/>
  <c r="K165" i="31"/>
  <c r="J165" i="31"/>
  <c r="I165" i="31"/>
  <c r="H165" i="31"/>
  <c r="G165" i="31"/>
  <c r="F165" i="31"/>
  <c r="V164" i="31"/>
  <c r="U164" i="31"/>
  <c r="S164" i="31"/>
  <c r="R164" i="31"/>
  <c r="K164" i="31"/>
  <c r="J164" i="31"/>
  <c r="I164" i="31"/>
  <c r="H164" i="31"/>
  <c r="G164" i="31"/>
  <c r="F164" i="31"/>
  <c r="X159" i="31"/>
  <c r="V159" i="31"/>
  <c r="U159" i="31"/>
  <c r="S159" i="31"/>
  <c r="R159" i="31"/>
  <c r="L159" i="31"/>
  <c r="J159" i="31"/>
  <c r="I159" i="31"/>
  <c r="G159" i="31"/>
  <c r="F159" i="31"/>
  <c r="V158" i="31"/>
  <c r="U158" i="31"/>
  <c r="S158" i="31"/>
  <c r="R158" i="31"/>
  <c r="J158" i="31"/>
  <c r="I158" i="31"/>
  <c r="G158" i="31"/>
  <c r="F158" i="31"/>
  <c r="V157" i="31"/>
  <c r="U157" i="31"/>
  <c r="S157" i="31"/>
  <c r="R157" i="31"/>
  <c r="J157" i="31"/>
  <c r="I157" i="31"/>
  <c r="G157" i="31"/>
  <c r="F157" i="31"/>
  <c r="X153" i="31"/>
  <c r="V153" i="31"/>
  <c r="U153" i="31"/>
  <c r="S153" i="31"/>
  <c r="R153" i="31"/>
  <c r="M153" i="31"/>
  <c r="L153" i="31"/>
  <c r="K153" i="31"/>
  <c r="J153" i="31"/>
  <c r="I153" i="31"/>
  <c r="H153" i="31"/>
  <c r="G153" i="31"/>
  <c r="F153" i="31"/>
  <c r="V152" i="31"/>
  <c r="U152" i="31"/>
  <c r="S152" i="31"/>
  <c r="R152" i="31"/>
  <c r="K152" i="31"/>
  <c r="J152" i="31"/>
  <c r="I152" i="31"/>
  <c r="H152" i="31"/>
  <c r="G152" i="31"/>
  <c r="F152" i="31"/>
  <c r="V151" i="31"/>
  <c r="U151" i="31"/>
  <c r="S151" i="31"/>
  <c r="R151" i="31"/>
  <c r="K151" i="31"/>
  <c r="J151" i="31"/>
  <c r="I151" i="31"/>
  <c r="H151" i="31"/>
  <c r="G151" i="31"/>
  <c r="F151" i="31"/>
  <c r="X146" i="31"/>
  <c r="V146" i="31"/>
  <c r="U146" i="31"/>
  <c r="S146" i="31"/>
  <c r="R146" i="31"/>
  <c r="L146" i="31"/>
  <c r="J146" i="31"/>
  <c r="I146" i="31"/>
  <c r="G146" i="31"/>
  <c r="F146" i="31"/>
  <c r="V145" i="31"/>
  <c r="U145" i="31"/>
  <c r="S145" i="31"/>
  <c r="R145" i="31"/>
  <c r="J145" i="31"/>
  <c r="I145" i="31"/>
  <c r="G145" i="31"/>
  <c r="F145" i="31"/>
  <c r="V144" i="31"/>
  <c r="U144" i="31"/>
  <c r="S144" i="31"/>
  <c r="R144" i="31"/>
  <c r="J144" i="31"/>
  <c r="I144" i="31"/>
  <c r="G144" i="31"/>
  <c r="F144" i="31"/>
  <c r="X140" i="31"/>
  <c r="V140" i="31"/>
  <c r="U140" i="31"/>
  <c r="S140" i="31"/>
  <c r="R140" i="31"/>
  <c r="M140" i="31"/>
  <c r="L140" i="31"/>
  <c r="K140" i="31"/>
  <c r="J140" i="31"/>
  <c r="I140" i="31"/>
  <c r="H140" i="31"/>
  <c r="G140" i="31"/>
  <c r="F140" i="31"/>
  <c r="V139" i="31"/>
  <c r="U139" i="31"/>
  <c r="S139" i="31"/>
  <c r="R139" i="31"/>
  <c r="K139" i="31"/>
  <c r="J139" i="31"/>
  <c r="I139" i="31"/>
  <c r="H139" i="31"/>
  <c r="G139" i="31"/>
  <c r="F139" i="31"/>
  <c r="V138" i="31"/>
  <c r="U138" i="31"/>
  <c r="S138" i="31"/>
  <c r="R138" i="31"/>
  <c r="K138" i="31"/>
  <c r="J138" i="31"/>
  <c r="I138" i="31"/>
  <c r="H138" i="31"/>
  <c r="G138" i="31"/>
  <c r="F138" i="31"/>
  <c r="X133" i="31"/>
  <c r="V133" i="31"/>
  <c r="U133" i="31"/>
  <c r="S133" i="31"/>
  <c r="R133" i="31"/>
  <c r="L133" i="31"/>
  <c r="J133" i="31"/>
  <c r="I133" i="31"/>
  <c r="G133" i="31"/>
  <c r="F133" i="31"/>
  <c r="V132" i="31"/>
  <c r="U132" i="31"/>
  <c r="S132" i="31"/>
  <c r="R132" i="31"/>
  <c r="J132" i="31"/>
  <c r="I132" i="31"/>
  <c r="G132" i="31"/>
  <c r="F132" i="31"/>
  <c r="V131" i="31"/>
  <c r="U131" i="31"/>
  <c r="S131" i="31"/>
  <c r="R131" i="31"/>
  <c r="J131" i="31"/>
  <c r="I131" i="31"/>
  <c r="G131" i="31"/>
  <c r="F131" i="31"/>
  <c r="X127" i="31"/>
  <c r="V127" i="31"/>
  <c r="U127" i="31"/>
  <c r="S127" i="31"/>
  <c r="R127" i="31"/>
  <c r="M127" i="31"/>
  <c r="L127" i="31"/>
  <c r="K127" i="31"/>
  <c r="J127" i="31"/>
  <c r="I127" i="31"/>
  <c r="H127" i="31"/>
  <c r="G127" i="31"/>
  <c r="F127" i="31"/>
  <c r="V126" i="31"/>
  <c r="U126" i="31"/>
  <c r="S126" i="31"/>
  <c r="R126" i="31"/>
  <c r="K126" i="31"/>
  <c r="J126" i="31"/>
  <c r="I126" i="31"/>
  <c r="H126" i="31"/>
  <c r="G126" i="31"/>
  <c r="F126" i="31"/>
  <c r="V125" i="31"/>
  <c r="U125" i="31"/>
  <c r="S125" i="31"/>
  <c r="R125" i="31"/>
  <c r="K125" i="31"/>
  <c r="J125" i="31"/>
  <c r="I125" i="31"/>
  <c r="H125" i="31"/>
  <c r="G125" i="31"/>
  <c r="F125" i="31"/>
  <c r="X120" i="31"/>
  <c r="V120" i="31"/>
  <c r="U120" i="31"/>
  <c r="S120" i="31"/>
  <c r="R120" i="31"/>
  <c r="L120" i="31"/>
  <c r="J120" i="31"/>
  <c r="I120" i="31"/>
  <c r="G120" i="31"/>
  <c r="F120" i="31"/>
  <c r="V119" i="31"/>
  <c r="U119" i="31"/>
  <c r="S119" i="31"/>
  <c r="R119" i="31"/>
  <c r="J119" i="31"/>
  <c r="I119" i="31"/>
  <c r="G119" i="31"/>
  <c r="F119" i="31"/>
  <c r="V118" i="31"/>
  <c r="U118" i="31"/>
  <c r="S118" i="31"/>
  <c r="R118" i="31"/>
  <c r="J118" i="31"/>
  <c r="I118" i="31"/>
  <c r="G118" i="31"/>
  <c r="F118" i="31"/>
  <c r="X114" i="31"/>
  <c r="V114" i="31"/>
  <c r="U114" i="31"/>
  <c r="S114" i="31"/>
  <c r="R114" i="31"/>
  <c r="M114" i="31"/>
  <c r="L114" i="31"/>
  <c r="K114" i="31"/>
  <c r="J114" i="31"/>
  <c r="I114" i="31"/>
  <c r="H114" i="31"/>
  <c r="G114" i="31"/>
  <c r="F114" i="31"/>
  <c r="V113" i="31"/>
  <c r="U113" i="31"/>
  <c r="S113" i="31"/>
  <c r="R113" i="31"/>
  <c r="K113" i="31"/>
  <c r="J113" i="31"/>
  <c r="I113" i="31"/>
  <c r="H113" i="31"/>
  <c r="G113" i="31"/>
  <c r="F113" i="31"/>
  <c r="V112" i="31"/>
  <c r="U112" i="31"/>
  <c r="S112" i="31"/>
  <c r="R112" i="31"/>
  <c r="K112" i="31"/>
  <c r="J112" i="31"/>
  <c r="I112" i="31"/>
  <c r="H112" i="31"/>
  <c r="G112" i="31"/>
  <c r="F112" i="31"/>
  <c r="X107" i="31"/>
  <c r="V107" i="31"/>
  <c r="U107" i="31"/>
  <c r="S107" i="31"/>
  <c r="R107" i="31"/>
  <c r="L107" i="31"/>
  <c r="J107" i="31"/>
  <c r="I107" i="31"/>
  <c r="G107" i="31"/>
  <c r="F107" i="31"/>
  <c r="V106" i="31"/>
  <c r="U106" i="31"/>
  <c r="S106" i="31"/>
  <c r="R106" i="31"/>
  <c r="J106" i="31"/>
  <c r="I106" i="31"/>
  <c r="G106" i="31"/>
  <c r="F106" i="31"/>
  <c r="V105" i="31"/>
  <c r="U105" i="31"/>
  <c r="S105" i="31"/>
  <c r="R105" i="31"/>
  <c r="J105" i="31"/>
  <c r="I105" i="31"/>
  <c r="G105" i="31"/>
  <c r="F105" i="31"/>
  <c r="X101" i="31"/>
  <c r="V101" i="31"/>
  <c r="U101" i="31"/>
  <c r="S101" i="31"/>
  <c r="R101" i="31"/>
  <c r="M101" i="31"/>
  <c r="L101" i="31"/>
  <c r="K101" i="31"/>
  <c r="J101" i="31"/>
  <c r="I101" i="31"/>
  <c r="H101" i="31"/>
  <c r="G101" i="31"/>
  <c r="F101" i="31"/>
  <c r="V100" i="31"/>
  <c r="U100" i="31"/>
  <c r="S100" i="31"/>
  <c r="R100" i="31"/>
  <c r="K100" i="31"/>
  <c r="J100" i="31"/>
  <c r="I100" i="31"/>
  <c r="H100" i="31"/>
  <c r="G100" i="31"/>
  <c r="F100" i="31"/>
  <c r="V99" i="31"/>
  <c r="U99" i="31"/>
  <c r="S99" i="31"/>
  <c r="R99" i="31"/>
  <c r="K99" i="31"/>
  <c r="J99" i="31"/>
  <c r="I99" i="31"/>
  <c r="H99" i="31"/>
  <c r="G99" i="31"/>
  <c r="F99" i="31"/>
  <c r="X94" i="31"/>
  <c r="V94" i="31"/>
  <c r="U94" i="31"/>
  <c r="S94" i="31"/>
  <c r="R94" i="31"/>
  <c r="L94" i="31"/>
  <c r="J94" i="31"/>
  <c r="I94" i="31"/>
  <c r="G94" i="31"/>
  <c r="F94" i="31"/>
  <c r="V93" i="31"/>
  <c r="U93" i="31"/>
  <c r="S93" i="31"/>
  <c r="R93" i="31"/>
  <c r="J93" i="31"/>
  <c r="I93" i="31"/>
  <c r="G93" i="31"/>
  <c r="F93" i="31"/>
  <c r="V92" i="31"/>
  <c r="U92" i="31"/>
  <c r="S92" i="31"/>
  <c r="R92" i="31"/>
  <c r="J92" i="31"/>
  <c r="I92" i="31"/>
  <c r="G92" i="31"/>
  <c r="F92" i="31"/>
  <c r="X88" i="31"/>
  <c r="V88" i="31"/>
  <c r="U88" i="31"/>
  <c r="S88" i="31"/>
  <c r="R88" i="31"/>
  <c r="M88" i="31"/>
  <c r="L88" i="31"/>
  <c r="K88" i="31"/>
  <c r="J88" i="31"/>
  <c r="I88" i="31"/>
  <c r="H88" i="31"/>
  <c r="G88" i="31"/>
  <c r="F88" i="31"/>
  <c r="V87" i="31"/>
  <c r="U87" i="31"/>
  <c r="S87" i="31"/>
  <c r="R87" i="31"/>
  <c r="K87" i="31"/>
  <c r="J87" i="31"/>
  <c r="I87" i="31"/>
  <c r="H87" i="31"/>
  <c r="G87" i="31"/>
  <c r="F87" i="31"/>
  <c r="V86" i="31"/>
  <c r="U86" i="31"/>
  <c r="S86" i="31"/>
  <c r="R86" i="31"/>
  <c r="K86" i="31"/>
  <c r="J86" i="31"/>
  <c r="I86" i="31"/>
  <c r="H86" i="31"/>
  <c r="G86" i="31"/>
  <c r="F86" i="31"/>
  <c r="X81" i="31"/>
  <c r="V81" i="31"/>
  <c r="U81" i="31"/>
  <c r="S81" i="31"/>
  <c r="R81" i="31"/>
  <c r="L81" i="31"/>
  <c r="J81" i="31"/>
  <c r="I81" i="31"/>
  <c r="G81" i="31"/>
  <c r="F81" i="31"/>
  <c r="V80" i="31"/>
  <c r="U80" i="31"/>
  <c r="S80" i="31"/>
  <c r="R80" i="31"/>
  <c r="J80" i="31"/>
  <c r="I80" i="31"/>
  <c r="G80" i="31"/>
  <c r="F80" i="31"/>
  <c r="V79" i="31"/>
  <c r="U79" i="31"/>
  <c r="S79" i="31"/>
  <c r="R79" i="31"/>
  <c r="J79" i="31"/>
  <c r="I79" i="31"/>
  <c r="G79" i="31"/>
  <c r="F79" i="31"/>
  <c r="X75" i="31"/>
  <c r="V75" i="31"/>
  <c r="U75" i="31"/>
  <c r="S75" i="31"/>
  <c r="R75" i="31"/>
  <c r="M75" i="31"/>
  <c r="L75" i="31"/>
  <c r="K75" i="31"/>
  <c r="J75" i="31"/>
  <c r="I75" i="31"/>
  <c r="H75" i="31"/>
  <c r="G75" i="31"/>
  <c r="F75" i="31"/>
  <c r="V74" i="31"/>
  <c r="U74" i="31"/>
  <c r="S74" i="31"/>
  <c r="R74" i="31"/>
  <c r="K74" i="31"/>
  <c r="J74" i="31"/>
  <c r="I74" i="31"/>
  <c r="H74" i="31"/>
  <c r="G74" i="31"/>
  <c r="F74" i="31"/>
  <c r="V73" i="31"/>
  <c r="U73" i="31"/>
  <c r="S73" i="31"/>
  <c r="R73" i="31"/>
  <c r="K73" i="31"/>
  <c r="J73" i="31"/>
  <c r="I73" i="31"/>
  <c r="H73" i="31"/>
  <c r="G73" i="31"/>
  <c r="F73" i="31"/>
  <c r="X263" i="42"/>
  <c r="V263" i="42"/>
  <c r="U263" i="42"/>
  <c r="S263" i="42"/>
  <c r="R263" i="42"/>
  <c r="L263" i="42"/>
  <c r="J263" i="42"/>
  <c r="I263" i="42"/>
  <c r="G263" i="42"/>
  <c r="F263" i="42"/>
  <c r="V262" i="42"/>
  <c r="U262" i="42"/>
  <c r="S262" i="42"/>
  <c r="R262" i="42"/>
  <c r="J262" i="42"/>
  <c r="I262" i="42"/>
  <c r="G262" i="42"/>
  <c r="F262" i="42"/>
  <c r="V261" i="42"/>
  <c r="U261" i="42"/>
  <c r="S261" i="42"/>
  <c r="R261" i="42"/>
  <c r="J261" i="42"/>
  <c r="I261" i="42"/>
  <c r="G261" i="42"/>
  <c r="F261" i="42"/>
  <c r="X257" i="42"/>
  <c r="V257" i="42"/>
  <c r="U257" i="42"/>
  <c r="S257" i="42"/>
  <c r="R257" i="42"/>
  <c r="M257" i="42"/>
  <c r="L257" i="42"/>
  <c r="K257" i="42"/>
  <c r="J257" i="42"/>
  <c r="I257" i="42"/>
  <c r="H257" i="42"/>
  <c r="G257" i="42"/>
  <c r="F257" i="42"/>
  <c r="V256" i="42"/>
  <c r="U256" i="42"/>
  <c r="S256" i="42"/>
  <c r="R256" i="42"/>
  <c r="K256" i="42"/>
  <c r="J256" i="42"/>
  <c r="I256" i="42"/>
  <c r="H256" i="42"/>
  <c r="G256" i="42"/>
  <c r="F256" i="42"/>
  <c r="V255" i="42"/>
  <c r="U255" i="42"/>
  <c r="S255" i="42"/>
  <c r="R255" i="42"/>
  <c r="K255" i="42"/>
  <c r="J255" i="42"/>
  <c r="I255" i="42"/>
  <c r="H255" i="42"/>
  <c r="G255" i="42"/>
  <c r="F255" i="42"/>
  <c r="X250" i="42"/>
  <c r="V250" i="42"/>
  <c r="U250" i="42"/>
  <c r="S250" i="42"/>
  <c r="R250" i="42"/>
  <c r="L250" i="42"/>
  <c r="J250" i="42"/>
  <c r="I250" i="42"/>
  <c r="G250" i="42"/>
  <c r="F250" i="42"/>
  <c r="V249" i="42"/>
  <c r="U249" i="42"/>
  <c r="S249" i="42"/>
  <c r="R249" i="42"/>
  <c r="J249" i="42"/>
  <c r="I249" i="42"/>
  <c r="G249" i="42"/>
  <c r="F249" i="42"/>
  <c r="V248" i="42"/>
  <c r="U248" i="42"/>
  <c r="S248" i="42"/>
  <c r="R248" i="42"/>
  <c r="J248" i="42"/>
  <c r="I248" i="42"/>
  <c r="G248" i="42"/>
  <c r="F248" i="42"/>
  <c r="X244" i="42"/>
  <c r="V244" i="42"/>
  <c r="U244" i="42"/>
  <c r="S244" i="42"/>
  <c r="R244" i="42"/>
  <c r="M244" i="42"/>
  <c r="L244" i="42"/>
  <c r="K244" i="42"/>
  <c r="J244" i="42"/>
  <c r="I244" i="42"/>
  <c r="H244" i="42"/>
  <c r="G244" i="42"/>
  <c r="F244" i="42"/>
  <c r="V243" i="42"/>
  <c r="U243" i="42"/>
  <c r="S243" i="42"/>
  <c r="R243" i="42"/>
  <c r="K243" i="42"/>
  <c r="J243" i="42"/>
  <c r="I243" i="42"/>
  <c r="H243" i="42"/>
  <c r="G243" i="42"/>
  <c r="F243" i="42"/>
  <c r="V242" i="42"/>
  <c r="U242" i="42"/>
  <c r="S242" i="42"/>
  <c r="R242" i="42"/>
  <c r="K242" i="42"/>
  <c r="J242" i="42"/>
  <c r="I242" i="42"/>
  <c r="H242" i="42"/>
  <c r="G242" i="42"/>
  <c r="F242" i="42"/>
  <c r="X237" i="42"/>
  <c r="V237" i="42"/>
  <c r="U237" i="42"/>
  <c r="S237" i="42"/>
  <c r="R237" i="42"/>
  <c r="L237" i="42"/>
  <c r="J237" i="42"/>
  <c r="I237" i="42"/>
  <c r="G237" i="42"/>
  <c r="F237" i="42"/>
  <c r="V236" i="42"/>
  <c r="U236" i="42"/>
  <c r="S236" i="42"/>
  <c r="R236" i="42"/>
  <c r="J236" i="42"/>
  <c r="I236" i="42"/>
  <c r="G236" i="42"/>
  <c r="F236" i="42"/>
  <c r="V235" i="42"/>
  <c r="U235" i="42"/>
  <c r="S235" i="42"/>
  <c r="R235" i="42"/>
  <c r="J235" i="42"/>
  <c r="I235" i="42"/>
  <c r="G235" i="42"/>
  <c r="F235" i="42"/>
  <c r="X231" i="42"/>
  <c r="V231" i="42"/>
  <c r="U231" i="42"/>
  <c r="S231" i="42"/>
  <c r="R231" i="42"/>
  <c r="M231" i="42"/>
  <c r="L231" i="42"/>
  <c r="K231" i="42"/>
  <c r="J231" i="42"/>
  <c r="I231" i="42"/>
  <c r="H231" i="42"/>
  <c r="G231" i="42"/>
  <c r="F231" i="42"/>
  <c r="V230" i="42"/>
  <c r="U230" i="42"/>
  <c r="S230" i="42"/>
  <c r="R230" i="42"/>
  <c r="K230" i="42"/>
  <c r="J230" i="42"/>
  <c r="I230" i="42"/>
  <c r="H230" i="42"/>
  <c r="G230" i="42"/>
  <c r="F230" i="42"/>
  <c r="V229" i="42"/>
  <c r="U229" i="42"/>
  <c r="S229" i="42"/>
  <c r="R229" i="42"/>
  <c r="K229" i="42"/>
  <c r="J229" i="42"/>
  <c r="I229" i="42"/>
  <c r="H229" i="42"/>
  <c r="G229" i="42"/>
  <c r="F229" i="42"/>
  <c r="X224" i="42"/>
  <c r="V224" i="42"/>
  <c r="U224" i="42"/>
  <c r="S224" i="42"/>
  <c r="R224" i="42"/>
  <c r="L224" i="42"/>
  <c r="J224" i="42"/>
  <c r="I224" i="42"/>
  <c r="G224" i="42"/>
  <c r="F224" i="42"/>
  <c r="V223" i="42"/>
  <c r="U223" i="42"/>
  <c r="S223" i="42"/>
  <c r="R223" i="42"/>
  <c r="J223" i="42"/>
  <c r="I223" i="42"/>
  <c r="G223" i="42"/>
  <c r="F223" i="42"/>
  <c r="V222" i="42"/>
  <c r="U222" i="42"/>
  <c r="S222" i="42"/>
  <c r="R222" i="42"/>
  <c r="J222" i="42"/>
  <c r="I222" i="42"/>
  <c r="G222" i="42"/>
  <c r="F222" i="42"/>
  <c r="X218" i="42"/>
  <c r="V218" i="42"/>
  <c r="U218" i="42"/>
  <c r="S218" i="42"/>
  <c r="R218" i="42"/>
  <c r="M218" i="42"/>
  <c r="L218" i="42"/>
  <c r="K218" i="42"/>
  <c r="J218" i="42"/>
  <c r="I218" i="42"/>
  <c r="H218" i="42"/>
  <c r="G218" i="42"/>
  <c r="F218" i="42"/>
  <c r="V217" i="42"/>
  <c r="U217" i="42"/>
  <c r="S217" i="42"/>
  <c r="R217" i="42"/>
  <c r="K217" i="42"/>
  <c r="J217" i="42"/>
  <c r="I217" i="42"/>
  <c r="H217" i="42"/>
  <c r="G217" i="42"/>
  <c r="F217" i="42"/>
  <c r="V216" i="42"/>
  <c r="U216" i="42"/>
  <c r="S216" i="42"/>
  <c r="R216" i="42"/>
  <c r="K216" i="42"/>
  <c r="J216" i="42"/>
  <c r="I216" i="42"/>
  <c r="H216" i="42"/>
  <c r="G216" i="42"/>
  <c r="F216" i="42"/>
  <c r="X211" i="42"/>
  <c r="V211" i="42"/>
  <c r="U211" i="42"/>
  <c r="S211" i="42"/>
  <c r="R211" i="42"/>
  <c r="L211" i="42"/>
  <c r="J211" i="42"/>
  <c r="I211" i="42"/>
  <c r="G211" i="42"/>
  <c r="F211" i="42"/>
  <c r="V210" i="42"/>
  <c r="U210" i="42"/>
  <c r="S210" i="42"/>
  <c r="R210" i="42"/>
  <c r="J210" i="42"/>
  <c r="I210" i="42"/>
  <c r="G210" i="42"/>
  <c r="F210" i="42"/>
  <c r="V209" i="42"/>
  <c r="U209" i="42"/>
  <c r="S209" i="42"/>
  <c r="R209" i="42"/>
  <c r="J209" i="42"/>
  <c r="I209" i="42"/>
  <c r="G209" i="42"/>
  <c r="F209" i="42"/>
  <c r="X205" i="42"/>
  <c r="V205" i="42"/>
  <c r="U205" i="42"/>
  <c r="S205" i="42"/>
  <c r="R205" i="42"/>
  <c r="M205" i="42"/>
  <c r="L205" i="42"/>
  <c r="K205" i="42"/>
  <c r="J205" i="42"/>
  <c r="I205" i="42"/>
  <c r="H205" i="42"/>
  <c r="G205" i="42"/>
  <c r="F205" i="42"/>
  <c r="V204" i="42"/>
  <c r="U204" i="42"/>
  <c r="S204" i="42"/>
  <c r="R204" i="42"/>
  <c r="K204" i="42"/>
  <c r="J204" i="42"/>
  <c r="I204" i="42"/>
  <c r="H204" i="42"/>
  <c r="G204" i="42"/>
  <c r="F204" i="42"/>
  <c r="V203" i="42"/>
  <c r="U203" i="42"/>
  <c r="S203" i="42"/>
  <c r="R203" i="42"/>
  <c r="K203" i="42"/>
  <c r="J203" i="42"/>
  <c r="I203" i="42"/>
  <c r="H203" i="42"/>
  <c r="G203" i="42"/>
  <c r="F203" i="42"/>
  <c r="X198" i="42"/>
  <c r="V198" i="42"/>
  <c r="U198" i="42"/>
  <c r="S198" i="42"/>
  <c r="R198" i="42"/>
  <c r="L198" i="42"/>
  <c r="J198" i="42"/>
  <c r="I198" i="42"/>
  <c r="G198" i="42"/>
  <c r="F198" i="42"/>
  <c r="V197" i="42"/>
  <c r="U197" i="42"/>
  <c r="S197" i="42"/>
  <c r="R197" i="42"/>
  <c r="J197" i="42"/>
  <c r="I197" i="42"/>
  <c r="G197" i="42"/>
  <c r="F197" i="42"/>
  <c r="V196" i="42"/>
  <c r="U196" i="42"/>
  <c r="S196" i="42"/>
  <c r="R196" i="42"/>
  <c r="J196" i="42"/>
  <c r="I196" i="42"/>
  <c r="G196" i="42"/>
  <c r="F196" i="42"/>
  <c r="X192" i="42"/>
  <c r="V192" i="42"/>
  <c r="U192" i="42"/>
  <c r="S192" i="42"/>
  <c r="R192" i="42"/>
  <c r="M192" i="42"/>
  <c r="L192" i="42"/>
  <c r="K192" i="42"/>
  <c r="J192" i="42"/>
  <c r="I192" i="42"/>
  <c r="H192" i="42"/>
  <c r="G192" i="42"/>
  <c r="F192" i="42"/>
  <c r="V191" i="42"/>
  <c r="U191" i="42"/>
  <c r="S191" i="42"/>
  <c r="R191" i="42"/>
  <c r="K191" i="42"/>
  <c r="J191" i="42"/>
  <c r="I191" i="42"/>
  <c r="H191" i="42"/>
  <c r="G191" i="42"/>
  <c r="F191" i="42"/>
  <c r="V190" i="42"/>
  <c r="U190" i="42"/>
  <c r="S190" i="42"/>
  <c r="R190" i="42"/>
  <c r="K190" i="42"/>
  <c r="J190" i="42"/>
  <c r="I190" i="42"/>
  <c r="H190" i="42"/>
  <c r="G190" i="42"/>
  <c r="F190" i="42"/>
  <c r="X185" i="42"/>
  <c r="V185" i="42"/>
  <c r="U185" i="42"/>
  <c r="S185" i="42"/>
  <c r="R185" i="42"/>
  <c r="L185" i="42"/>
  <c r="J185" i="42"/>
  <c r="I185" i="42"/>
  <c r="G185" i="42"/>
  <c r="F185" i="42"/>
  <c r="V184" i="42"/>
  <c r="U184" i="42"/>
  <c r="S184" i="42"/>
  <c r="R184" i="42"/>
  <c r="J184" i="42"/>
  <c r="I184" i="42"/>
  <c r="G184" i="42"/>
  <c r="F184" i="42"/>
  <c r="V183" i="42"/>
  <c r="U183" i="42"/>
  <c r="S183" i="42"/>
  <c r="R183" i="42"/>
  <c r="J183" i="42"/>
  <c r="I183" i="42"/>
  <c r="G183" i="42"/>
  <c r="F183" i="42"/>
  <c r="X179" i="42"/>
  <c r="V179" i="42"/>
  <c r="U179" i="42"/>
  <c r="S179" i="42"/>
  <c r="R179" i="42"/>
  <c r="M179" i="42"/>
  <c r="L179" i="42"/>
  <c r="K179" i="42"/>
  <c r="J179" i="42"/>
  <c r="I179" i="42"/>
  <c r="H179" i="42"/>
  <c r="G179" i="42"/>
  <c r="F179" i="42"/>
  <c r="V178" i="42"/>
  <c r="U178" i="42"/>
  <c r="S178" i="42"/>
  <c r="R178" i="42"/>
  <c r="K178" i="42"/>
  <c r="J178" i="42"/>
  <c r="I178" i="42"/>
  <c r="H178" i="42"/>
  <c r="G178" i="42"/>
  <c r="F178" i="42"/>
  <c r="V177" i="42"/>
  <c r="U177" i="42"/>
  <c r="S177" i="42"/>
  <c r="R177" i="42"/>
  <c r="K177" i="42"/>
  <c r="J177" i="42"/>
  <c r="I177" i="42"/>
  <c r="H177" i="42"/>
  <c r="G177" i="42"/>
  <c r="F177" i="42"/>
  <c r="X172" i="42"/>
  <c r="V172" i="42"/>
  <c r="U172" i="42"/>
  <c r="S172" i="42"/>
  <c r="R172" i="42"/>
  <c r="L172" i="42"/>
  <c r="J172" i="42"/>
  <c r="I172" i="42"/>
  <c r="G172" i="42"/>
  <c r="F172" i="42"/>
  <c r="V171" i="42"/>
  <c r="U171" i="42"/>
  <c r="S171" i="42"/>
  <c r="R171" i="42"/>
  <c r="J171" i="42"/>
  <c r="I171" i="42"/>
  <c r="G171" i="42"/>
  <c r="F171" i="42"/>
  <c r="V170" i="42"/>
  <c r="U170" i="42"/>
  <c r="S170" i="42"/>
  <c r="R170" i="42"/>
  <c r="J170" i="42"/>
  <c r="I170" i="42"/>
  <c r="G170" i="42"/>
  <c r="F170" i="42"/>
  <c r="X166" i="42"/>
  <c r="V166" i="42"/>
  <c r="U166" i="42"/>
  <c r="S166" i="42"/>
  <c r="R166" i="42"/>
  <c r="M166" i="42"/>
  <c r="L166" i="42"/>
  <c r="K166" i="42"/>
  <c r="J166" i="42"/>
  <c r="I166" i="42"/>
  <c r="H166" i="42"/>
  <c r="G166" i="42"/>
  <c r="F166" i="42"/>
  <c r="V165" i="42"/>
  <c r="U165" i="42"/>
  <c r="S165" i="42"/>
  <c r="R165" i="42"/>
  <c r="K165" i="42"/>
  <c r="J165" i="42"/>
  <c r="I165" i="42"/>
  <c r="H165" i="42"/>
  <c r="G165" i="42"/>
  <c r="F165" i="42"/>
  <c r="V164" i="42"/>
  <c r="U164" i="42"/>
  <c r="S164" i="42"/>
  <c r="R164" i="42"/>
  <c r="K164" i="42"/>
  <c r="J164" i="42"/>
  <c r="I164" i="42"/>
  <c r="H164" i="42"/>
  <c r="G164" i="42"/>
  <c r="F164" i="42"/>
  <c r="X159" i="42"/>
  <c r="V159" i="42"/>
  <c r="U159" i="42"/>
  <c r="S159" i="42"/>
  <c r="R159" i="42"/>
  <c r="L159" i="42"/>
  <c r="J159" i="42"/>
  <c r="I159" i="42"/>
  <c r="G159" i="42"/>
  <c r="F159" i="42"/>
  <c r="V158" i="42"/>
  <c r="U158" i="42"/>
  <c r="S158" i="42"/>
  <c r="R158" i="42"/>
  <c r="J158" i="42"/>
  <c r="I158" i="42"/>
  <c r="G158" i="42"/>
  <c r="F158" i="42"/>
  <c r="V157" i="42"/>
  <c r="U157" i="42"/>
  <c r="S157" i="42"/>
  <c r="R157" i="42"/>
  <c r="J157" i="42"/>
  <c r="I157" i="42"/>
  <c r="G157" i="42"/>
  <c r="F157" i="42"/>
  <c r="X153" i="42"/>
  <c r="V153" i="42"/>
  <c r="U153" i="42"/>
  <c r="S153" i="42"/>
  <c r="R153" i="42"/>
  <c r="M153" i="42"/>
  <c r="L153" i="42"/>
  <c r="K153" i="42"/>
  <c r="J153" i="42"/>
  <c r="I153" i="42"/>
  <c r="H153" i="42"/>
  <c r="G153" i="42"/>
  <c r="F153" i="42"/>
  <c r="V152" i="42"/>
  <c r="U152" i="42"/>
  <c r="S152" i="42"/>
  <c r="R152" i="42"/>
  <c r="K152" i="42"/>
  <c r="J152" i="42"/>
  <c r="I152" i="42"/>
  <c r="H152" i="42"/>
  <c r="G152" i="42"/>
  <c r="F152" i="42"/>
  <c r="V151" i="42"/>
  <c r="U151" i="42"/>
  <c r="S151" i="42"/>
  <c r="R151" i="42"/>
  <c r="K151" i="42"/>
  <c r="J151" i="42"/>
  <c r="I151" i="42"/>
  <c r="H151" i="42"/>
  <c r="G151" i="42"/>
  <c r="F151" i="42"/>
  <c r="X146" i="42"/>
  <c r="V146" i="42"/>
  <c r="U146" i="42"/>
  <c r="S146" i="42"/>
  <c r="R146" i="42"/>
  <c r="L146" i="42"/>
  <c r="J146" i="42"/>
  <c r="I146" i="42"/>
  <c r="G146" i="42"/>
  <c r="F146" i="42"/>
  <c r="V145" i="42"/>
  <c r="U145" i="42"/>
  <c r="S145" i="42"/>
  <c r="R145" i="42"/>
  <c r="J145" i="42"/>
  <c r="I145" i="42"/>
  <c r="G145" i="42"/>
  <c r="F145" i="42"/>
  <c r="V144" i="42"/>
  <c r="U144" i="42"/>
  <c r="S144" i="42"/>
  <c r="R144" i="42"/>
  <c r="J144" i="42"/>
  <c r="I144" i="42"/>
  <c r="G144" i="42"/>
  <c r="F144" i="42"/>
  <c r="X140" i="42"/>
  <c r="V140" i="42"/>
  <c r="U140" i="42"/>
  <c r="S140" i="42"/>
  <c r="R140" i="42"/>
  <c r="M140" i="42"/>
  <c r="L140" i="42"/>
  <c r="K140" i="42"/>
  <c r="J140" i="42"/>
  <c r="I140" i="42"/>
  <c r="H140" i="42"/>
  <c r="G140" i="42"/>
  <c r="F140" i="42"/>
  <c r="V139" i="42"/>
  <c r="U139" i="42"/>
  <c r="S139" i="42"/>
  <c r="R139" i="42"/>
  <c r="K139" i="42"/>
  <c r="J139" i="42"/>
  <c r="I139" i="42"/>
  <c r="H139" i="42"/>
  <c r="G139" i="42"/>
  <c r="F139" i="42"/>
  <c r="V138" i="42"/>
  <c r="U138" i="42"/>
  <c r="S138" i="42"/>
  <c r="R138" i="42"/>
  <c r="K138" i="42"/>
  <c r="J138" i="42"/>
  <c r="I138" i="42"/>
  <c r="H138" i="42"/>
  <c r="G138" i="42"/>
  <c r="F138" i="42"/>
  <c r="X133" i="42"/>
  <c r="V133" i="42"/>
  <c r="U133" i="42"/>
  <c r="S133" i="42"/>
  <c r="R133" i="42"/>
  <c r="L133" i="42"/>
  <c r="J133" i="42"/>
  <c r="I133" i="42"/>
  <c r="G133" i="42"/>
  <c r="F133" i="42"/>
  <c r="V132" i="42"/>
  <c r="U132" i="42"/>
  <c r="S132" i="42"/>
  <c r="R132" i="42"/>
  <c r="J132" i="42"/>
  <c r="I132" i="42"/>
  <c r="G132" i="42"/>
  <c r="F132" i="42"/>
  <c r="V131" i="42"/>
  <c r="U131" i="42"/>
  <c r="S131" i="42"/>
  <c r="R131" i="42"/>
  <c r="J131" i="42"/>
  <c r="I131" i="42"/>
  <c r="G131" i="42"/>
  <c r="F131" i="42"/>
  <c r="X127" i="42"/>
  <c r="V127" i="42"/>
  <c r="U127" i="42"/>
  <c r="S127" i="42"/>
  <c r="R127" i="42"/>
  <c r="M127" i="42"/>
  <c r="L127" i="42"/>
  <c r="K127" i="42"/>
  <c r="J127" i="42"/>
  <c r="I127" i="42"/>
  <c r="H127" i="42"/>
  <c r="G127" i="42"/>
  <c r="F127" i="42"/>
  <c r="V126" i="42"/>
  <c r="U126" i="42"/>
  <c r="S126" i="42"/>
  <c r="R126" i="42"/>
  <c r="K126" i="42"/>
  <c r="J126" i="42"/>
  <c r="I126" i="42"/>
  <c r="H126" i="42"/>
  <c r="G126" i="42"/>
  <c r="F126" i="42"/>
  <c r="V125" i="42"/>
  <c r="U125" i="42"/>
  <c r="S125" i="42"/>
  <c r="R125" i="42"/>
  <c r="K125" i="42"/>
  <c r="J125" i="42"/>
  <c r="I125" i="42"/>
  <c r="H125" i="42"/>
  <c r="G125" i="42"/>
  <c r="F125" i="42"/>
  <c r="X120" i="42"/>
  <c r="V120" i="42"/>
  <c r="U120" i="42"/>
  <c r="S120" i="42"/>
  <c r="R120" i="42"/>
  <c r="L120" i="42"/>
  <c r="J120" i="42"/>
  <c r="I120" i="42"/>
  <c r="G120" i="42"/>
  <c r="F120" i="42"/>
  <c r="V119" i="42"/>
  <c r="U119" i="42"/>
  <c r="S119" i="42"/>
  <c r="R119" i="42"/>
  <c r="J119" i="42"/>
  <c r="I119" i="42"/>
  <c r="G119" i="42"/>
  <c r="F119" i="42"/>
  <c r="V118" i="42"/>
  <c r="U118" i="42"/>
  <c r="S118" i="42"/>
  <c r="R118" i="42"/>
  <c r="J118" i="42"/>
  <c r="I118" i="42"/>
  <c r="G118" i="42"/>
  <c r="F118" i="42"/>
  <c r="X114" i="42"/>
  <c r="V114" i="42"/>
  <c r="U114" i="42"/>
  <c r="S114" i="42"/>
  <c r="R114" i="42"/>
  <c r="M114" i="42"/>
  <c r="L114" i="42"/>
  <c r="K114" i="42"/>
  <c r="J114" i="42"/>
  <c r="I114" i="42"/>
  <c r="H114" i="42"/>
  <c r="G114" i="42"/>
  <c r="F114" i="42"/>
  <c r="V113" i="42"/>
  <c r="U113" i="42"/>
  <c r="S113" i="42"/>
  <c r="R113" i="42"/>
  <c r="K113" i="42"/>
  <c r="J113" i="42"/>
  <c r="I113" i="42"/>
  <c r="H113" i="42"/>
  <c r="G113" i="42"/>
  <c r="F113" i="42"/>
  <c r="V112" i="42"/>
  <c r="U112" i="42"/>
  <c r="S112" i="42"/>
  <c r="R112" i="42"/>
  <c r="K112" i="42"/>
  <c r="J112" i="42"/>
  <c r="I112" i="42"/>
  <c r="H112" i="42"/>
  <c r="G112" i="42"/>
  <c r="F112" i="42"/>
  <c r="X107" i="42"/>
  <c r="V107" i="42"/>
  <c r="U107" i="42"/>
  <c r="S107" i="42"/>
  <c r="R107" i="42"/>
  <c r="L107" i="42"/>
  <c r="J107" i="42"/>
  <c r="I107" i="42"/>
  <c r="G107" i="42"/>
  <c r="F107" i="42"/>
  <c r="V106" i="42"/>
  <c r="U106" i="42"/>
  <c r="S106" i="42"/>
  <c r="R106" i="42"/>
  <c r="J106" i="42"/>
  <c r="I106" i="42"/>
  <c r="G106" i="42"/>
  <c r="F106" i="42"/>
  <c r="V105" i="42"/>
  <c r="U105" i="42"/>
  <c r="S105" i="42"/>
  <c r="R105" i="42"/>
  <c r="J105" i="42"/>
  <c r="I105" i="42"/>
  <c r="G105" i="42"/>
  <c r="F105" i="42"/>
  <c r="X101" i="42"/>
  <c r="V101" i="42"/>
  <c r="U101" i="42"/>
  <c r="S101" i="42"/>
  <c r="R101" i="42"/>
  <c r="M101" i="42"/>
  <c r="L101" i="42"/>
  <c r="K101" i="42"/>
  <c r="J101" i="42"/>
  <c r="I101" i="42"/>
  <c r="H101" i="42"/>
  <c r="G101" i="42"/>
  <c r="F101" i="42"/>
  <c r="V100" i="42"/>
  <c r="U100" i="42"/>
  <c r="S100" i="42"/>
  <c r="R100" i="42"/>
  <c r="K100" i="42"/>
  <c r="J100" i="42"/>
  <c r="I100" i="42"/>
  <c r="H100" i="42"/>
  <c r="G100" i="42"/>
  <c r="F100" i="42"/>
  <c r="V99" i="42"/>
  <c r="U99" i="42"/>
  <c r="S99" i="42"/>
  <c r="R99" i="42"/>
  <c r="K99" i="42"/>
  <c r="J99" i="42"/>
  <c r="I99" i="42"/>
  <c r="H99" i="42"/>
  <c r="G99" i="42"/>
  <c r="F99" i="42"/>
  <c r="X94" i="42"/>
  <c r="V94" i="42"/>
  <c r="U94" i="42"/>
  <c r="S94" i="42"/>
  <c r="R94" i="42"/>
  <c r="L94" i="42"/>
  <c r="J94" i="42"/>
  <c r="I94" i="42"/>
  <c r="G94" i="42"/>
  <c r="F94" i="42"/>
  <c r="V93" i="42"/>
  <c r="U93" i="42"/>
  <c r="S93" i="42"/>
  <c r="R93" i="42"/>
  <c r="J93" i="42"/>
  <c r="I93" i="42"/>
  <c r="G93" i="42"/>
  <c r="F93" i="42"/>
  <c r="V92" i="42"/>
  <c r="U92" i="42"/>
  <c r="S92" i="42"/>
  <c r="R92" i="42"/>
  <c r="J92" i="42"/>
  <c r="I92" i="42"/>
  <c r="G92" i="42"/>
  <c r="F92" i="42"/>
  <c r="X88" i="42"/>
  <c r="V88" i="42"/>
  <c r="U88" i="42"/>
  <c r="S88" i="42"/>
  <c r="R88" i="42"/>
  <c r="M88" i="42"/>
  <c r="L88" i="42"/>
  <c r="K88" i="42"/>
  <c r="J88" i="42"/>
  <c r="I88" i="42"/>
  <c r="H88" i="42"/>
  <c r="G88" i="42"/>
  <c r="F88" i="42"/>
  <c r="V87" i="42"/>
  <c r="U87" i="42"/>
  <c r="S87" i="42"/>
  <c r="R87" i="42"/>
  <c r="K87" i="42"/>
  <c r="J87" i="42"/>
  <c r="I87" i="42"/>
  <c r="H87" i="42"/>
  <c r="G87" i="42"/>
  <c r="F87" i="42"/>
  <c r="V86" i="42"/>
  <c r="U86" i="42"/>
  <c r="S86" i="42"/>
  <c r="R86" i="42"/>
  <c r="K86" i="42"/>
  <c r="J86" i="42"/>
  <c r="I86" i="42"/>
  <c r="H86" i="42"/>
  <c r="G86" i="42"/>
  <c r="F86" i="42"/>
  <c r="X81" i="42"/>
  <c r="V81" i="42"/>
  <c r="U81" i="42"/>
  <c r="S81" i="42"/>
  <c r="R81" i="42"/>
  <c r="L81" i="42"/>
  <c r="J81" i="42"/>
  <c r="I81" i="42"/>
  <c r="G81" i="42"/>
  <c r="F81" i="42"/>
  <c r="V80" i="42"/>
  <c r="U80" i="42"/>
  <c r="S80" i="42"/>
  <c r="R80" i="42"/>
  <c r="J80" i="42"/>
  <c r="I80" i="42"/>
  <c r="G80" i="42"/>
  <c r="F80" i="42"/>
  <c r="V79" i="42"/>
  <c r="U79" i="42"/>
  <c r="S79" i="42"/>
  <c r="R79" i="42"/>
  <c r="J79" i="42"/>
  <c r="I79" i="42"/>
  <c r="G79" i="42"/>
  <c r="F79" i="42"/>
  <c r="X75" i="42"/>
  <c r="V75" i="42"/>
  <c r="U75" i="42"/>
  <c r="S75" i="42"/>
  <c r="R75" i="42"/>
  <c r="M75" i="42"/>
  <c r="L75" i="42"/>
  <c r="K75" i="42"/>
  <c r="J75" i="42"/>
  <c r="I75" i="42"/>
  <c r="H75" i="42"/>
  <c r="G75" i="42"/>
  <c r="F75" i="42"/>
  <c r="V74" i="42"/>
  <c r="U74" i="42"/>
  <c r="S74" i="42"/>
  <c r="R74" i="42"/>
  <c r="K74" i="42"/>
  <c r="J74" i="42"/>
  <c r="I74" i="42"/>
  <c r="H74" i="42"/>
  <c r="G74" i="42"/>
  <c r="F74" i="42"/>
  <c r="V73" i="42"/>
  <c r="U73" i="42"/>
  <c r="S73" i="42"/>
  <c r="R73" i="42"/>
  <c r="K73" i="42"/>
  <c r="J73" i="42"/>
  <c r="I73" i="42"/>
  <c r="H73" i="42"/>
  <c r="G73" i="42"/>
  <c r="F73" i="42"/>
  <c r="X263" i="32"/>
  <c r="V263" i="32"/>
  <c r="U263" i="32"/>
  <c r="S263" i="32"/>
  <c r="R263" i="32"/>
  <c r="L263" i="32"/>
  <c r="J263" i="32"/>
  <c r="I263" i="32"/>
  <c r="G263" i="32"/>
  <c r="F263" i="32"/>
  <c r="V262" i="32"/>
  <c r="U262" i="32"/>
  <c r="S262" i="32"/>
  <c r="R262" i="32"/>
  <c r="J262" i="32"/>
  <c r="I262" i="32"/>
  <c r="G262" i="32"/>
  <c r="F262" i="32"/>
  <c r="V261" i="32"/>
  <c r="U261" i="32"/>
  <c r="S261" i="32"/>
  <c r="R261" i="32"/>
  <c r="J261" i="32"/>
  <c r="I261" i="32"/>
  <c r="G261" i="32"/>
  <c r="F261" i="32"/>
  <c r="X257" i="32"/>
  <c r="V257" i="32"/>
  <c r="U257" i="32"/>
  <c r="S257" i="32"/>
  <c r="R257" i="32"/>
  <c r="M257" i="32"/>
  <c r="L257" i="32"/>
  <c r="K257" i="32"/>
  <c r="J257" i="32"/>
  <c r="I257" i="32"/>
  <c r="H257" i="32"/>
  <c r="G257" i="32"/>
  <c r="F257" i="32"/>
  <c r="V256" i="32"/>
  <c r="U256" i="32"/>
  <c r="S256" i="32"/>
  <c r="R256" i="32"/>
  <c r="K256" i="32"/>
  <c r="J256" i="32"/>
  <c r="I256" i="32"/>
  <c r="H256" i="32"/>
  <c r="G256" i="32"/>
  <c r="F256" i="32"/>
  <c r="V255" i="32"/>
  <c r="U255" i="32"/>
  <c r="S255" i="32"/>
  <c r="R255" i="32"/>
  <c r="K255" i="32"/>
  <c r="J255" i="32"/>
  <c r="I255" i="32"/>
  <c r="H255" i="32"/>
  <c r="G255" i="32"/>
  <c r="F255" i="32"/>
  <c r="X250" i="32"/>
  <c r="V250" i="32"/>
  <c r="U250" i="32"/>
  <c r="S250" i="32"/>
  <c r="R250" i="32"/>
  <c r="L250" i="32"/>
  <c r="J250" i="32"/>
  <c r="I250" i="32"/>
  <c r="G250" i="32"/>
  <c r="F250" i="32"/>
  <c r="V249" i="32"/>
  <c r="U249" i="32"/>
  <c r="S249" i="32"/>
  <c r="R249" i="32"/>
  <c r="J249" i="32"/>
  <c r="I249" i="32"/>
  <c r="G249" i="32"/>
  <c r="F249" i="32"/>
  <c r="V248" i="32"/>
  <c r="U248" i="32"/>
  <c r="S248" i="32"/>
  <c r="R248" i="32"/>
  <c r="J248" i="32"/>
  <c r="I248" i="32"/>
  <c r="G248" i="32"/>
  <c r="F248" i="32"/>
  <c r="X244" i="32"/>
  <c r="V244" i="32"/>
  <c r="U244" i="32"/>
  <c r="S244" i="32"/>
  <c r="R244" i="32"/>
  <c r="M244" i="32"/>
  <c r="L244" i="32"/>
  <c r="K244" i="32"/>
  <c r="J244" i="32"/>
  <c r="I244" i="32"/>
  <c r="H244" i="32"/>
  <c r="G244" i="32"/>
  <c r="F244" i="32"/>
  <c r="V243" i="32"/>
  <c r="U243" i="32"/>
  <c r="S243" i="32"/>
  <c r="R243" i="32"/>
  <c r="K243" i="32"/>
  <c r="J243" i="32"/>
  <c r="I243" i="32"/>
  <c r="H243" i="32"/>
  <c r="G243" i="32"/>
  <c r="F243" i="32"/>
  <c r="V242" i="32"/>
  <c r="U242" i="32"/>
  <c r="S242" i="32"/>
  <c r="R242" i="32"/>
  <c r="K242" i="32"/>
  <c r="J242" i="32"/>
  <c r="I242" i="32"/>
  <c r="H242" i="32"/>
  <c r="G242" i="32"/>
  <c r="F242" i="32"/>
  <c r="X237" i="32"/>
  <c r="V237" i="32"/>
  <c r="U237" i="32"/>
  <c r="S237" i="32"/>
  <c r="R237" i="32"/>
  <c r="L237" i="32"/>
  <c r="J237" i="32"/>
  <c r="I237" i="32"/>
  <c r="G237" i="32"/>
  <c r="F237" i="32"/>
  <c r="V236" i="32"/>
  <c r="U236" i="32"/>
  <c r="S236" i="32"/>
  <c r="R236" i="32"/>
  <c r="J236" i="32"/>
  <c r="I236" i="32"/>
  <c r="G236" i="32"/>
  <c r="F236" i="32"/>
  <c r="V235" i="32"/>
  <c r="U235" i="32"/>
  <c r="S235" i="32"/>
  <c r="R235" i="32"/>
  <c r="J235" i="32"/>
  <c r="I235" i="32"/>
  <c r="G235" i="32"/>
  <c r="F235" i="32"/>
  <c r="X231" i="32"/>
  <c r="V231" i="32"/>
  <c r="U231" i="32"/>
  <c r="S231" i="32"/>
  <c r="R231" i="32"/>
  <c r="M231" i="32"/>
  <c r="L231" i="32"/>
  <c r="K231" i="32"/>
  <c r="J231" i="32"/>
  <c r="I231" i="32"/>
  <c r="H231" i="32"/>
  <c r="G231" i="32"/>
  <c r="F231" i="32"/>
  <c r="V230" i="32"/>
  <c r="U230" i="32"/>
  <c r="S230" i="32"/>
  <c r="R230" i="32"/>
  <c r="K230" i="32"/>
  <c r="J230" i="32"/>
  <c r="I230" i="32"/>
  <c r="H230" i="32"/>
  <c r="G230" i="32"/>
  <c r="F230" i="32"/>
  <c r="V229" i="32"/>
  <c r="U229" i="32"/>
  <c r="S229" i="32"/>
  <c r="R229" i="32"/>
  <c r="K229" i="32"/>
  <c r="J229" i="32"/>
  <c r="I229" i="32"/>
  <c r="H229" i="32"/>
  <c r="G229" i="32"/>
  <c r="F229" i="32"/>
  <c r="X224" i="32"/>
  <c r="V224" i="32"/>
  <c r="U224" i="32"/>
  <c r="S224" i="32"/>
  <c r="R224" i="32"/>
  <c r="L224" i="32"/>
  <c r="J224" i="32"/>
  <c r="I224" i="32"/>
  <c r="G224" i="32"/>
  <c r="F224" i="32"/>
  <c r="V223" i="32"/>
  <c r="U223" i="32"/>
  <c r="S223" i="32"/>
  <c r="R223" i="32"/>
  <c r="J223" i="32"/>
  <c r="I223" i="32"/>
  <c r="G223" i="32"/>
  <c r="F223" i="32"/>
  <c r="V222" i="32"/>
  <c r="U222" i="32"/>
  <c r="S222" i="32"/>
  <c r="R222" i="32"/>
  <c r="J222" i="32"/>
  <c r="I222" i="32"/>
  <c r="G222" i="32"/>
  <c r="F222" i="32"/>
  <c r="X218" i="32"/>
  <c r="V218" i="32"/>
  <c r="U218" i="32"/>
  <c r="S218" i="32"/>
  <c r="R218" i="32"/>
  <c r="M218" i="32"/>
  <c r="L218" i="32"/>
  <c r="K218" i="32"/>
  <c r="J218" i="32"/>
  <c r="I218" i="32"/>
  <c r="H218" i="32"/>
  <c r="G218" i="32"/>
  <c r="F218" i="32"/>
  <c r="V217" i="32"/>
  <c r="U217" i="32"/>
  <c r="S217" i="32"/>
  <c r="R217" i="32"/>
  <c r="K217" i="32"/>
  <c r="J217" i="32"/>
  <c r="I217" i="32"/>
  <c r="H217" i="32"/>
  <c r="G217" i="32"/>
  <c r="F217" i="32"/>
  <c r="V216" i="32"/>
  <c r="U216" i="32"/>
  <c r="S216" i="32"/>
  <c r="R216" i="32"/>
  <c r="K216" i="32"/>
  <c r="J216" i="32"/>
  <c r="I216" i="32"/>
  <c r="H216" i="32"/>
  <c r="G216" i="32"/>
  <c r="F216" i="32"/>
  <c r="X211" i="32"/>
  <c r="V211" i="32"/>
  <c r="U211" i="32"/>
  <c r="S211" i="32"/>
  <c r="R211" i="32"/>
  <c r="L211" i="32"/>
  <c r="J211" i="32"/>
  <c r="I211" i="32"/>
  <c r="G211" i="32"/>
  <c r="F211" i="32"/>
  <c r="V210" i="32"/>
  <c r="U210" i="32"/>
  <c r="S210" i="32"/>
  <c r="R210" i="32"/>
  <c r="J210" i="32"/>
  <c r="I210" i="32"/>
  <c r="G210" i="32"/>
  <c r="F210" i="32"/>
  <c r="V209" i="32"/>
  <c r="U209" i="32"/>
  <c r="S209" i="32"/>
  <c r="R209" i="32"/>
  <c r="J209" i="32"/>
  <c r="I209" i="32"/>
  <c r="G209" i="32"/>
  <c r="F209" i="32"/>
  <c r="X205" i="32"/>
  <c r="V205" i="32"/>
  <c r="U205" i="32"/>
  <c r="S205" i="32"/>
  <c r="R205" i="32"/>
  <c r="M205" i="32"/>
  <c r="L205" i="32"/>
  <c r="K205" i="32"/>
  <c r="J205" i="32"/>
  <c r="I205" i="32"/>
  <c r="H205" i="32"/>
  <c r="G205" i="32"/>
  <c r="F205" i="32"/>
  <c r="V204" i="32"/>
  <c r="U204" i="32"/>
  <c r="S204" i="32"/>
  <c r="R204" i="32"/>
  <c r="K204" i="32"/>
  <c r="J204" i="32"/>
  <c r="I204" i="32"/>
  <c r="H204" i="32"/>
  <c r="G204" i="32"/>
  <c r="F204" i="32"/>
  <c r="V203" i="32"/>
  <c r="U203" i="32"/>
  <c r="S203" i="32"/>
  <c r="R203" i="32"/>
  <c r="K203" i="32"/>
  <c r="J203" i="32"/>
  <c r="I203" i="32"/>
  <c r="H203" i="32"/>
  <c r="G203" i="32"/>
  <c r="F203" i="32"/>
  <c r="X198" i="32"/>
  <c r="V198" i="32"/>
  <c r="U198" i="32"/>
  <c r="S198" i="32"/>
  <c r="R198" i="32"/>
  <c r="L198" i="32"/>
  <c r="J198" i="32"/>
  <c r="I198" i="32"/>
  <c r="G198" i="32"/>
  <c r="F198" i="32"/>
  <c r="V197" i="32"/>
  <c r="U197" i="32"/>
  <c r="S197" i="32"/>
  <c r="R197" i="32"/>
  <c r="J197" i="32"/>
  <c r="I197" i="32"/>
  <c r="G197" i="32"/>
  <c r="F197" i="32"/>
  <c r="V196" i="32"/>
  <c r="U196" i="32"/>
  <c r="S196" i="32"/>
  <c r="R196" i="32"/>
  <c r="J196" i="32"/>
  <c r="I196" i="32"/>
  <c r="G196" i="32"/>
  <c r="F196" i="32"/>
  <c r="X192" i="32"/>
  <c r="V192" i="32"/>
  <c r="U192" i="32"/>
  <c r="S192" i="32"/>
  <c r="R192" i="32"/>
  <c r="M192" i="32"/>
  <c r="L192" i="32"/>
  <c r="K192" i="32"/>
  <c r="J192" i="32"/>
  <c r="I192" i="32"/>
  <c r="H192" i="32"/>
  <c r="G192" i="32"/>
  <c r="F192" i="32"/>
  <c r="V191" i="32"/>
  <c r="U191" i="32"/>
  <c r="S191" i="32"/>
  <c r="R191" i="32"/>
  <c r="K191" i="32"/>
  <c r="J191" i="32"/>
  <c r="I191" i="32"/>
  <c r="H191" i="32"/>
  <c r="G191" i="32"/>
  <c r="F191" i="32"/>
  <c r="V190" i="32"/>
  <c r="U190" i="32"/>
  <c r="S190" i="32"/>
  <c r="R190" i="32"/>
  <c r="K190" i="32"/>
  <c r="J190" i="32"/>
  <c r="I190" i="32"/>
  <c r="H190" i="32"/>
  <c r="G190" i="32"/>
  <c r="F190" i="32"/>
  <c r="X185" i="32"/>
  <c r="V185" i="32"/>
  <c r="U185" i="32"/>
  <c r="S185" i="32"/>
  <c r="R185" i="32"/>
  <c r="L185" i="32"/>
  <c r="J185" i="32"/>
  <c r="I185" i="32"/>
  <c r="G185" i="32"/>
  <c r="F185" i="32"/>
  <c r="V184" i="32"/>
  <c r="U184" i="32"/>
  <c r="S184" i="32"/>
  <c r="R184" i="32"/>
  <c r="J184" i="32"/>
  <c r="I184" i="32"/>
  <c r="G184" i="32"/>
  <c r="F184" i="32"/>
  <c r="V183" i="32"/>
  <c r="U183" i="32"/>
  <c r="S183" i="32"/>
  <c r="R183" i="32"/>
  <c r="J183" i="32"/>
  <c r="I183" i="32"/>
  <c r="G183" i="32"/>
  <c r="F183" i="32"/>
  <c r="X179" i="32"/>
  <c r="V179" i="32"/>
  <c r="U179" i="32"/>
  <c r="S179" i="32"/>
  <c r="R179" i="32"/>
  <c r="M179" i="32"/>
  <c r="L179" i="32"/>
  <c r="K179" i="32"/>
  <c r="J179" i="32"/>
  <c r="I179" i="32"/>
  <c r="H179" i="32"/>
  <c r="G179" i="32"/>
  <c r="F179" i="32"/>
  <c r="V178" i="32"/>
  <c r="U178" i="32"/>
  <c r="S178" i="32"/>
  <c r="R178" i="32"/>
  <c r="K178" i="32"/>
  <c r="J178" i="32"/>
  <c r="I178" i="32"/>
  <c r="H178" i="32"/>
  <c r="G178" i="32"/>
  <c r="F178" i="32"/>
  <c r="V177" i="32"/>
  <c r="U177" i="32"/>
  <c r="S177" i="32"/>
  <c r="R177" i="32"/>
  <c r="K177" i="32"/>
  <c r="J177" i="32"/>
  <c r="I177" i="32"/>
  <c r="H177" i="32"/>
  <c r="G177" i="32"/>
  <c r="F177" i="32"/>
  <c r="X172" i="32"/>
  <c r="V172" i="32"/>
  <c r="U172" i="32"/>
  <c r="S172" i="32"/>
  <c r="R172" i="32"/>
  <c r="L172" i="32"/>
  <c r="J172" i="32"/>
  <c r="I172" i="32"/>
  <c r="G172" i="32"/>
  <c r="F172" i="32"/>
  <c r="V171" i="32"/>
  <c r="U171" i="32"/>
  <c r="S171" i="32"/>
  <c r="R171" i="32"/>
  <c r="J171" i="32"/>
  <c r="I171" i="32"/>
  <c r="G171" i="32"/>
  <c r="F171" i="32"/>
  <c r="V170" i="32"/>
  <c r="U170" i="32"/>
  <c r="S170" i="32"/>
  <c r="R170" i="32"/>
  <c r="J170" i="32"/>
  <c r="I170" i="32"/>
  <c r="G170" i="32"/>
  <c r="F170" i="32"/>
  <c r="X166" i="32"/>
  <c r="V166" i="32"/>
  <c r="U166" i="32"/>
  <c r="S166" i="32"/>
  <c r="R166" i="32"/>
  <c r="M166" i="32"/>
  <c r="L166" i="32"/>
  <c r="K166" i="32"/>
  <c r="J166" i="32"/>
  <c r="I166" i="32"/>
  <c r="H166" i="32"/>
  <c r="G166" i="32"/>
  <c r="F166" i="32"/>
  <c r="V165" i="32"/>
  <c r="U165" i="32"/>
  <c r="S165" i="32"/>
  <c r="R165" i="32"/>
  <c r="K165" i="32"/>
  <c r="J165" i="32"/>
  <c r="I165" i="32"/>
  <c r="H165" i="32"/>
  <c r="G165" i="32"/>
  <c r="F165" i="32"/>
  <c r="V164" i="32"/>
  <c r="U164" i="32"/>
  <c r="S164" i="32"/>
  <c r="R164" i="32"/>
  <c r="K164" i="32"/>
  <c r="J164" i="32"/>
  <c r="I164" i="32"/>
  <c r="H164" i="32"/>
  <c r="G164" i="32"/>
  <c r="F164" i="32"/>
  <c r="X159" i="32"/>
  <c r="V159" i="32"/>
  <c r="U159" i="32"/>
  <c r="S159" i="32"/>
  <c r="R159" i="32"/>
  <c r="L159" i="32"/>
  <c r="J159" i="32"/>
  <c r="I159" i="32"/>
  <c r="G159" i="32"/>
  <c r="F159" i="32"/>
  <c r="V158" i="32"/>
  <c r="U158" i="32"/>
  <c r="S158" i="32"/>
  <c r="R158" i="32"/>
  <c r="J158" i="32"/>
  <c r="I158" i="32"/>
  <c r="G158" i="32"/>
  <c r="F158" i="32"/>
  <c r="V157" i="32"/>
  <c r="U157" i="32"/>
  <c r="S157" i="32"/>
  <c r="R157" i="32"/>
  <c r="J157" i="32"/>
  <c r="I157" i="32"/>
  <c r="G157" i="32"/>
  <c r="F157" i="32"/>
  <c r="X153" i="32"/>
  <c r="V153" i="32"/>
  <c r="U153" i="32"/>
  <c r="S153" i="32"/>
  <c r="R153" i="32"/>
  <c r="M153" i="32"/>
  <c r="L153" i="32"/>
  <c r="K153" i="32"/>
  <c r="J153" i="32"/>
  <c r="I153" i="32"/>
  <c r="H153" i="32"/>
  <c r="G153" i="32"/>
  <c r="F153" i="32"/>
  <c r="V152" i="32"/>
  <c r="U152" i="32"/>
  <c r="S152" i="32"/>
  <c r="R152" i="32"/>
  <c r="K152" i="32"/>
  <c r="J152" i="32"/>
  <c r="I152" i="32"/>
  <c r="H152" i="32"/>
  <c r="G152" i="32"/>
  <c r="F152" i="32"/>
  <c r="V151" i="32"/>
  <c r="U151" i="32"/>
  <c r="S151" i="32"/>
  <c r="R151" i="32"/>
  <c r="K151" i="32"/>
  <c r="J151" i="32"/>
  <c r="I151" i="32"/>
  <c r="H151" i="32"/>
  <c r="G151" i="32"/>
  <c r="F151" i="32"/>
  <c r="X146" i="32"/>
  <c r="V146" i="32"/>
  <c r="U146" i="32"/>
  <c r="S146" i="32"/>
  <c r="R146" i="32"/>
  <c r="L146" i="32"/>
  <c r="J146" i="32"/>
  <c r="I146" i="32"/>
  <c r="G146" i="32"/>
  <c r="F146" i="32"/>
  <c r="V145" i="32"/>
  <c r="U145" i="32"/>
  <c r="S145" i="32"/>
  <c r="R145" i="32"/>
  <c r="J145" i="32"/>
  <c r="I145" i="32"/>
  <c r="G145" i="32"/>
  <c r="F145" i="32"/>
  <c r="V144" i="32"/>
  <c r="U144" i="32"/>
  <c r="S144" i="32"/>
  <c r="R144" i="32"/>
  <c r="J144" i="32"/>
  <c r="I144" i="32"/>
  <c r="G144" i="32"/>
  <c r="F144" i="32"/>
  <c r="X140" i="32"/>
  <c r="V140" i="32"/>
  <c r="U140" i="32"/>
  <c r="S140" i="32"/>
  <c r="R140" i="32"/>
  <c r="M140" i="32"/>
  <c r="L140" i="32"/>
  <c r="K140" i="32"/>
  <c r="J140" i="32"/>
  <c r="I140" i="32"/>
  <c r="H140" i="32"/>
  <c r="G140" i="32"/>
  <c r="F140" i="32"/>
  <c r="V139" i="32"/>
  <c r="U139" i="32"/>
  <c r="S139" i="32"/>
  <c r="R139" i="32"/>
  <c r="K139" i="32"/>
  <c r="J139" i="32"/>
  <c r="I139" i="32"/>
  <c r="H139" i="32"/>
  <c r="G139" i="32"/>
  <c r="F139" i="32"/>
  <c r="V138" i="32"/>
  <c r="U138" i="32"/>
  <c r="S138" i="32"/>
  <c r="R138" i="32"/>
  <c r="K138" i="32"/>
  <c r="J138" i="32"/>
  <c r="I138" i="32"/>
  <c r="H138" i="32"/>
  <c r="G138" i="32"/>
  <c r="F138" i="32"/>
  <c r="X133" i="32"/>
  <c r="V133" i="32"/>
  <c r="U133" i="32"/>
  <c r="S133" i="32"/>
  <c r="R133" i="32"/>
  <c r="L133" i="32"/>
  <c r="J133" i="32"/>
  <c r="I133" i="32"/>
  <c r="G133" i="32"/>
  <c r="F133" i="32"/>
  <c r="V132" i="32"/>
  <c r="U132" i="32"/>
  <c r="S132" i="32"/>
  <c r="R132" i="32"/>
  <c r="J132" i="32"/>
  <c r="I132" i="32"/>
  <c r="G132" i="32"/>
  <c r="F132" i="32"/>
  <c r="V131" i="32"/>
  <c r="U131" i="32"/>
  <c r="S131" i="32"/>
  <c r="R131" i="32"/>
  <c r="J131" i="32"/>
  <c r="I131" i="32"/>
  <c r="G131" i="32"/>
  <c r="F131" i="32"/>
  <c r="X127" i="32"/>
  <c r="V127" i="32"/>
  <c r="U127" i="32"/>
  <c r="S127" i="32"/>
  <c r="R127" i="32"/>
  <c r="M127" i="32"/>
  <c r="L127" i="32"/>
  <c r="K127" i="32"/>
  <c r="J127" i="32"/>
  <c r="I127" i="32"/>
  <c r="H127" i="32"/>
  <c r="G127" i="32"/>
  <c r="F127" i="32"/>
  <c r="V126" i="32"/>
  <c r="U126" i="32"/>
  <c r="S126" i="32"/>
  <c r="R126" i="32"/>
  <c r="K126" i="32"/>
  <c r="J126" i="32"/>
  <c r="I126" i="32"/>
  <c r="H126" i="32"/>
  <c r="G126" i="32"/>
  <c r="F126" i="32"/>
  <c r="V125" i="32"/>
  <c r="U125" i="32"/>
  <c r="S125" i="32"/>
  <c r="R125" i="32"/>
  <c r="K125" i="32"/>
  <c r="J125" i="32"/>
  <c r="I125" i="32"/>
  <c r="H125" i="32"/>
  <c r="G125" i="32"/>
  <c r="F125" i="32"/>
  <c r="X120" i="32"/>
  <c r="V120" i="32"/>
  <c r="U120" i="32"/>
  <c r="S120" i="32"/>
  <c r="R120" i="32"/>
  <c r="L120" i="32"/>
  <c r="J120" i="32"/>
  <c r="I120" i="32"/>
  <c r="G120" i="32"/>
  <c r="F120" i="32"/>
  <c r="V119" i="32"/>
  <c r="U119" i="32"/>
  <c r="S119" i="32"/>
  <c r="R119" i="32"/>
  <c r="J119" i="32"/>
  <c r="I119" i="32"/>
  <c r="G119" i="32"/>
  <c r="F119" i="32"/>
  <c r="V118" i="32"/>
  <c r="U118" i="32"/>
  <c r="S118" i="32"/>
  <c r="R118" i="32"/>
  <c r="J118" i="32"/>
  <c r="I118" i="32"/>
  <c r="G118" i="32"/>
  <c r="F118" i="32"/>
  <c r="X114" i="32"/>
  <c r="V114" i="32"/>
  <c r="U114" i="32"/>
  <c r="S114" i="32"/>
  <c r="R114" i="32"/>
  <c r="M114" i="32"/>
  <c r="L114" i="32"/>
  <c r="K114" i="32"/>
  <c r="J114" i="32"/>
  <c r="I114" i="32"/>
  <c r="H114" i="32"/>
  <c r="G114" i="32"/>
  <c r="F114" i="32"/>
  <c r="V113" i="32"/>
  <c r="U113" i="32"/>
  <c r="S113" i="32"/>
  <c r="R113" i="32"/>
  <c r="K113" i="32"/>
  <c r="J113" i="32"/>
  <c r="I113" i="32"/>
  <c r="H113" i="32"/>
  <c r="G113" i="32"/>
  <c r="F113" i="32"/>
  <c r="V112" i="32"/>
  <c r="U112" i="32"/>
  <c r="S112" i="32"/>
  <c r="R112" i="32"/>
  <c r="K112" i="32"/>
  <c r="J112" i="32"/>
  <c r="I112" i="32"/>
  <c r="H112" i="32"/>
  <c r="G112" i="32"/>
  <c r="F112" i="32"/>
  <c r="X107" i="32"/>
  <c r="V107" i="32"/>
  <c r="U107" i="32"/>
  <c r="S107" i="32"/>
  <c r="R107" i="32"/>
  <c r="L107" i="32"/>
  <c r="J107" i="32"/>
  <c r="I107" i="32"/>
  <c r="G107" i="32"/>
  <c r="F107" i="32"/>
  <c r="V106" i="32"/>
  <c r="U106" i="32"/>
  <c r="S106" i="32"/>
  <c r="R106" i="32"/>
  <c r="J106" i="32"/>
  <c r="I106" i="32"/>
  <c r="G106" i="32"/>
  <c r="F106" i="32"/>
  <c r="V105" i="32"/>
  <c r="U105" i="32"/>
  <c r="S105" i="32"/>
  <c r="R105" i="32"/>
  <c r="J105" i="32"/>
  <c r="I105" i="32"/>
  <c r="G105" i="32"/>
  <c r="F105" i="32"/>
  <c r="X101" i="32"/>
  <c r="V101" i="32"/>
  <c r="U101" i="32"/>
  <c r="S101" i="32"/>
  <c r="R101" i="32"/>
  <c r="M101" i="32"/>
  <c r="L101" i="32"/>
  <c r="K101" i="32"/>
  <c r="J101" i="32"/>
  <c r="I101" i="32"/>
  <c r="H101" i="32"/>
  <c r="G101" i="32"/>
  <c r="F101" i="32"/>
  <c r="V100" i="32"/>
  <c r="U100" i="32"/>
  <c r="S100" i="32"/>
  <c r="R100" i="32"/>
  <c r="K100" i="32"/>
  <c r="J100" i="32"/>
  <c r="I100" i="32"/>
  <c r="H100" i="32"/>
  <c r="G100" i="32"/>
  <c r="F100" i="32"/>
  <c r="V99" i="32"/>
  <c r="U99" i="32"/>
  <c r="S99" i="32"/>
  <c r="R99" i="32"/>
  <c r="K99" i="32"/>
  <c r="J99" i="32"/>
  <c r="I99" i="32"/>
  <c r="H99" i="32"/>
  <c r="G99" i="32"/>
  <c r="F99" i="32"/>
  <c r="X94" i="32"/>
  <c r="V94" i="32"/>
  <c r="U94" i="32"/>
  <c r="S94" i="32"/>
  <c r="R94" i="32"/>
  <c r="L94" i="32"/>
  <c r="J94" i="32"/>
  <c r="I94" i="32"/>
  <c r="G94" i="32"/>
  <c r="F94" i="32"/>
  <c r="V93" i="32"/>
  <c r="U93" i="32"/>
  <c r="S93" i="32"/>
  <c r="R93" i="32"/>
  <c r="J93" i="32"/>
  <c r="I93" i="32"/>
  <c r="G93" i="32"/>
  <c r="F93" i="32"/>
  <c r="V92" i="32"/>
  <c r="U92" i="32"/>
  <c r="S92" i="32"/>
  <c r="R92" i="32"/>
  <c r="J92" i="32"/>
  <c r="I92" i="32"/>
  <c r="G92" i="32"/>
  <c r="F92" i="32"/>
  <c r="X88" i="32"/>
  <c r="V88" i="32"/>
  <c r="U88" i="32"/>
  <c r="S88" i="32"/>
  <c r="R88" i="32"/>
  <c r="M88" i="32"/>
  <c r="L88" i="32"/>
  <c r="K88" i="32"/>
  <c r="J88" i="32"/>
  <c r="I88" i="32"/>
  <c r="H88" i="32"/>
  <c r="G88" i="32"/>
  <c r="F88" i="32"/>
  <c r="V87" i="32"/>
  <c r="U87" i="32"/>
  <c r="S87" i="32"/>
  <c r="R87" i="32"/>
  <c r="K87" i="32"/>
  <c r="J87" i="32"/>
  <c r="I87" i="32"/>
  <c r="H87" i="32"/>
  <c r="G87" i="32"/>
  <c r="F87" i="32"/>
  <c r="V86" i="32"/>
  <c r="U86" i="32"/>
  <c r="S86" i="32"/>
  <c r="R86" i="32"/>
  <c r="K86" i="32"/>
  <c r="J86" i="32"/>
  <c r="I86" i="32"/>
  <c r="H86" i="32"/>
  <c r="G86" i="32"/>
  <c r="F86" i="32"/>
  <c r="X81" i="32"/>
  <c r="V81" i="32"/>
  <c r="U81" i="32"/>
  <c r="S81" i="32"/>
  <c r="R81" i="32"/>
  <c r="L81" i="32"/>
  <c r="J81" i="32"/>
  <c r="I81" i="32"/>
  <c r="G81" i="32"/>
  <c r="F81" i="32"/>
  <c r="V80" i="32"/>
  <c r="U80" i="32"/>
  <c r="S80" i="32"/>
  <c r="R80" i="32"/>
  <c r="J80" i="32"/>
  <c r="I80" i="32"/>
  <c r="G80" i="32"/>
  <c r="F80" i="32"/>
  <c r="V79" i="32"/>
  <c r="U79" i="32"/>
  <c r="S79" i="32"/>
  <c r="R79" i="32"/>
  <c r="J79" i="32"/>
  <c r="I79" i="32"/>
  <c r="G79" i="32"/>
  <c r="F79" i="32"/>
  <c r="X75" i="32"/>
  <c r="V75" i="32"/>
  <c r="U75" i="32"/>
  <c r="S75" i="32"/>
  <c r="R75" i="32"/>
  <c r="M75" i="32"/>
  <c r="L75" i="32"/>
  <c r="K75" i="32"/>
  <c r="J75" i="32"/>
  <c r="I75" i="32"/>
  <c r="H75" i="32"/>
  <c r="G75" i="32"/>
  <c r="F75" i="32"/>
  <c r="V74" i="32"/>
  <c r="U74" i="32"/>
  <c r="S74" i="32"/>
  <c r="R74" i="32"/>
  <c r="K74" i="32"/>
  <c r="J74" i="32"/>
  <c r="I74" i="32"/>
  <c r="H74" i="32"/>
  <c r="G74" i="32"/>
  <c r="F74" i="32"/>
  <c r="V73" i="32"/>
  <c r="U73" i="32"/>
  <c r="S73" i="32"/>
  <c r="R73" i="32"/>
  <c r="K73" i="32"/>
  <c r="J73" i="32"/>
  <c r="I73" i="32"/>
  <c r="H73" i="32"/>
  <c r="G73" i="32"/>
  <c r="F73" i="32"/>
  <c r="X263" i="33"/>
  <c r="V263" i="33"/>
  <c r="U263" i="33"/>
  <c r="S263" i="33"/>
  <c r="R263" i="33"/>
  <c r="L263" i="33"/>
  <c r="J263" i="33"/>
  <c r="I263" i="33"/>
  <c r="G263" i="33"/>
  <c r="F263" i="33"/>
  <c r="V262" i="33"/>
  <c r="U262" i="33"/>
  <c r="S262" i="33"/>
  <c r="R262" i="33"/>
  <c r="J262" i="33"/>
  <c r="I262" i="33"/>
  <c r="G262" i="33"/>
  <c r="F262" i="33"/>
  <c r="V261" i="33"/>
  <c r="U261" i="33"/>
  <c r="S261" i="33"/>
  <c r="R261" i="33"/>
  <c r="J261" i="33"/>
  <c r="I261" i="33"/>
  <c r="G261" i="33"/>
  <c r="F261" i="33"/>
  <c r="X257" i="33"/>
  <c r="V257" i="33"/>
  <c r="U257" i="33"/>
  <c r="S257" i="33"/>
  <c r="R257" i="33"/>
  <c r="M257" i="33"/>
  <c r="L257" i="33"/>
  <c r="K257" i="33"/>
  <c r="J257" i="33"/>
  <c r="I257" i="33"/>
  <c r="H257" i="33"/>
  <c r="G257" i="33"/>
  <c r="F257" i="33"/>
  <c r="V256" i="33"/>
  <c r="U256" i="33"/>
  <c r="S256" i="33"/>
  <c r="R256" i="33"/>
  <c r="K256" i="33"/>
  <c r="J256" i="33"/>
  <c r="I256" i="33"/>
  <c r="H256" i="33"/>
  <c r="G256" i="33"/>
  <c r="F256" i="33"/>
  <c r="V255" i="33"/>
  <c r="U255" i="33"/>
  <c r="S255" i="33"/>
  <c r="R255" i="33"/>
  <c r="K255" i="33"/>
  <c r="J255" i="33"/>
  <c r="I255" i="33"/>
  <c r="H255" i="33"/>
  <c r="G255" i="33"/>
  <c r="F255" i="33"/>
  <c r="X250" i="33"/>
  <c r="V250" i="33"/>
  <c r="U250" i="33"/>
  <c r="S250" i="33"/>
  <c r="R250" i="33"/>
  <c r="L250" i="33"/>
  <c r="J250" i="33"/>
  <c r="I250" i="33"/>
  <c r="G250" i="33"/>
  <c r="F250" i="33"/>
  <c r="V249" i="33"/>
  <c r="U249" i="33"/>
  <c r="S249" i="33"/>
  <c r="R249" i="33"/>
  <c r="J249" i="33"/>
  <c r="I249" i="33"/>
  <c r="G249" i="33"/>
  <c r="F249" i="33"/>
  <c r="V248" i="33"/>
  <c r="U248" i="33"/>
  <c r="S248" i="33"/>
  <c r="R248" i="33"/>
  <c r="J248" i="33"/>
  <c r="I248" i="33"/>
  <c r="G248" i="33"/>
  <c r="F248" i="33"/>
  <c r="X244" i="33"/>
  <c r="V244" i="33"/>
  <c r="U244" i="33"/>
  <c r="S244" i="33"/>
  <c r="R244" i="33"/>
  <c r="M244" i="33"/>
  <c r="L244" i="33"/>
  <c r="K244" i="33"/>
  <c r="J244" i="33"/>
  <c r="I244" i="33"/>
  <c r="H244" i="33"/>
  <c r="G244" i="33"/>
  <c r="F244" i="33"/>
  <c r="V243" i="33"/>
  <c r="U243" i="33"/>
  <c r="S243" i="33"/>
  <c r="R243" i="33"/>
  <c r="K243" i="33"/>
  <c r="J243" i="33"/>
  <c r="I243" i="33"/>
  <c r="H243" i="33"/>
  <c r="G243" i="33"/>
  <c r="F243" i="33"/>
  <c r="V242" i="33"/>
  <c r="U242" i="33"/>
  <c r="S242" i="33"/>
  <c r="R242" i="33"/>
  <c r="K242" i="33"/>
  <c r="J242" i="33"/>
  <c r="I242" i="33"/>
  <c r="H242" i="33"/>
  <c r="G242" i="33"/>
  <c r="F242" i="33"/>
  <c r="X237" i="33"/>
  <c r="V237" i="33"/>
  <c r="U237" i="33"/>
  <c r="S237" i="33"/>
  <c r="R237" i="33"/>
  <c r="L237" i="33"/>
  <c r="J237" i="33"/>
  <c r="I237" i="33"/>
  <c r="G237" i="33"/>
  <c r="F237" i="33"/>
  <c r="V236" i="33"/>
  <c r="U236" i="33"/>
  <c r="S236" i="33"/>
  <c r="R236" i="33"/>
  <c r="J236" i="33"/>
  <c r="I236" i="33"/>
  <c r="G236" i="33"/>
  <c r="F236" i="33"/>
  <c r="V235" i="33"/>
  <c r="U235" i="33"/>
  <c r="S235" i="33"/>
  <c r="R235" i="33"/>
  <c r="J235" i="33"/>
  <c r="I235" i="33"/>
  <c r="G235" i="33"/>
  <c r="F235" i="33"/>
  <c r="X231" i="33"/>
  <c r="V231" i="33"/>
  <c r="U231" i="33"/>
  <c r="S231" i="33"/>
  <c r="R231" i="33"/>
  <c r="M231" i="33"/>
  <c r="L231" i="33"/>
  <c r="K231" i="33"/>
  <c r="J231" i="33"/>
  <c r="I231" i="33"/>
  <c r="H231" i="33"/>
  <c r="G231" i="33"/>
  <c r="F231" i="33"/>
  <c r="V230" i="33"/>
  <c r="U230" i="33"/>
  <c r="S230" i="33"/>
  <c r="R230" i="33"/>
  <c r="K230" i="33"/>
  <c r="J230" i="33"/>
  <c r="I230" i="33"/>
  <c r="H230" i="33"/>
  <c r="G230" i="33"/>
  <c r="F230" i="33"/>
  <c r="V229" i="33"/>
  <c r="U229" i="33"/>
  <c r="S229" i="33"/>
  <c r="R229" i="33"/>
  <c r="K229" i="33"/>
  <c r="J229" i="33"/>
  <c r="I229" i="33"/>
  <c r="H229" i="33"/>
  <c r="G229" i="33"/>
  <c r="F229" i="33"/>
  <c r="X224" i="33"/>
  <c r="V224" i="33"/>
  <c r="U224" i="33"/>
  <c r="S224" i="33"/>
  <c r="R224" i="33"/>
  <c r="L224" i="33"/>
  <c r="J224" i="33"/>
  <c r="I224" i="33"/>
  <c r="G224" i="33"/>
  <c r="F224" i="33"/>
  <c r="V223" i="33"/>
  <c r="U223" i="33"/>
  <c r="S223" i="33"/>
  <c r="R223" i="33"/>
  <c r="J223" i="33"/>
  <c r="I223" i="33"/>
  <c r="G223" i="33"/>
  <c r="F223" i="33"/>
  <c r="V222" i="33"/>
  <c r="U222" i="33"/>
  <c r="S222" i="33"/>
  <c r="R222" i="33"/>
  <c r="J222" i="33"/>
  <c r="I222" i="33"/>
  <c r="G222" i="33"/>
  <c r="F222" i="33"/>
  <c r="X218" i="33"/>
  <c r="V218" i="33"/>
  <c r="U218" i="33"/>
  <c r="S218" i="33"/>
  <c r="R218" i="33"/>
  <c r="M218" i="33"/>
  <c r="L218" i="33"/>
  <c r="K218" i="33"/>
  <c r="J218" i="33"/>
  <c r="I218" i="33"/>
  <c r="H218" i="33"/>
  <c r="G218" i="33"/>
  <c r="F218" i="33"/>
  <c r="V217" i="33"/>
  <c r="U217" i="33"/>
  <c r="S217" i="33"/>
  <c r="R217" i="33"/>
  <c r="K217" i="33"/>
  <c r="J217" i="33"/>
  <c r="I217" i="33"/>
  <c r="H217" i="33"/>
  <c r="G217" i="33"/>
  <c r="F217" i="33"/>
  <c r="V216" i="33"/>
  <c r="U216" i="33"/>
  <c r="S216" i="33"/>
  <c r="R216" i="33"/>
  <c r="K216" i="33"/>
  <c r="J216" i="33"/>
  <c r="I216" i="33"/>
  <c r="H216" i="33"/>
  <c r="G216" i="33"/>
  <c r="F216" i="33"/>
  <c r="X211" i="33"/>
  <c r="V211" i="33"/>
  <c r="U211" i="33"/>
  <c r="S211" i="33"/>
  <c r="R211" i="33"/>
  <c r="L211" i="33"/>
  <c r="J211" i="33"/>
  <c r="I211" i="33"/>
  <c r="G211" i="33"/>
  <c r="F211" i="33"/>
  <c r="V210" i="33"/>
  <c r="U210" i="33"/>
  <c r="S210" i="33"/>
  <c r="R210" i="33"/>
  <c r="J210" i="33"/>
  <c r="I210" i="33"/>
  <c r="G210" i="33"/>
  <c r="F210" i="33"/>
  <c r="V209" i="33"/>
  <c r="U209" i="33"/>
  <c r="S209" i="33"/>
  <c r="R209" i="33"/>
  <c r="J209" i="33"/>
  <c r="I209" i="33"/>
  <c r="G209" i="33"/>
  <c r="F209" i="33"/>
  <c r="X205" i="33"/>
  <c r="V205" i="33"/>
  <c r="U205" i="33"/>
  <c r="S205" i="33"/>
  <c r="R205" i="33"/>
  <c r="M205" i="33"/>
  <c r="L205" i="33"/>
  <c r="K205" i="33"/>
  <c r="J205" i="33"/>
  <c r="I205" i="33"/>
  <c r="H205" i="33"/>
  <c r="G205" i="33"/>
  <c r="F205" i="33"/>
  <c r="V204" i="33"/>
  <c r="U204" i="33"/>
  <c r="S204" i="33"/>
  <c r="R204" i="33"/>
  <c r="K204" i="33"/>
  <c r="J204" i="33"/>
  <c r="I204" i="33"/>
  <c r="H204" i="33"/>
  <c r="G204" i="33"/>
  <c r="F204" i="33"/>
  <c r="V203" i="33"/>
  <c r="U203" i="33"/>
  <c r="S203" i="33"/>
  <c r="R203" i="33"/>
  <c r="K203" i="33"/>
  <c r="J203" i="33"/>
  <c r="I203" i="33"/>
  <c r="H203" i="33"/>
  <c r="G203" i="33"/>
  <c r="F203" i="33"/>
  <c r="X198" i="33"/>
  <c r="V198" i="33"/>
  <c r="U198" i="33"/>
  <c r="S198" i="33"/>
  <c r="R198" i="33"/>
  <c r="L198" i="33"/>
  <c r="J198" i="33"/>
  <c r="I198" i="33"/>
  <c r="G198" i="33"/>
  <c r="F198" i="33"/>
  <c r="V197" i="33"/>
  <c r="U197" i="33"/>
  <c r="S197" i="33"/>
  <c r="R197" i="33"/>
  <c r="J197" i="33"/>
  <c r="I197" i="33"/>
  <c r="G197" i="33"/>
  <c r="F197" i="33"/>
  <c r="V196" i="33"/>
  <c r="U196" i="33"/>
  <c r="S196" i="33"/>
  <c r="R196" i="33"/>
  <c r="J196" i="33"/>
  <c r="I196" i="33"/>
  <c r="G196" i="33"/>
  <c r="F196" i="33"/>
  <c r="X192" i="33"/>
  <c r="V192" i="33"/>
  <c r="U192" i="33"/>
  <c r="S192" i="33"/>
  <c r="R192" i="33"/>
  <c r="M192" i="33"/>
  <c r="L192" i="33"/>
  <c r="K192" i="33"/>
  <c r="J192" i="33"/>
  <c r="I192" i="33"/>
  <c r="H192" i="33"/>
  <c r="G192" i="33"/>
  <c r="F192" i="33"/>
  <c r="V191" i="33"/>
  <c r="U191" i="33"/>
  <c r="S191" i="33"/>
  <c r="R191" i="33"/>
  <c r="K191" i="33"/>
  <c r="J191" i="33"/>
  <c r="I191" i="33"/>
  <c r="H191" i="33"/>
  <c r="G191" i="33"/>
  <c r="F191" i="33"/>
  <c r="V190" i="33"/>
  <c r="U190" i="33"/>
  <c r="S190" i="33"/>
  <c r="R190" i="33"/>
  <c r="K190" i="33"/>
  <c r="J190" i="33"/>
  <c r="I190" i="33"/>
  <c r="H190" i="33"/>
  <c r="G190" i="33"/>
  <c r="F190" i="33"/>
  <c r="X185" i="33"/>
  <c r="V185" i="33"/>
  <c r="U185" i="33"/>
  <c r="S185" i="33"/>
  <c r="R185" i="33"/>
  <c r="L185" i="33"/>
  <c r="J185" i="33"/>
  <c r="I185" i="33"/>
  <c r="G185" i="33"/>
  <c r="F185" i="33"/>
  <c r="V184" i="33"/>
  <c r="U184" i="33"/>
  <c r="S184" i="33"/>
  <c r="R184" i="33"/>
  <c r="J184" i="33"/>
  <c r="I184" i="33"/>
  <c r="G184" i="33"/>
  <c r="F184" i="33"/>
  <c r="V183" i="33"/>
  <c r="U183" i="33"/>
  <c r="S183" i="33"/>
  <c r="R183" i="33"/>
  <c r="J183" i="33"/>
  <c r="I183" i="33"/>
  <c r="G183" i="33"/>
  <c r="F183" i="33"/>
  <c r="X179" i="33"/>
  <c r="V179" i="33"/>
  <c r="U179" i="33"/>
  <c r="S179" i="33"/>
  <c r="R179" i="33"/>
  <c r="M179" i="33"/>
  <c r="L179" i="33"/>
  <c r="K179" i="33"/>
  <c r="J179" i="33"/>
  <c r="I179" i="33"/>
  <c r="H179" i="33"/>
  <c r="G179" i="33"/>
  <c r="F179" i="33"/>
  <c r="V178" i="33"/>
  <c r="U178" i="33"/>
  <c r="S178" i="33"/>
  <c r="R178" i="33"/>
  <c r="K178" i="33"/>
  <c r="J178" i="33"/>
  <c r="I178" i="33"/>
  <c r="H178" i="33"/>
  <c r="G178" i="33"/>
  <c r="F178" i="33"/>
  <c r="V177" i="33"/>
  <c r="U177" i="33"/>
  <c r="S177" i="33"/>
  <c r="R177" i="33"/>
  <c r="K177" i="33"/>
  <c r="J177" i="33"/>
  <c r="I177" i="33"/>
  <c r="H177" i="33"/>
  <c r="G177" i="33"/>
  <c r="F177" i="33"/>
  <c r="X172" i="33"/>
  <c r="V172" i="33"/>
  <c r="U172" i="33"/>
  <c r="S172" i="33"/>
  <c r="R172" i="33"/>
  <c r="L172" i="33"/>
  <c r="J172" i="33"/>
  <c r="I172" i="33"/>
  <c r="G172" i="33"/>
  <c r="F172" i="33"/>
  <c r="V171" i="33"/>
  <c r="U171" i="33"/>
  <c r="S171" i="33"/>
  <c r="R171" i="33"/>
  <c r="J171" i="33"/>
  <c r="I171" i="33"/>
  <c r="G171" i="33"/>
  <c r="F171" i="33"/>
  <c r="V170" i="33"/>
  <c r="U170" i="33"/>
  <c r="S170" i="33"/>
  <c r="R170" i="33"/>
  <c r="J170" i="33"/>
  <c r="I170" i="33"/>
  <c r="G170" i="33"/>
  <c r="F170" i="33"/>
  <c r="X166" i="33"/>
  <c r="V166" i="33"/>
  <c r="U166" i="33"/>
  <c r="S166" i="33"/>
  <c r="R166" i="33"/>
  <c r="M166" i="33"/>
  <c r="L166" i="33"/>
  <c r="K166" i="33"/>
  <c r="J166" i="33"/>
  <c r="I166" i="33"/>
  <c r="H166" i="33"/>
  <c r="G166" i="33"/>
  <c r="F166" i="33"/>
  <c r="V165" i="33"/>
  <c r="U165" i="33"/>
  <c r="S165" i="33"/>
  <c r="R165" i="33"/>
  <c r="K165" i="33"/>
  <c r="J165" i="33"/>
  <c r="I165" i="33"/>
  <c r="H165" i="33"/>
  <c r="G165" i="33"/>
  <c r="F165" i="33"/>
  <c r="V164" i="33"/>
  <c r="U164" i="33"/>
  <c r="S164" i="33"/>
  <c r="R164" i="33"/>
  <c r="K164" i="33"/>
  <c r="J164" i="33"/>
  <c r="I164" i="33"/>
  <c r="H164" i="33"/>
  <c r="G164" i="33"/>
  <c r="F164" i="33"/>
  <c r="X159" i="33"/>
  <c r="V159" i="33"/>
  <c r="U159" i="33"/>
  <c r="S159" i="33"/>
  <c r="R159" i="33"/>
  <c r="L159" i="33"/>
  <c r="J159" i="33"/>
  <c r="I159" i="33"/>
  <c r="G159" i="33"/>
  <c r="F159" i="33"/>
  <c r="V158" i="33"/>
  <c r="U158" i="33"/>
  <c r="S158" i="33"/>
  <c r="R158" i="33"/>
  <c r="J158" i="33"/>
  <c r="I158" i="33"/>
  <c r="G158" i="33"/>
  <c r="F158" i="33"/>
  <c r="V157" i="33"/>
  <c r="U157" i="33"/>
  <c r="S157" i="33"/>
  <c r="R157" i="33"/>
  <c r="J157" i="33"/>
  <c r="I157" i="33"/>
  <c r="G157" i="33"/>
  <c r="F157" i="33"/>
  <c r="X153" i="33"/>
  <c r="V153" i="33"/>
  <c r="U153" i="33"/>
  <c r="S153" i="33"/>
  <c r="R153" i="33"/>
  <c r="M153" i="33"/>
  <c r="L153" i="33"/>
  <c r="K153" i="33"/>
  <c r="J153" i="33"/>
  <c r="I153" i="33"/>
  <c r="H153" i="33"/>
  <c r="G153" i="33"/>
  <c r="F153" i="33"/>
  <c r="V152" i="33"/>
  <c r="U152" i="33"/>
  <c r="S152" i="33"/>
  <c r="R152" i="33"/>
  <c r="K152" i="33"/>
  <c r="J152" i="33"/>
  <c r="I152" i="33"/>
  <c r="H152" i="33"/>
  <c r="G152" i="33"/>
  <c r="F152" i="33"/>
  <c r="V151" i="33"/>
  <c r="U151" i="33"/>
  <c r="S151" i="33"/>
  <c r="R151" i="33"/>
  <c r="K151" i="33"/>
  <c r="J151" i="33"/>
  <c r="I151" i="33"/>
  <c r="H151" i="33"/>
  <c r="G151" i="33"/>
  <c r="F151" i="33"/>
  <c r="X146" i="33"/>
  <c r="V146" i="33"/>
  <c r="U146" i="33"/>
  <c r="S146" i="33"/>
  <c r="R146" i="33"/>
  <c r="L146" i="33"/>
  <c r="J146" i="33"/>
  <c r="I146" i="33"/>
  <c r="G146" i="33"/>
  <c r="F146" i="33"/>
  <c r="V145" i="33"/>
  <c r="U145" i="33"/>
  <c r="S145" i="33"/>
  <c r="R145" i="33"/>
  <c r="J145" i="33"/>
  <c r="I145" i="33"/>
  <c r="G145" i="33"/>
  <c r="F145" i="33"/>
  <c r="V144" i="33"/>
  <c r="U144" i="33"/>
  <c r="S144" i="33"/>
  <c r="R144" i="33"/>
  <c r="J144" i="33"/>
  <c r="I144" i="33"/>
  <c r="G144" i="33"/>
  <c r="F144" i="33"/>
  <c r="X140" i="33"/>
  <c r="V140" i="33"/>
  <c r="U140" i="33"/>
  <c r="S140" i="33"/>
  <c r="R140" i="33"/>
  <c r="M140" i="33"/>
  <c r="L140" i="33"/>
  <c r="K140" i="33"/>
  <c r="J140" i="33"/>
  <c r="I140" i="33"/>
  <c r="H140" i="33"/>
  <c r="G140" i="33"/>
  <c r="F140" i="33"/>
  <c r="V139" i="33"/>
  <c r="U139" i="33"/>
  <c r="S139" i="33"/>
  <c r="R139" i="33"/>
  <c r="K139" i="33"/>
  <c r="J139" i="33"/>
  <c r="I139" i="33"/>
  <c r="H139" i="33"/>
  <c r="G139" i="33"/>
  <c r="F139" i="33"/>
  <c r="V138" i="33"/>
  <c r="U138" i="33"/>
  <c r="S138" i="33"/>
  <c r="R138" i="33"/>
  <c r="K138" i="33"/>
  <c r="J138" i="33"/>
  <c r="I138" i="33"/>
  <c r="H138" i="33"/>
  <c r="G138" i="33"/>
  <c r="F138" i="33"/>
  <c r="X133" i="33"/>
  <c r="V133" i="33"/>
  <c r="U133" i="33"/>
  <c r="S133" i="33"/>
  <c r="R133" i="33"/>
  <c r="L133" i="33"/>
  <c r="J133" i="33"/>
  <c r="I133" i="33"/>
  <c r="G133" i="33"/>
  <c r="F133" i="33"/>
  <c r="V132" i="33"/>
  <c r="U132" i="33"/>
  <c r="S132" i="33"/>
  <c r="R132" i="33"/>
  <c r="J132" i="33"/>
  <c r="I132" i="33"/>
  <c r="G132" i="33"/>
  <c r="F132" i="33"/>
  <c r="V131" i="33"/>
  <c r="U131" i="33"/>
  <c r="S131" i="33"/>
  <c r="R131" i="33"/>
  <c r="J131" i="33"/>
  <c r="I131" i="33"/>
  <c r="G131" i="33"/>
  <c r="F131" i="33"/>
  <c r="X127" i="33"/>
  <c r="V127" i="33"/>
  <c r="U127" i="33"/>
  <c r="S127" i="33"/>
  <c r="R127" i="33"/>
  <c r="M127" i="33"/>
  <c r="L127" i="33"/>
  <c r="K127" i="33"/>
  <c r="J127" i="33"/>
  <c r="I127" i="33"/>
  <c r="H127" i="33"/>
  <c r="G127" i="33"/>
  <c r="F127" i="33"/>
  <c r="V126" i="33"/>
  <c r="U126" i="33"/>
  <c r="S126" i="33"/>
  <c r="R126" i="33"/>
  <c r="K126" i="33"/>
  <c r="J126" i="33"/>
  <c r="I126" i="33"/>
  <c r="H126" i="33"/>
  <c r="G126" i="33"/>
  <c r="F126" i="33"/>
  <c r="V125" i="33"/>
  <c r="U125" i="33"/>
  <c r="S125" i="33"/>
  <c r="R125" i="33"/>
  <c r="K125" i="33"/>
  <c r="J125" i="33"/>
  <c r="I125" i="33"/>
  <c r="H125" i="33"/>
  <c r="G125" i="33"/>
  <c r="F125" i="33"/>
  <c r="X120" i="33"/>
  <c r="V120" i="33"/>
  <c r="U120" i="33"/>
  <c r="S120" i="33"/>
  <c r="R120" i="33"/>
  <c r="L120" i="33"/>
  <c r="J120" i="33"/>
  <c r="I120" i="33"/>
  <c r="G120" i="33"/>
  <c r="F120" i="33"/>
  <c r="V119" i="33"/>
  <c r="U119" i="33"/>
  <c r="S119" i="33"/>
  <c r="R119" i="33"/>
  <c r="J119" i="33"/>
  <c r="I119" i="33"/>
  <c r="G119" i="33"/>
  <c r="F119" i="33"/>
  <c r="V118" i="33"/>
  <c r="U118" i="33"/>
  <c r="S118" i="33"/>
  <c r="R118" i="33"/>
  <c r="J118" i="33"/>
  <c r="I118" i="33"/>
  <c r="G118" i="33"/>
  <c r="F118" i="33"/>
  <c r="X114" i="33"/>
  <c r="V114" i="33"/>
  <c r="U114" i="33"/>
  <c r="S114" i="33"/>
  <c r="R114" i="33"/>
  <c r="M114" i="33"/>
  <c r="L114" i="33"/>
  <c r="K114" i="33"/>
  <c r="J114" i="33"/>
  <c r="I114" i="33"/>
  <c r="H114" i="33"/>
  <c r="G114" i="33"/>
  <c r="F114" i="33"/>
  <c r="V113" i="33"/>
  <c r="U113" i="33"/>
  <c r="S113" i="33"/>
  <c r="R113" i="33"/>
  <c r="K113" i="33"/>
  <c r="J113" i="33"/>
  <c r="I113" i="33"/>
  <c r="H113" i="33"/>
  <c r="G113" i="33"/>
  <c r="F113" i="33"/>
  <c r="V112" i="33"/>
  <c r="U112" i="33"/>
  <c r="S112" i="33"/>
  <c r="R112" i="33"/>
  <c r="K112" i="33"/>
  <c r="J112" i="33"/>
  <c r="I112" i="33"/>
  <c r="H112" i="33"/>
  <c r="G112" i="33"/>
  <c r="F112" i="33"/>
  <c r="X107" i="33"/>
  <c r="V107" i="33"/>
  <c r="U107" i="33"/>
  <c r="S107" i="33"/>
  <c r="R107" i="33"/>
  <c r="L107" i="33"/>
  <c r="J107" i="33"/>
  <c r="I107" i="33"/>
  <c r="G107" i="33"/>
  <c r="F107" i="33"/>
  <c r="V106" i="33"/>
  <c r="U106" i="33"/>
  <c r="S106" i="33"/>
  <c r="R106" i="33"/>
  <c r="J106" i="33"/>
  <c r="I106" i="33"/>
  <c r="G106" i="33"/>
  <c r="F106" i="33"/>
  <c r="V105" i="33"/>
  <c r="U105" i="33"/>
  <c r="S105" i="33"/>
  <c r="R105" i="33"/>
  <c r="J105" i="33"/>
  <c r="I105" i="33"/>
  <c r="G105" i="33"/>
  <c r="F105" i="33"/>
  <c r="X101" i="33"/>
  <c r="V101" i="33"/>
  <c r="U101" i="33"/>
  <c r="S101" i="33"/>
  <c r="R101" i="33"/>
  <c r="M101" i="33"/>
  <c r="L101" i="33"/>
  <c r="K101" i="33"/>
  <c r="J101" i="33"/>
  <c r="I101" i="33"/>
  <c r="H101" i="33"/>
  <c r="G101" i="33"/>
  <c r="F101" i="33"/>
  <c r="V100" i="33"/>
  <c r="U100" i="33"/>
  <c r="S100" i="33"/>
  <c r="R100" i="33"/>
  <c r="K100" i="33"/>
  <c r="J100" i="33"/>
  <c r="I100" i="33"/>
  <c r="H100" i="33"/>
  <c r="G100" i="33"/>
  <c r="F100" i="33"/>
  <c r="V99" i="33"/>
  <c r="U99" i="33"/>
  <c r="S99" i="33"/>
  <c r="R99" i="33"/>
  <c r="K99" i="33"/>
  <c r="J99" i="33"/>
  <c r="I99" i="33"/>
  <c r="H99" i="33"/>
  <c r="G99" i="33"/>
  <c r="F99" i="33"/>
  <c r="X94" i="33"/>
  <c r="V94" i="33"/>
  <c r="U94" i="33"/>
  <c r="S94" i="33"/>
  <c r="R94" i="33"/>
  <c r="L94" i="33"/>
  <c r="J94" i="33"/>
  <c r="I94" i="33"/>
  <c r="G94" i="33"/>
  <c r="F94" i="33"/>
  <c r="V93" i="33"/>
  <c r="U93" i="33"/>
  <c r="S93" i="33"/>
  <c r="R93" i="33"/>
  <c r="J93" i="33"/>
  <c r="I93" i="33"/>
  <c r="G93" i="33"/>
  <c r="F93" i="33"/>
  <c r="V92" i="33"/>
  <c r="U92" i="33"/>
  <c r="S92" i="33"/>
  <c r="R92" i="33"/>
  <c r="J92" i="33"/>
  <c r="I92" i="33"/>
  <c r="G92" i="33"/>
  <c r="F92" i="33"/>
  <c r="X88" i="33"/>
  <c r="V88" i="33"/>
  <c r="U88" i="33"/>
  <c r="S88" i="33"/>
  <c r="R88" i="33"/>
  <c r="M88" i="33"/>
  <c r="L88" i="33"/>
  <c r="K88" i="33"/>
  <c r="J88" i="33"/>
  <c r="I88" i="33"/>
  <c r="H88" i="33"/>
  <c r="G88" i="33"/>
  <c r="F88" i="33"/>
  <c r="V87" i="33"/>
  <c r="U87" i="33"/>
  <c r="S87" i="33"/>
  <c r="R87" i="33"/>
  <c r="K87" i="33"/>
  <c r="J87" i="33"/>
  <c r="I87" i="33"/>
  <c r="H87" i="33"/>
  <c r="G87" i="33"/>
  <c r="F87" i="33"/>
  <c r="V86" i="33"/>
  <c r="U86" i="33"/>
  <c r="S86" i="33"/>
  <c r="R86" i="33"/>
  <c r="K86" i="33"/>
  <c r="J86" i="33"/>
  <c r="I86" i="33"/>
  <c r="H86" i="33"/>
  <c r="G86" i="33"/>
  <c r="F86" i="33"/>
  <c r="X81" i="33"/>
  <c r="V81" i="33"/>
  <c r="U81" i="33"/>
  <c r="S81" i="33"/>
  <c r="R81" i="33"/>
  <c r="L81" i="33"/>
  <c r="J81" i="33"/>
  <c r="I81" i="33"/>
  <c r="G81" i="33"/>
  <c r="F81" i="33"/>
  <c r="V80" i="33"/>
  <c r="U80" i="33"/>
  <c r="S80" i="33"/>
  <c r="R80" i="33"/>
  <c r="J80" i="33"/>
  <c r="I80" i="33"/>
  <c r="G80" i="33"/>
  <c r="F80" i="33"/>
  <c r="V79" i="33"/>
  <c r="U79" i="33"/>
  <c r="S79" i="33"/>
  <c r="R79" i="33"/>
  <c r="J79" i="33"/>
  <c r="I79" i="33"/>
  <c r="G79" i="33"/>
  <c r="F79" i="33"/>
  <c r="X75" i="33"/>
  <c r="V75" i="33"/>
  <c r="U75" i="33"/>
  <c r="S75" i="33"/>
  <c r="R75" i="33"/>
  <c r="M75" i="33"/>
  <c r="L75" i="33"/>
  <c r="K75" i="33"/>
  <c r="J75" i="33"/>
  <c r="I75" i="33"/>
  <c r="H75" i="33"/>
  <c r="G75" i="33"/>
  <c r="F75" i="33"/>
  <c r="V74" i="33"/>
  <c r="U74" i="33"/>
  <c r="S74" i="33"/>
  <c r="R74" i="33"/>
  <c r="K74" i="33"/>
  <c r="J74" i="33"/>
  <c r="I74" i="33"/>
  <c r="H74" i="33"/>
  <c r="G74" i="33"/>
  <c r="F74" i="33"/>
  <c r="V73" i="33"/>
  <c r="U73" i="33"/>
  <c r="S73" i="33"/>
  <c r="R73" i="33"/>
  <c r="K73" i="33"/>
  <c r="J73" i="33"/>
  <c r="I73" i="33"/>
  <c r="H73" i="33"/>
  <c r="G73" i="33"/>
  <c r="F73" i="33"/>
  <c r="X263" i="41"/>
  <c r="V263" i="41"/>
  <c r="U263" i="41"/>
  <c r="S263" i="41"/>
  <c r="R263" i="41"/>
  <c r="L263" i="41"/>
  <c r="J263" i="41"/>
  <c r="I263" i="41"/>
  <c r="G263" i="41"/>
  <c r="F263" i="41"/>
  <c r="V262" i="41"/>
  <c r="U262" i="41"/>
  <c r="S262" i="41"/>
  <c r="R262" i="41"/>
  <c r="J262" i="41"/>
  <c r="I262" i="41"/>
  <c r="G262" i="41"/>
  <c r="F262" i="41"/>
  <c r="V261" i="41"/>
  <c r="U261" i="41"/>
  <c r="S261" i="41"/>
  <c r="R261" i="41"/>
  <c r="J261" i="41"/>
  <c r="I261" i="41"/>
  <c r="G261" i="41"/>
  <c r="F261" i="41"/>
  <c r="X257" i="41"/>
  <c r="V257" i="41"/>
  <c r="U257" i="41"/>
  <c r="S257" i="41"/>
  <c r="R257" i="41"/>
  <c r="M257" i="41"/>
  <c r="L257" i="41"/>
  <c r="K257" i="41"/>
  <c r="J257" i="41"/>
  <c r="I257" i="41"/>
  <c r="H257" i="41"/>
  <c r="G257" i="41"/>
  <c r="F257" i="41"/>
  <c r="V256" i="41"/>
  <c r="U256" i="41"/>
  <c r="S256" i="41"/>
  <c r="R256" i="41"/>
  <c r="K256" i="41"/>
  <c r="J256" i="41"/>
  <c r="I256" i="41"/>
  <c r="H256" i="41"/>
  <c r="G256" i="41"/>
  <c r="F256" i="41"/>
  <c r="V255" i="41"/>
  <c r="U255" i="41"/>
  <c r="S255" i="41"/>
  <c r="R255" i="41"/>
  <c r="K255" i="41"/>
  <c r="J255" i="41"/>
  <c r="I255" i="41"/>
  <c r="H255" i="41"/>
  <c r="G255" i="41"/>
  <c r="F255" i="41"/>
  <c r="X250" i="41"/>
  <c r="V250" i="41"/>
  <c r="U250" i="41"/>
  <c r="S250" i="41"/>
  <c r="R250" i="41"/>
  <c r="L250" i="41"/>
  <c r="J250" i="41"/>
  <c r="I250" i="41"/>
  <c r="G250" i="41"/>
  <c r="F250" i="41"/>
  <c r="V249" i="41"/>
  <c r="U249" i="41"/>
  <c r="S249" i="41"/>
  <c r="R249" i="41"/>
  <c r="J249" i="41"/>
  <c r="I249" i="41"/>
  <c r="G249" i="41"/>
  <c r="F249" i="41"/>
  <c r="V248" i="41"/>
  <c r="U248" i="41"/>
  <c r="S248" i="41"/>
  <c r="R248" i="41"/>
  <c r="J248" i="41"/>
  <c r="I248" i="41"/>
  <c r="G248" i="41"/>
  <c r="F248" i="41"/>
  <c r="X244" i="41"/>
  <c r="V244" i="41"/>
  <c r="U244" i="41"/>
  <c r="S244" i="41"/>
  <c r="R244" i="41"/>
  <c r="M244" i="41"/>
  <c r="L244" i="41"/>
  <c r="K244" i="41"/>
  <c r="J244" i="41"/>
  <c r="I244" i="41"/>
  <c r="H244" i="41"/>
  <c r="G244" i="41"/>
  <c r="F244" i="41"/>
  <c r="V243" i="41"/>
  <c r="U243" i="41"/>
  <c r="S243" i="41"/>
  <c r="R243" i="41"/>
  <c r="K243" i="41"/>
  <c r="J243" i="41"/>
  <c r="I243" i="41"/>
  <c r="H243" i="41"/>
  <c r="G243" i="41"/>
  <c r="F243" i="41"/>
  <c r="V242" i="41"/>
  <c r="U242" i="41"/>
  <c r="S242" i="41"/>
  <c r="R242" i="41"/>
  <c r="K242" i="41"/>
  <c r="J242" i="41"/>
  <c r="I242" i="41"/>
  <c r="H242" i="41"/>
  <c r="G242" i="41"/>
  <c r="F242" i="41"/>
  <c r="X237" i="41"/>
  <c r="V237" i="41"/>
  <c r="U237" i="41"/>
  <c r="S237" i="41"/>
  <c r="R237" i="41"/>
  <c r="L237" i="41"/>
  <c r="J237" i="41"/>
  <c r="I237" i="41"/>
  <c r="G237" i="41"/>
  <c r="F237" i="41"/>
  <c r="V236" i="41"/>
  <c r="U236" i="41"/>
  <c r="S236" i="41"/>
  <c r="R236" i="41"/>
  <c r="J236" i="41"/>
  <c r="I236" i="41"/>
  <c r="G236" i="41"/>
  <c r="F236" i="41"/>
  <c r="V235" i="41"/>
  <c r="U235" i="41"/>
  <c r="S235" i="41"/>
  <c r="R235" i="41"/>
  <c r="J235" i="41"/>
  <c r="I235" i="41"/>
  <c r="G235" i="41"/>
  <c r="F235" i="41"/>
  <c r="X231" i="41"/>
  <c r="V231" i="41"/>
  <c r="U231" i="41"/>
  <c r="S231" i="41"/>
  <c r="R231" i="41"/>
  <c r="M231" i="41"/>
  <c r="L231" i="41"/>
  <c r="K231" i="41"/>
  <c r="J231" i="41"/>
  <c r="I231" i="41"/>
  <c r="H231" i="41"/>
  <c r="G231" i="41"/>
  <c r="F231" i="41"/>
  <c r="V230" i="41"/>
  <c r="U230" i="41"/>
  <c r="S230" i="41"/>
  <c r="R230" i="41"/>
  <c r="K230" i="41"/>
  <c r="J230" i="41"/>
  <c r="I230" i="41"/>
  <c r="H230" i="41"/>
  <c r="G230" i="41"/>
  <c r="F230" i="41"/>
  <c r="V229" i="41"/>
  <c r="U229" i="41"/>
  <c r="S229" i="41"/>
  <c r="R229" i="41"/>
  <c r="K229" i="41"/>
  <c r="J229" i="41"/>
  <c r="I229" i="41"/>
  <c r="H229" i="41"/>
  <c r="G229" i="41"/>
  <c r="F229" i="41"/>
  <c r="X224" i="41"/>
  <c r="V224" i="41"/>
  <c r="U224" i="41"/>
  <c r="S224" i="41"/>
  <c r="R224" i="41"/>
  <c r="L224" i="41"/>
  <c r="J224" i="41"/>
  <c r="I224" i="41"/>
  <c r="G224" i="41"/>
  <c r="F224" i="41"/>
  <c r="V223" i="41"/>
  <c r="U223" i="41"/>
  <c r="S223" i="41"/>
  <c r="R223" i="41"/>
  <c r="J223" i="41"/>
  <c r="I223" i="41"/>
  <c r="G223" i="41"/>
  <c r="F223" i="41"/>
  <c r="V222" i="41"/>
  <c r="U222" i="41"/>
  <c r="S222" i="41"/>
  <c r="R222" i="41"/>
  <c r="J222" i="41"/>
  <c r="I222" i="41"/>
  <c r="G222" i="41"/>
  <c r="F222" i="41"/>
  <c r="X218" i="41"/>
  <c r="V218" i="41"/>
  <c r="U218" i="41"/>
  <c r="S218" i="41"/>
  <c r="R218" i="41"/>
  <c r="M218" i="41"/>
  <c r="L218" i="41"/>
  <c r="K218" i="41"/>
  <c r="J218" i="41"/>
  <c r="I218" i="41"/>
  <c r="H218" i="41"/>
  <c r="G218" i="41"/>
  <c r="F218" i="41"/>
  <c r="V217" i="41"/>
  <c r="U217" i="41"/>
  <c r="S217" i="41"/>
  <c r="R217" i="41"/>
  <c r="K217" i="41"/>
  <c r="J217" i="41"/>
  <c r="I217" i="41"/>
  <c r="H217" i="41"/>
  <c r="G217" i="41"/>
  <c r="F217" i="41"/>
  <c r="V216" i="41"/>
  <c r="U216" i="41"/>
  <c r="S216" i="41"/>
  <c r="R216" i="41"/>
  <c r="K216" i="41"/>
  <c r="J216" i="41"/>
  <c r="I216" i="41"/>
  <c r="H216" i="41"/>
  <c r="G216" i="41"/>
  <c r="F216" i="41"/>
  <c r="X211" i="41"/>
  <c r="V211" i="41"/>
  <c r="U211" i="41"/>
  <c r="S211" i="41"/>
  <c r="R211" i="41"/>
  <c r="L211" i="41"/>
  <c r="J211" i="41"/>
  <c r="I211" i="41"/>
  <c r="G211" i="41"/>
  <c r="F211" i="41"/>
  <c r="V210" i="41"/>
  <c r="U210" i="41"/>
  <c r="S210" i="41"/>
  <c r="R210" i="41"/>
  <c r="J210" i="41"/>
  <c r="I210" i="41"/>
  <c r="G210" i="41"/>
  <c r="F210" i="41"/>
  <c r="V209" i="41"/>
  <c r="U209" i="41"/>
  <c r="S209" i="41"/>
  <c r="R209" i="41"/>
  <c r="J209" i="41"/>
  <c r="I209" i="41"/>
  <c r="G209" i="41"/>
  <c r="F209" i="41"/>
  <c r="X205" i="41"/>
  <c r="V205" i="41"/>
  <c r="U205" i="41"/>
  <c r="S205" i="41"/>
  <c r="R205" i="41"/>
  <c r="M205" i="41"/>
  <c r="L205" i="41"/>
  <c r="K205" i="41"/>
  <c r="J205" i="41"/>
  <c r="I205" i="41"/>
  <c r="H205" i="41"/>
  <c r="G205" i="41"/>
  <c r="F205" i="41"/>
  <c r="V204" i="41"/>
  <c r="U204" i="41"/>
  <c r="S204" i="41"/>
  <c r="R204" i="41"/>
  <c r="K204" i="41"/>
  <c r="J204" i="41"/>
  <c r="I204" i="41"/>
  <c r="H204" i="41"/>
  <c r="G204" i="41"/>
  <c r="F204" i="41"/>
  <c r="V203" i="41"/>
  <c r="U203" i="41"/>
  <c r="S203" i="41"/>
  <c r="R203" i="41"/>
  <c r="K203" i="41"/>
  <c r="J203" i="41"/>
  <c r="I203" i="41"/>
  <c r="H203" i="41"/>
  <c r="G203" i="41"/>
  <c r="F203" i="41"/>
  <c r="X198" i="41"/>
  <c r="V198" i="41"/>
  <c r="U198" i="41"/>
  <c r="S198" i="41"/>
  <c r="R198" i="41"/>
  <c r="L198" i="41"/>
  <c r="J198" i="41"/>
  <c r="I198" i="41"/>
  <c r="G198" i="41"/>
  <c r="F198" i="41"/>
  <c r="V197" i="41"/>
  <c r="U197" i="41"/>
  <c r="S197" i="41"/>
  <c r="R197" i="41"/>
  <c r="J197" i="41"/>
  <c r="I197" i="41"/>
  <c r="G197" i="41"/>
  <c r="F197" i="41"/>
  <c r="V196" i="41"/>
  <c r="U196" i="41"/>
  <c r="S196" i="41"/>
  <c r="R196" i="41"/>
  <c r="J196" i="41"/>
  <c r="I196" i="41"/>
  <c r="G196" i="41"/>
  <c r="F196" i="41"/>
  <c r="X192" i="41"/>
  <c r="V192" i="41"/>
  <c r="U192" i="41"/>
  <c r="S192" i="41"/>
  <c r="R192" i="41"/>
  <c r="M192" i="41"/>
  <c r="L192" i="41"/>
  <c r="K192" i="41"/>
  <c r="J192" i="41"/>
  <c r="I192" i="41"/>
  <c r="H192" i="41"/>
  <c r="G192" i="41"/>
  <c r="F192" i="41"/>
  <c r="V191" i="41"/>
  <c r="U191" i="41"/>
  <c r="S191" i="41"/>
  <c r="R191" i="41"/>
  <c r="K191" i="41"/>
  <c r="J191" i="41"/>
  <c r="I191" i="41"/>
  <c r="H191" i="41"/>
  <c r="G191" i="41"/>
  <c r="F191" i="41"/>
  <c r="V190" i="41"/>
  <c r="U190" i="41"/>
  <c r="S190" i="41"/>
  <c r="R190" i="41"/>
  <c r="K190" i="41"/>
  <c r="J190" i="41"/>
  <c r="I190" i="41"/>
  <c r="H190" i="41"/>
  <c r="G190" i="41"/>
  <c r="F190" i="41"/>
  <c r="X185" i="41"/>
  <c r="V185" i="41"/>
  <c r="U185" i="41"/>
  <c r="S185" i="41"/>
  <c r="R185" i="41"/>
  <c r="L185" i="41"/>
  <c r="J185" i="41"/>
  <c r="I185" i="41"/>
  <c r="G185" i="41"/>
  <c r="F185" i="41"/>
  <c r="V184" i="41"/>
  <c r="U184" i="41"/>
  <c r="S184" i="41"/>
  <c r="R184" i="41"/>
  <c r="J184" i="41"/>
  <c r="I184" i="41"/>
  <c r="G184" i="41"/>
  <c r="F184" i="41"/>
  <c r="V183" i="41"/>
  <c r="U183" i="41"/>
  <c r="S183" i="41"/>
  <c r="R183" i="41"/>
  <c r="J183" i="41"/>
  <c r="I183" i="41"/>
  <c r="G183" i="41"/>
  <c r="F183" i="41"/>
  <c r="X179" i="41"/>
  <c r="V179" i="41"/>
  <c r="U179" i="41"/>
  <c r="S179" i="41"/>
  <c r="R179" i="41"/>
  <c r="M179" i="41"/>
  <c r="L179" i="41"/>
  <c r="K179" i="41"/>
  <c r="J179" i="41"/>
  <c r="I179" i="41"/>
  <c r="H179" i="41"/>
  <c r="G179" i="41"/>
  <c r="F179" i="41"/>
  <c r="V178" i="41"/>
  <c r="U178" i="41"/>
  <c r="S178" i="41"/>
  <c r="R178" i="41"/>
  <c r="K178" i="41"/>
  <c r="J178" i="41"/>
  <c r="I178" i="41"/>
  <c r="H178" i="41"/>
  <c r="G178" i="41"/>
  <c r="F178" i="41"/>
  <c r="V177" i="41"/>
  <c r="U177" i="41"/>
  <c r="S177" i="41"/>
  <c r="R177" i="41"/>
  <c r="K177" i="41"/>
  <c r="J177" i="41"/>
  <c r="I177" i="41"/>
  <c r="H177" i="41"/>
  <c r="G177" i="41"/>
  <c r="F177" i="41"/>
  <c r="X172" i="41"/>
  <c r="V172" i="41"/>
  <c r="U172" i="41"/>
  <c r="S172" i="41"/>
  <c r="R172" i="41"/>
  <c r="L172" i="41"/>
  <c r="J172" i="41"/>
  <c r="I172" i="41"/>
  <c r="G172" i="41"/>
  <c r="F172" i="41"/>
  <c r="V171" i="41"/>
  <c r="U171" i="41"/>
  <c r="S171" i="41"/>
  <c r="R171" i="41"/>
  <c r="J171" i="41"/>
  <c r="I171" i="41"/>
  <c r="G171" i="41"/>
  <c r="F171" i="41"/>
  <c r="V170" i="41"/>
  <c r="U170" i="41"/>
  <c r="S170" i="41"/>
  <c r="R170" i="41"/>
  <c r="J170" i="41"/>
  <c r="I170" i="41"/>
  <c r="G170" i="41"/>
  <c r="F170" i="41"/>
  <c r="X166" i="41"/>
  <c r="V166" i="41"/>
  <c r="U166" i="41"/>
  <c r="S166" i="41"/>
  <c r="R166" i="41"/>
  <c r="M166" i="41"/>
  <c r="L166" i="41"/>
  <c r="K166" i="41"/>
  <c r="J166" i="41"/>
  <c r="I166" i="41"/>
  <c r="H166" i="41"/>
  <c r="G166" i="41"/>
  <c r="F166" i="41"/>
  <c r="V165" i="41"/>
  <c r="U165" i="41"/>
  <c r="S165" i="41"/>
  <c r="R165" i="41"/>
  <c r="K165" i="41"/>
  <c r="J165" i="41"/>
  <c r="I165" i="41"/>
  <c r="H165" i="41"/>
  <c r="G165" i="41"/>
  <c r="F165" i="41"/>
  <c r="V164" i="41"/>
  <c r="U164" i="41"/>
  <c r="S164" i="41"/>
  <c r="R164" i="41"/>
  <c r="K164" i="41"/>
  <c r="J164" i="41"/>
  <c r="I164" i="41"/>
  <c r="H164" i="41"/>
  <c r="G164" i="41"/>
  <c r="F164" i="41"/>
  <c r="X159" i="41"/>
  <c r="V159" i="41"/>
  <c r="U159" i="41"/>
  <c r="S159" i="41"/>
  <c r="R159" i="41"/>
  <c r="L159" i="41"/>
  <c r="J159" i="41"/>
  <c r="I159" i="41"/>
  <c r="G159" i="41"/>
  <c r="F159" i="41"/>
  <c r="V158" i="41"/>
  <c r="U158" i="41"/>
  <c r="S158" i="41"/>
  <c r="R158" i="41"/>
  <c r="J158" i="41"/>
  <c r="I158" i="41"/>
  <c r="G158" i="41"/>
  <c r="F158" i="41"/>
  <c r="V157" i="41"/>
  <c r="U157" i="41"/>
  <c r="S157" i="41"/>
  <c r="R157" i="41"/>
  <c r="J157" i="41"/>
  <c r="I157" i="41"/>
  <c r="G157" i="41"/>
  <c r="F157" i="41"/>
  <c r="X153" i="41"/>
  <c r="V153" i="41"/>
  <c r="U153" i="41"/>
  <c r="S153" i="41"/>
  <c r="R153" i="41"/>
  <c r="M153" i="41"/>
  <c r="L153" i="41"/>
  <c r="K153" i="41"/>
  <c r="J153" i="41"/>
  <c r="I153" i="41"/>
  <c r="H153" i="41"/>
  <c r="G153" i="41"/>
  <c r="F153" i="41"/>
  <c r="V152" i="41"/>
  <c r="U152" i="41"/>
  <c r="S152" i="41"/>
  <c r="R152" i="41"/>
  <c r="K152" i="41"/>
  <c r="J152" i="41"/>
  <c r="I152" i="41"/>
  <c r="H152" i="41"/>
  <c r="G152" i="41"/>
  <c r="F152" i="41"/>
  <c r="V151" i="41"/>
  <c r="U151" i="41"/>
  <c r="S151" i="41"/>
  <c r="R151" i="41"/>
  <c r="K151" i="41"/>
  <c r="J151" i="41"/>
  <c r="I151" i="41"/>
  <c r="H151" i="41"/>
  <c r="G151" i="41"/>
  <c r="F151" i="41"/>
  <c r="X146" i="41"/>
  <c r="V146" i="41"/>
  <c r="U146" i="41"/>
  <c r="S146" i="41"/>
  <c r="R146" i="41"/>
  <c r="L146" i="41"/>
  <c r="J146" i="41"/>
  <c r="I146" i="41"/>
  <c r="G146" i="41"/>
  <c r="F146" i="41"/>
  <c r="V145" i="41"/>
  <c r="U145" i="41"/>
  <c r="S145" i="41"/>
  <c r="R145" i="41"/>
  <c r="J145" i="41"/>
  <c r="I145" i="41"/>
  <c r="G145" i="41"/>
  <c r="F145" i="41"/>
  <c r="V144" i="41"/>
  <c r="U144" i="41"/>
  <c r="S144" i="41"/>
  <c r="R144" i="41"/>
  <c r="J144" i="41"/>
  <c r="I144" i="41"/>
  <c r="G144" i="41"/>
  <c r="F144" i="41"/>
  <c r="X140" i="41"/>
  <c r="V140" i="41"/>
  <c r="U140" i="41"/>
  <c r="S140" i="41"/>
  <c r="R140" i="41"/>
  <c r="M140" i="41"/>
  <c r="L140" i="41"/>
  <c r="K140" i="41"/>
  <c r="J140" i="41"/>
  <c r="I140" i="41"/>
  <c r="H140" i="41"/>
  <c r="G140" i="41"/>
  <c r="F140" i="41"/>
  <c r="V139" i="41"/>
  <c r="U139" i="41"/>
  <c r="S139" i="41"/>
  <c r="R139" i="41"/>
  <c r="K139" i="41"/>
  <c r="J139" i="41"/>
  <c r="I139" i="41"/>
  <c r="H139" i="41"/>
  <c r="G139" i="41"/>
  <c r="F139" i="41"/>
  <c r="V138" i="41"/>
  <c r="U138" i="41"/>
  <c r="S138" i="41"/>
  <c r="R138" i="41"/>
  <c r="K138" i="41"/>
  <c r="J138" i="41"/>
  <c r="I138" i="41"/>
  <c r="H138" i="41"/>
  <c r="G138" i="41"/>
  <c r="F138" i="41"/>
  <c r="X133" i="41"/>
  <c r="V133" i="41"/>
  <c r="U133" i="41"/>
  <c r="S133" i="41"/>
  <c r="R133" i="41"/>
  <c r="L133" i="41"/>
  <c r="J133" i="41"/>
  <c r="I133" i="41"/>
  <c r="G133" i="41"/>
  <c r="F133" i="41"/>
  <c r="V132" i="41"/>
  <c r="U132" i="41"/>
  <c r="S132" i="41"/>
  <c r="R132" i="41"/>
  <c r="J132" i="41"/>
  <c r="I132" i="41"/>
  <c r="G132" i="41"/>
  <c r="F132" i="41"/>
  <c r="V131" i="41"/>
  <c r="U131" i="41"/>
  <c r="S131" i="41"/>
  <c r="R131" i="41"/>
  <c r="J131" i="41"/>
  <c r="I131" i="41"/>
  <c r="G131" i="41"/>
  <c r="F131" i="41"/>
  <c r="X127" i="41"/>
  <c r="V127" i="41"/>
  <c r="U127" i="41"/>
  <c r="S127" i="41"/>
  <c r="R127" i="41"/>
  <c r="M127" i="41"/>
  <c r="L127" i="41"/>
  <c r="K127" i="41"/>
  <c r="J127" i="41"/>
  <c r="I127" i="41"/>
  <c r="H127" i="41"/>
  <c r="G127" i="41"/>
  <c r="F127" i="41"/>
  <c r="V126" i="41"/>
  <c r="U126" i="41"/>
  <c r="S126" i="41"/>
  <c r="R126" i="41"/>
  <c r="K126" i="41"/>
  <c r="J126" i="41"/>
  <c r="I126" i="41"/>
  <c r="H126" i="41"/>
  <c r="G126" i="41"/>
  <c r="F126" i="41"/>
  <c r="V125" i="41"/>
  <c r="U125" i="41"/>
  <c r="S125" i="41"/>
  <c r="R125" i="41"/>
  <c r="K125" i="41"/>
  <c r="J125" i="41"/>
  <c r="I125" i="41"/>
  <c r="H125" i="41"/>
  <c r="G125" i="41"/>
  <c r="F125" i="41"/>
  <c r="X120" i="41"/>
  <c r="V120" i="41"/>
  <c r="U120" i="41"/>
  <c r="S120" i="41"/>
  <c r="R120" i="41"/>
  <c r="L120" i="41"/>
  <c r="J120" i="41"/>
  <c r="I120" i="41"/>
  <c r="G120" i="41"/>
  <c r="F120" i="41"/>
  <c r="V119" i="41"/>
  <c r="U119" i="41"/>
  <c r="S119" i="41"/>
  <c r="R119" i="41"/>
  <c r="J119" i="41"/>
  <c r="I119" i="41"/>
  <c r="G119" i="41"/>
  <c r="F119" i="41"/>
  <c r="V118" i="41"/>
  <c r="U118" i="41"/>
  <c r="S118" i="41"/>
  <c r="R118" i="41"/>
  <c r="J118" i="41"/>
  <c r="I118" i="41"/>
  <c r="G118" i="41"/>
  <c r="F118" i="41"/>
  <c r="X114" i="41"/>
  <c r="V114" i="41"/>
  <c r="U114" i="41"/>
  <c r="S114" i="41"/>
  <c r="R114" i="41"/>
  <c r="M114" i="41"/>
  <c r="L114" i="41"/>
  <c r="K114" i="41"/>
  <c r="J114" i="41"/>
  <c r="I114" i="41"/>
  <c r="H114" i="41"/>
  <c r="G114" i="41"/>
  <c r="F114" i="41"/>
  <c r="V113" i="41"/>
  <c r="U113" i="41"/>
  <c r="S113" i="41"/>
  <c r="R113" i="41"/>
  <c r="K113" i="41"/>
  <c r="J113" i="41"/>
  <c r="I113" i="41"/>
  <c r="H113" i="41"/>
  <c r="G113" i="41"/>
  <c r="F113" i="41"/>
  <c r="V112" i="41"/>
  <c r="U112" i="41"/>
  <c r="S112" i="41"/>
  <c r="R112" i="41"/>
  <c r="K112" i="41"/>
  <c r="J112" i="41"/>
  <c r="I112" i="41"/>
  <c r="H112" i="41"/>
  <c r="G112" i="41"/>
  <c r="F112" i="41"/>
  <c r="X107" i="41"/>
  <c r="V107" i="41"/>
  <c r="U107" i="41"/>
  <c r="S107" i="41"/>
  <c r="R107" i="41"/>
  <c r="L107" i="41"/>
  <c r="J107" i="41"/>
  <c r="I107" i="41"/>
  <c r="G107" i="41"/>
  <c r="F107" i="41"/>
  <c r="V106" i="41"/>
  <c r="U106" i="41"/>
  <c r="S106" i="41"/>
  <c r="R106" i="41"/>
  <c r="J106" i="41"/>
  <c r="I106" i="41"/>
  <c r="G106" i="41"/>
  <c r="F106" i="41"/>
  <c r="V105" i="41"/>
  <c r="U105" i="41"/>
  <c r="S105" i="41"/>
  <c r="R105" i="41"/>
  <c r="J105" i="41"/>
  <c r="I105" i="41"/>
  <c r="G105" i="41"/>
  <c r="F105" i="41"/>
  <c r="X101" i="41"/>
  <c r="V101" i="41"/>
  <c r="U101" i="41"/>
  <c r="S101" i="41"/>
  <c r="R101" i="41"/>
  <c r="M101" i="41"/>
  <c r="L101" i="41"/>
  <c r="K101" i="41"/>
  <c r="J101" i="41"/>
  <c r="I101" i="41"/>
  <c r="H101" i="41"/>
  <c r="G101" i="41"/>
  <c r="F101" i="41"/>
  <c r="V100" i="41"/>
  <c r="U100" i="41"/>
  <c r="S100" i="41"/>
  <c r="R100" i="41"/>
  <c r="K100" i="41"/>
  <c r="J100" i="41"/>
  <c r="I100" i="41"/>
  <c r="H100" i="41"/>
  <c r="G100" i="41"/>
  <c r="F100" i="41"/>
  <c r="V99" i="41"/>
  <c r="U99" i="41"/>
  <c r="S99" i="41"/>
  <c r="R99" i="41"/>
  <c r="K99" i="41"/>
  <c r="J99" i="41"/>
  <c r="I99" i="41"/>
  <c r="H99" i="41"/>
  <c r="G99" i="41"/>
  <c r="F99" i="41"/>
  <c r="X94" i="41"/>
  <c r="V94" i="41"/>
  <c r="U94" i="41"/>
  <c r="S94" i="41"/>
  <c r="R94" i="41"/>
  <c r="L94" i="41"/>
  <c r="J94" i="41"/>
  <c r="I94" i="41"/>
  <c r="G94" i="41"/>
  <c r="F94" i="41"/>
  <c r="V93" i="41"/>
  <c r="U93" i="41"/>
  <c r="S93" i="41"/>
  <c r="R93" i="41"/>
  <c r="J93" i="41"/>
  <c r="I93" i="41"/>
  <c r="G93" i="41"/>
  <c r="F93" i="41"/>
  <c r="V92" i="41"/>
  <c r="U92" i="41"/>
  <c r="S92" i="41"/>
  <c r="R92" i="41"/>
  <c r="J92" i="41"/>
  <c r="I92" i="41"/>
  <c r="G92" i="41"/>
  <c r="F92" i="41"/>
  <c r="X88" i="41"/>
  <c r="V88" i="41"/>
  <c r="U88" i="41"/>
  <c r="S88" i="41"/>
  <c r="R88" i="41"/>
  <c r="M88" i="41"/>
  <c r="L88" i="41"/>
  <c r="K88" i="41"/>
  <c r="J88" i="41"/>
  <c r="I88" i="41"/>
  <c r="H88" i="41"/>
  <c r="G88" i="41"/>
  <c r="F88" i="41"/>
  <c r="V87" i="41"/>
  <c r="U87" i="41"/>
  <c r="S87" i="41"/>
  <c r="R87" i="41"/>
  <c r="K87" i="41"/>
  <c r="J87" i="41"/>
  <c r="I87" i="41"/>
  <c r="H87" i="41"/>
  <c r="G87" i="41"/>
  <c r="F87" i="41"/>
  <c r="V86" i="41"/>
  <c r="U86" i="41"/>
  <c r="S86" i="41"/>
  <c r="R86" i="41"/>
  <c r="K86" i="41"/>
  <c r="J86" i="41"/>
  <c r="I86" i="41"/>
  <c r="H86" i="41"/>
  <c r="G86" i="41"/>
  <c r="F86" i="41"/>
  <c r="X81" i="41"/>
  <c r="V81" i="41"/>
  <c r="U81" i="41"/>
  <c r="S81" i="41"/>
  <c r="R81" i="41"/>
  <c r="L81" i="41"/>
  <c r="J81" i="41"/>
  <c r="I81" i="41"/>
  <c r="G81" i="41"/>
  <c r="F81" i="41"/>
  <c r="V80" i="41"/>
  <c r="U80" i="41"/>
  <c r="S80" i="41"/>
  <c r="R80" i="41"/>
  <c r="J80" i="41"/>
  <c r="I80" i="41"/>
  <c r="G80" i="41"/>
  <c r="F80" i="41"/>
  <c r="V79" i="41"/>
  <c r="U79" i="41"/>
  <c r="S79" i="41"/>
  <c r="R79" i="41"/>
  <c r="J79" i="41"/>
  <c r="I79" i="41"/>
  <c r="G79" i="41"/>
  <c r="F79" i="41"/>
  <c r="X75" i="41"/>
  <c r="V75" i="41"/>
  <c r="U75" i="41"/>
  <c r="S75" i="41"/>
  <c r="R75" i="41"/>
  <c r="M75" i="41"/>
  <c r="L75" i="41"/>
  <c r="K75" i="41"/>
  <c r="J75" i="41"/>
  <c r="I75" i="41"/>
  <c r="H75" i="41"/>
  <c r="G75" i="41"/>
  <c r="F75" i="41"/>
  <c r="V74" i="41"/>
  <c r="U74" i="41"/>
  <c r="S74" i="41"/>
  <c r="R74" i="41"/>
  <c r="K74" i="41"/>
  <c r="J74" i="41"/>
  <c r="I74" i="41"/>
  <c r="H74" i="41"/>
  <c r="G74" i="41"/>
  <c r="F74" i="41"/>
  <c r="V73" i="41"/>
  <c r="U73" i="41"/>
  <c r="S73" i="41"/>
  <c r="R73" i="41"/>
  <c r="K73" i="41"/>
  <c r="J73" i="41"/>
  <c r="I73" i="41"/>
  <c r="H73" i="41"/>
  <c r="G73" i="41"/>
  <c r="F73" i="41"/>
  <c r="X263" i="34"/>
  <c r="V263" i="34"/>
  <c r="U263" i="34"/>
  <c r="S263" i="34"/>
  <c r="R263" i="34"/>
  <c r="L263" i="34"/>
  <c r="J263" i="34"/>
  <c r="I263" i="34"/>
  <c r="G263" i="34"/>
  <c r="F263" i="34"/>
  <c r="V262" i="34"/>
  <c r="U262" i="34"/>
  <c r="S262" i="34"/>
  <c r="R262" i="34"/>
  <c r="J262" i="34"/>
  <c r="I262" i="34"/>
  <c r="G262" i="34"/>
  <c r="F262" i="34"/>
  <c r="V261" i="34"/>
  <c r="U261" i="34"/>
  <c r="S261" i="34"/>
  <c r="R261" i="34"/>
  <c r="J261" i="34"/>
  <c r="I261" i="34"/>
  <c r="G261" i="34"/>
  <c r="F261" i="34"/>
  <c r="X257" i="34"/>
  <c r="V257" i="34"/>
  <c r="U257" i="34"/>
  <c r="S257" i="34"/>
  <c r="R257" i="34"/>
  <c r="M257" i="34"/>
  <c r="L257" i="34"/>
  <c r="K257" i="34"/>
  <c r="J257" i="34"/>
  <c r="I257" i="34"/>
  <c r="H257" i="34"/>
  <c r="G257" i="34"/>
  <c r="F257" i="34"/>
  <c r="V256" i="34"/>
  <c r="U256" i="34"/>
  <c r="S256" i="34"/>
  <c r="R256" i="34"/>
  <c r="K256" i="34"/>
  <c r="J256" i="34"/>
  <c r="I256" i="34"/>
  <c r="H256" i="34"/>
  <c r="G256" i="34"/>
  <c r="F256" i="34"/>
  <c r="V255" i="34"/>
  <c r="U255" i="34"/>
  <c r="S255" i="34"/>
  <c r="R255" i="34"/>
  <c r="K255" i="34"/>
  <c r="J255" i="34"/>
  <c r="I255" i="34"/>
  <c r="H255" i="34"/>
  <c r="G255" i="34"/>
  <c r="F255" i="34"/>
  <c r="X250" i="34"/>
  <c r="V250" i="34"/>
  <c r="U250" i="34"/>
  <c r="S250" i="34"/>
  <c r="R250" i="34"/>
  <c r="L250" i="34"/>
  <c r="J250" i="34"/>
  <c r="I250" i="34"/>
  <c r="G250" i="34"/>
  <c r="F250" i="34"/>
  <c r="V249" i="34"/>
  <c r="U249" i="34"/>
  <c r="S249" i="34"/>
  <c r="R249" i="34"/>
  <c r="J249" i="34"/>
  <c r="I249" i="34"/>
  <c r="G249" i="34"/>
  <c r="F249" i="34"/>
  <c r="V248" i="34"/>
  <c r="U248" i="34"/>
  <c r="S248" i="34"/>
  <c r="R248" i="34"/>
  <c r="J248" i="34"/>
  <c r="I248" i="34"/>
  <c r="G248" i="34"/>
  <c r="F248" i="34"/>
  <c r="X244" i="34"/>
  <c r="V244" i="34"/>
  <c r="U244" i="34"/>
  <c r="S244" i="34"/>
  <c r="R244" i="34"/>
  <c r="M244" i="34"/>
  <c r="L244" i="34"/>
  <c r="K244" i="34"/>
  <c r="J244" i="34"/>
  <c r="I244" i="34"/>
  <c r="H244" i="34"/>
  <c r="G244" i="34"/>
  <c r="F244" i="34"/>
  <c r="V243" i="34"/>
  <c r="U243" i="34"/>
  <c r="S243" i="34"/>
  <c r="R243" i="34"/>
  <c r="K243" i="34"/>
  <c r="J243" i="34"/>
  <c r="I243" i="34"/>
  <c r="H243" i="34"/>
  <c r="G243" i="34"/>
  <c r="F243" i="34"/>
  <c r="V242" i="34"/>
  <c r="U242" i="34"/>
  <c r="S242" i="34"/>
  <c r="R242" i="34"/>
  <c r="K242" i="34"/>
  <c r="J242" i="34"/>
  <c r="I242" i="34"/>
  <c r="H242" i="34"/>
  <c r="G242" i="34"/>
  <c r="F242" i="34"/>
  <c r="X237" i="34"/>
  <c r="V237" i="34"/>
  <c r="U237" i="34"/>
  <c r="S237" i="34"/>
  <c r="R237" i="34"/>
  <c r="L237" i="34"/>
  <c r="J237" i="34"/>
  <c r="I237" i="34"/>
  <c r="G237" i="34"/>
  <c r="F237" i="34"/>
  <c r="V236" i="34"/>
  <c r="U236" i="34"/>
  <c r="S236" i="34"/>
  <c r="R236" i="34"/>
  <c r="J236" i="34"/>
  <c r="I236" i="34"/>
  <c r="G236" i="34"/>
  <c r="F236" i="34"/>
  <c r="V235" i="34"/>
  <c r="U235" i="34"/>
  <c r="S235" i="34"/>
  <c r="R235" i="34"/>
  <c r="J235" i="34"/>
  <c r="I235" i="34"/>
  <c r="G235" i="34"/>
  <c r="F235" i="34"/>
  <c r="X231" i="34"/>
  <c r="V231" i="34"/>
  <c r="U231" i="34"/>
  <c r="S231" i="34"/>
  <c r="R231" i="34"/>
  <c r="M231" i="34"/>
  <c r="L231" i="34"/>
  <c r="K231" i="34"/>
  <c r="J231" i="34"/>
  <c r="I231" i="34"/>
  <c r="H231" i="34"/>
  <c r="G231" i="34"/>
  <c r="F231" i="34"/>
  <c r="V230" i="34"/>
  <c r="U230" i="34"/>
  <c r="S230" i="34"/>
  <c r="R230" i="34"/>
  <c r="K230" i="34"/>
  <c r="J230" i="34"/>
  <c r="I230" i="34"/>
  <c r="H230" i="34"/>
  <c r="G230" i="34"/>
  <c r="F230" i="34"/>
  <c r="V229" i="34"/>
  <c r="U229" i="34"/>
  <c r="S229" i="34"/>
  <c r="R229" i="34"/>
  <c r="K229" i="34"/>
  <c r="J229" i="34"/>
  <c r="I229" i="34"/>
  <c r="H229" i="34"/>
  <c r="G229" i="34"/>
  <c r="F229" i="34"/>
  <c r="X224" i="34"/>
  <c r="V224" i="34"/>
  <c r="U224" i="34"/>
  <c r="S224" i="34"/>
  <c r="R224" i="34"/>
  <c r="L224" i="34"/>
  <c r="J224" i="34"/>
  <c r="I224" i="34"/>
  <c r="G224" i="34"/>
  <c r="F224" i="34"/>
  <c r="V223" i="34"/>
  <c r="U223" i="34"/>
  <c r="S223" i="34"/>
  <c r="R223" i="34"/>
  <c r="J223" i="34"/>
  <c r="I223" i="34"/>
  <c r="G223" i="34"/>
  <c r="F223" i="34"/>
  <c r="V222" i="34"/>
  <c r="U222" i="34"/>
  <c r="S222" i="34"/>
  <c r="R222" i="34"/>
  <c r="J222" i="34"/>
  <c r="I222" i="34"/>
  <c r="G222" i="34"/>
  <c r="F222" i="34"/>
  <c r="X218" i="34"/>
  <c r="V218" i="34"/>
  <c r="U218" i="34"/>
  <c r="S218" i="34"/>
  <c r="R218" i="34"/>
  <c r="M218" i="34"/>
  <c r="L218" i="34"/>
  <c r="K218" i="34"/>
  <c r="J218" i="34"/>
  <c r="I218" i="34"/>
  <c r="H218" i="34"/>
  <c r="G218" i="34"/>
  <c r="F218" i="34"/>
  <c r="V217" i="34"/>
  <c r="U217" i="34"/>
  <c r="S217" i="34"/>
  <c r="R217" i="34"/>
  <c r="K217" i="34"/>
  <c r="J217" i="34"/>
  <c r="I217" i="34"/>
  <c r="H217" i="34"/>
  <c r="G217" i="34"/>
  <c r="F217" i="34"/>
  <c r="V216" i="34"/>
  <c r="U216" i="34"/>
  <c r="S216" i="34"/>
  <c r="R216" i="34"/>
  <c r="K216" i="34"/>
  <c r="J216" i="34"/>
  <c r="I216" i="34"/>
  <c r="H216" i="34"/>
  <c r="G216" i="34"/>
  <c r="F216" i="34"/>
  <c r="X211" i="34"/>
  <c r="V211" i="34"/>
  <c r="U211" i="34"/>
  <c r="S211" i="34"/>
  <c r="R211" i="34"/>
  <c r="L211" i="34"/>
  <c r="J211" i="34"/>
  <c r="I211" i="34"/>
  <c r="G211" i="34"/>
  <c r="F211" i="34"/>
  <c r="V210" i="34"/>
  <c r="U210" i="34"/>
  <c r="S210" i="34"/>
  <c r="R210" i="34"/>
  <c r="J210" i="34"/>
  <c r="I210" i="34"/>
  <c r="G210" i="34"/>
  <c r="F210" i="34"/>
  <c r="V209" i="34"/>
  <c r="U209" i="34"/>
  <c r="S209" i="34"/>
  <c r="R209" i="34"/>
  <c r="J209" i="34"/>
  <c r="I209" i="34"/>
  <c r="G209" i="34"/>
  <c r="F209" i="34"/>
  <c r="X205" i="34"/>
  <c r="V205" i="34"/>
  <c r="U205" i="34"/>
  <c r="S205" i="34"/>
  <c r="R205" i="34"/>
  <c r="M205" i="34"/>
  <c r="L205" i="34"/>
  <c r="K205" i="34"/>
  <c r="J205" i="34"/>
  <c r="I205" i="34"/>
  <c r="H205" i="34"/>
  <c r="G205" i="34"/>
  <c r="F205" i="34"/>
  <c r="V204" i="34"/>
  <c r="U204" i="34"/>
  <c r="S204" i="34"/>
  <c r="R204" i="34"/>
  <c r="K204" i="34"/>
  <c r="J204" i="34"/>
  <c r="I204" i="34"/>
  <c r="H204" i="34"/>
  <c r="G204" i="34"/>
  <c r="F204" i="34"/>
  <c r="V203" i="34"/>
  <c r="U203" i="34"/>
  <c r="S203" i="34"/>
  <c r="R203" i="34"/>
  <c r="K203" i="34"/>
  <c r="J203" i="34"/>
  <c r="I203" i="34"/>
  <c r="H203" i="34"/>
  <c r="G203" i="34"/>
  <c r="F203" i="34"/>
  <c r="X198" i="34"/>
  <c r="V198" i="34"/>
  <c r="U198" i="34"/>
  <c r="S198" i="34"/>
  <c r="R198" i="34"/>
  <c r="L198" i="34"/>
  <c r="J198" i="34"/>
  <c r="I198" i="34"/>
  <c r="G198" i="34"/>
  <c r="F198" i="34"/>
  <c r="V197" i="34"/>
  <c r="U197" i="34"/>
  <c r="S197" i="34"/>
  <c r="R197" i="34"/>
  <c r="J197" i="34"/>
  <c r="I197" i="34"/>
  <c r="G197" i="34"/>
  <c r="F197" i="34"/>
  <c r="V196" i="34"/>
  <c r="U196" i="34"/>
  <c r="S196" i="34"/>
  <c r="R196" i="34"/>
  <c r="J196" i="34"/>
  <c r="I196" i="34"/>
  <c r="G196" i="34"/>
  <c r="F196" i="34"/>
  <c r="X192" i="34"/>
  <c r="V192" i="34"/>
  <c r="U192" i="34"/>
  <c r="S192" i="34"/>
  <c r="R192" i="34"/>
  <c r="M192" i="34"/>
  <c r="L192" i="34"/>
  <c r="K192" i="34"/>
  <c r="J192" i="34"/>
  <c r="I192" i="34"/>
  <c r="H192" i="34"/>
  <c r="G192" i="34"/>
  <c r="F192" i="34"/>
  <c r="V191" i="34"/>
  <c r="U191" i="34"/>
  <c r="S191" i="34"/>
  <c r="R191" i="34"/>
  <c r="K191" i="34"/>
  <c r="J191" i="34"/>
  <c r="I191" i="34"/>
  <c r="H191" i="34"/>
  <c r="G191" i="34"/>
  <c r="F191" i="34"/>
  <c r="V190" i="34"/>
  <c r="U190" i="34"/>
  <c r="S190" i="34"/>
  <c r="R190" i="34"/>
  <c r="K190" i="34"/>
  <c r="J190" i="34"/>
  <c r="I190" i="34"/>
  <c r="H190" i="34"/>
  <c r="G190" i="34"/>
  <c r="F190" i="34"/>
  <c r="X185" i="34"/>
  <c r="V185" i="34"/>
  <c r="U185" i="34"/>
  <c r="S185" i="34"/>
  <c r="R185" i="34"/>
  <c r="L185" i="34"/>
  <c r="J185" i="34"/>
  <c r="I185" i="34"/>
  <c r="G185" i="34"/>
  <c r="F185" i="34"/>
  <c r="V184" i="34"/>
  <c r="U184" i="34"/>
  <c r="S184" i="34"/>
  <c r="R184" i="34"/>
  <c r="J184" i="34"/>
  <c r="I184" i="34"/>
  <c r="G184" i="34"/>
  <c r="F184" i="34"/>
  <c r="V183" i="34"/>
  <c r="U183" i="34"/>
  <c r="S183" i="34"/>
  <c r="R183" i="34"/>
  <c r="J183" i="34"/>
  <c r="I183" i="34"/>
  <c r="G183" i="34"/>
  <c r="F183" i="34"/>
  <c r="X179" i="34"/>
  <c r="V179" i="34"/>
  <c r="U179" i="34"/>
  <c r="S179" i="34"/>
  <c r="R179" i="34"/>
  <c r="M179" i="34"/>
  <c r="L179" i="34"/>
  <c r="K179" i="34"/>
  <c r="J179" i="34"/>
  <c r="I179" i="34"/>
  <c r="H179" i="34"/>
  <c r="G179" i="34"/>
  <c r="F179" i="34"/>
  <c r="V178" i="34"/>
  <c r="U178" i="34"/>
  <c r="S178" i="34"/>
  <c r="R178" i="34"/>
  <c r="K178" i="34"/>
  <c r="J178" i="34"/>
  <c r="I178" i="34"/>
  <c r="H178" i="34"/>
  <c r="G178" i="34"/>
  <c r="F178" i="34"/>
  <c r="V177" i="34"/>
  <c r="U177" i="34"/>
  <c r="S177" i="34"/>
  <c r="R177" i="34"/>
  <c r="K177" i="34"/>
  <c r="J177" i="34"/>
  <c r="I177" i="34"/>
  <c r="H177" i="34"/>
  <c r="G177" i="34"/>
  <c r="F177" i="34"/>
  <c r="X172" i="34"/>
  <c r="V172" i="34"/>
  <c r="U172" i="34"/>
  <c r="S172" i="34"/>
  <c r="R172" i="34"/>
  <c r="L172" i="34"/>
  <c r="J172" i="34"/>
  <c r="I172" i="34"/>
  <c r="G172" i="34"/>
  <c r="F172" i="34"/>
  <c r="V171" i="34"/>
  <c r="U171" i="34"/>
  <c r="S171" i="34"/>
  <c r="R171" i="34"/>
  <c r="J171" i="34"/>
  <c r="I171" i="34"/>
  <c r="G171" i="34"/>
  <c r="F171" i="34"/>
  <c r="V170" i="34"/>
  <c r="U170" i="34"/>
  <c r="S170" i="34"/>
  <c r="R170" i="34"/>
  <c r="J170" i="34"/>
  <c r="I170" i="34"/>
  <c r="G170" i="34"/>
  <c r="F170" i="34"/>
  <c r="X166" i="34"/>
  <c r="V166" i="34"/>
  <c r="U166" i="34"/>
  <c r="S166" i="34"/>
  <c r="R166" i="34"/>
  <c r="M166" i="34"/>
  <c r="L166" i="34"/>
  <c r="K166" i="34"/>
  <c r="J166" i="34"/>
  <c r="I166" i="34"/>
  <c r="H166" i="34"/>
  <c r="G166" i="34"/>
  <c r="F166" i="34"/>
  <c r="V165" i="34"/>
  <c r="U165" i="34"/>
  <c r="S165" i="34"/>
  <c r="R165" i="34"/>
  <c r="K165" i="34"/>
  <c r="J165" i="34"/>
  <c r="I165" i="34"/>
  <c r="H165" i="34"/>
  <c r="G165" i="34"/>
  <c r="F165" i="34"/>
  <c r="V164" i="34"/>
  <c r="U164" i="34"/>
  <c r="S164" i="34"/>
  <c r="R164" i="34"/>
  <c r="K164" i="34"/>
  <c r="J164" i="34"/>
  <c r="I164" i="34"/>
  <c r="H164" i="34"/>
  <c r="G164" i="34"/>
  <c r="F164" i="34"/>
  <c r="X159" i="34"/>
  <c r="V159" i="34"/>
  <c r="U159" i="34"/>
  <c r="S159" i="34"/>
  <c r="R159" i="34"/>
  <c r="L159" i="34"/>
  <c r="J159" i="34"/>
  <c r="I159" i="34"/>
  <c r="G159" i="34"/>
  <c r="F159" i="34"/>
  <c r="V158" i="34"/>
  <c r="U158" i="34"/>
  <c r="S158" i="34"/>
  <c r="R158" i="34"/>
  <c r="J158" i="34"/>
  <c r="I158" i="34"/>
  <c r="G158" i="34"/>
  <c r="F158" i="34"/>
  <c r="V157" i="34"/>
  <c r="U157" i="34"/>
  <c r="S157" i="34"/>
  <c r="R157" i="34"/>
  <c r="J157" i="34"/>
  <c r="I157" i="34"/>
  <c r="G157" i="34"/>
  <c r="F157" i="34"/>
  <c r="X153" i="34"/>
  <c r="V153" i="34"/>
  <c r="U153" i="34"/>
  <c r="S153" i="34"/>
  <c r="R153" i="34"/>
  <c r="M153" i="34"/>
  <c r="L153" i="34"/>
  <c r="K153" i="34"/>
  <c r="J153" i="34"/>
  <c r="I153" i="34"/>
  <c r="H153" i="34"/>
  <c r="G153" i="34"/>
  <c r="F153" i="34"/>
  <c r="V152" i="34"/>
  <c r="U152" i="34"/>
  <c r="S152" i="34"/>
  <c r="R152" i="34"/>
  <c r="K152" i="34"/>
  <c r="J152" i="34"/>
  <c r="I152" i="34"/>
  <c r="H152" i="34"/>
  <c r="G152" i="34"/>
  <c r="F152" i="34"/>
  <c r="V151" i="34"/>
  <c r="U151" i="34"/>
  <c r="S151" i="34"/>
  <c r="R151" i="34"/>
  <c r="K151" i="34"/>
  <c r="J151" i="34"/>
  <c r="I151" i="34"/>
  <c r="H151" i="34"/>
  <c r="G151" i="34"/>
  <c r="F151" i="34"/>
  <c r="X146" i="34"/>
  <c r="V146" i="34"/>
  <c r="U146" i="34"/>
  <c r="S146" i="34"/>
  <c r="R146" i="34"/>
  <c r="L146" i="34"/>
  <c r="J146" i="34"/>
  <c r="I146" i="34"/>
  <c r="G146" i="34"/>
  <c r="F146" i="34"/>
  <c r="V145" i="34"/>
  <c r="U145" i="34"/>
  <c r="S145" i="34"/>
  <c r="R145" i="34"/>
  <c r="J145" i="34"/>
  <c r="I145" i="34"/>
  <c r="G145" i="34"/>
  <c r="F145" i="34"/>
  <c r="V144" i="34"/>
  <c r="U144" i="34"/>
  <c r="S144" i="34"/>
  <c r="R144" i="34"/>
  <c r="J144" i="34"/>
  <c r="I144" i="34"/>
  <c r="G144" i="34"/>
  <c r="F144" i="34"/>
  <c r="X140" i="34"/>
  <c r="V140" i="34"/>
  <c r="U140" i="34"/>
  <c r="S140" i="34"/>
  <c r="R140" i="34"/>
  <c r="M140" i="34"/>
  <c r="L140" i="34"/>
  <c r="K140" i="34"/>
  <c r="J140" i="34"/>
  <c r="I140" i="34"/>
  <c r="H140" i="34"/>
  <c r="G140" i="34"/>
  <c r="F140" i="34"/>
  <c r="V139" i="34"/>
  <c r="U139" i="34"/>
  <c r="S139" i="34"/>
  <c r="R139" i="34"/>
  <c r="K139" i="34"/>
  <c r="J139" i="34"/>
  <c r="I139" i="34"/>
  <c r="H139" i="34"/>
  <c r="G139" i="34"/>
  <c r="F139" i="34"/>
  <c r="V138" i="34"/>
  <c r="U138" i="34"/>
  <c r="S138" i="34"/>
  <c r="R138" i="34"/>
  <c r="K138" i="34"/>
  <c r="J138" i="34"/>
  <c r="I138" i="34"/>
  <c r="H138" i="34"/>
  <c r="G138" i="34"/>
  <c r="F138" i="34"/>
  <c r="X133" i="34"/>
  <c r="V133" i="34"/>
  <c r="U133" i="34"/>
  <c r="S133" i="34"/>
  <c r="R133" i="34"/>
  <c r="L133" i="34"/>
  <c r="J133" i="34"/>
  <c r="I133" i="34"/>
  <c r="G133" i="34"/>
  <c r="F133" i="34"/>
  <c r="V132" i="34"/>
  <c r="U132" i="34"/>
  <c r="S132" i="34"/>
  <c r="R132" i="34"/>
  <c r="J132" i="34"/>
  <c r="I132" i="34"/>
  <c r="G132" i="34"/>
  <c r="F132" i="34"/>
  <c r="V131" i="34"/>
  <c r="U131" i="34"/>
  <c r="S131" i="34"/>
  <c r="R131" i="34"/>
  <c r="J131" i="34"/>
  <c r="I131" i="34"/>
  <c r="G131" i="34"/>
  <c r="F131" i="34"/>
  <c r="X127" i="34"/>
  <c r="V127" i="34"/>
  <c r="U127" i="34"/>
  <c r="S127" i="34"/>
  <c r="R127" i="34"/>
  <c r="M127" i="34"/>
  <c r="L127" i="34"/>
  <c r="K127" i="34"/>
  <c r="J127" i="34"/>
  <c r="I127" i="34"/>
  <c r="H127" i="34"/>
  <c r="G127" i="34"/>
  <c r="F127" i="34"/>
  <c r="V126" i="34"/>
  <c r="U126" i="34"/>
  <c r="S126" i="34"/>
  <c r="R126" i="34"/>
  <c r="K126" i="34"/>
  <c r="J126" i="34"/>
  <c r="I126" i="34"/>
  <c r="H126" i="34"/>
  <c r="G126" i="34"/>
  <c r="F126" i="34"/>
  <c r="V125" i="34"/>
  <c r="U125" i="34"/>
  <c r="S125" i="34"/>
  <c r="R125" i="34"/>
  <c r="K125" i="34"/>
  <c r="J125" i="34"/>
  <c r="I125" i="34"/>
  <c r="H125" i="34"/>
  <c r="G125" i="34"/>
  <c r="F125" i="34"/>
  <c r="X120" i="34"/>
  <c r="V120" i="34"/>
  <c r="U120" i="34"/>
  <c r="S120" i="34"/>
  <c r="R120" i="34"/>
  <c r="L120" i="34"/>
  <c r="J120" i="34"/>
  <c r="I120" i="34"/>
  <c r="G120" i="34"/>
  <c r="F120" i="34"/>
  <c r="V119" i="34"/>
  <c r="U119" i="34"/>
  <c r="S119" i="34"/>
  <c r="R119" i="34"/>
  <c r="J119" i="34"/>
  <c r="I119" i="34"/>
  <c r="G119" i="34"/>
  <c r="F119" i="34"/>
  <c r="V118" i="34"/>
  <c r="U118" i="34"/>
  <c r="S118" i="34"/>
  <c r="R118" i="34"/>
  <c r="J118" i="34"/>
  <c r="I118" i="34"/>
  <c r="G118" i="34"/>
  <c r="F118" i="34"/>
  <c r="X114" i="34"/>
  <c r="V114" i="34"/>
  <c r="U114" i="34"/>
  <c r="S114" i="34"/>
  <c r="R114" i="34"/>
  <c r="M114" i="34"/>
  <c r="L114" i="34"/>
  <c r="K114" i="34"/>
  <c r="J114" i="34"/>
  <c r="I114" i="34"/>
  <c r="H114" i="34"/>
  <c r="G114" i="34"/>
  <c r="F114" i="34"/>
  <c r="V113" i="34"/>
  <c r="U113" i="34"/>
  <c r="S113" i="34"/>
  <c r="R113" i="34"/>
  <c r="K113" i="34"/>
  <c r="J113" i="34"/>
  <c r="I113" i="34"/>
  <c r="H113" i="34"/>
  <c r="G113" i="34"/>
  <c r="F113" i="34"/>
  <c r="V112" i="34"/>
  <c r="U112" i="34"/>
  <c r="S112" i="34"/>
  <c r="R112" i="34"/>
  <c r="K112" i="34"/>
  <c r="J112" i="34"/>
  <c r="I112" i="34"/>
  <c r="H112" i="34"/>
  <c r="G112" i="34"/>
  <c r="F112" i="34"/>
  <c r="X107" i="34"/>
  <c r="V107" i="34"/>
  <c r="U107" i="34"/>
  <c r="S107" i="34"/>
  <c r="R107" i="34"/>
  <c r="L107" i="34"/>
  <c r="J107" i="34"/>
  <c r="I107" i="34"/>
  <c r="G107" i="34"/>
  <c r="F107" i="34"/>
  <c r="V106" i="34"/>
  <c r="U106" i="34"/>
  <c r="S106" i="34"/>
  <c r="R106" i="34"/>
  <c r="J106" i="34"/>
  <c r="I106" i="34"/>
  <c r="G106" i="34"/>
  <c r="F106" i="34"/>
  <c r="V105" i="34"/>
  <c r="U105" i="34"/>
  <c r="S105" i="34"/>
  <c r="R105" i="34"/>
  <c r="J105" i="34"/>
  <c r="I105" i="34"/>
  <c r="G105" i="34"/>
  <c r="F105" i="34"/>
  <c r="X101" i="34"/>
  <c r="V101" i="34"/>
  <c r="U101" i="34"/>
  <c r="S101" i="34"/>
  <c r="R101" i="34"/>
  <c r="M101" i="34"/>
  <c r="L101" i="34"/>
  <c r="K101" i="34"/>
  <c r="J101" i="34"/>
  <c r="I101" i="34"/>
  <c r="H101" i="34"/>
  <c r="G101" i="34"/>
  <c r="F101" i="34"/>
  <c r="V100" i="34"/>
  <c r="U100" i="34"/>
  <c r="S100" i="34"/>
  <c r="R100" i="34"/>
  <c r="K100" i="34"/>
  <c r="J100" i="34"/>
  <c r="I100" i="34"/>
  <c r="H100" i="34"/>
  <c r="G100" i="34"/>
  <c r="F100" i="34"/>
  <c r="V99" i="34"/>
  <c r="U99" i="34"/>
  <c r="S99" i="34"/>
  <c r="R99" i="34"/>
  <c r="K99" i="34"/>
  <c r="J99" i="34"/>
  <c r="I99" i="34"/>
  <c r="H99" i="34"/>
  <c r="G99" i="34"/>
  <c r="F99" i="34"/>
  <c r="X94" i="34"/>
  <c r="V94" i="34"/>
  <c r="U94" i="34"/>
  <c r="S94" i="34"/>
  <c r="R94" i="34"/>
  <c r="L94" i="34"/>
  <c r="J94" i="34"/>
  <c r="I94" i="34"/>
  <c r="G94" i="34"/>
  <c r="F94" i="34"/>
  <c r="V93" i="34"/>
  <c r="U93" i="34"/>
  <c r="S93" i="34"/>
  <c r="R93" i="34"/>
  <c r="J93" i="34"/>
  <c r="I93" i="34"/>
  <c r="G93" i="34"/>
  <c r="F93" i="34"/>
  <c r="V92" i="34"/>
  <c r="U92" i="34"/>
  <c r="S92" i="34"/>
  <c r="R92" i="34"/>
  <c r="J92" i="34"/>
  <c r="I92" i="34"/>
  <c r="G92" i="34"/>
  <c r="F92" i="34"/>
  <c r="X88" i="34"/>
  <c r="V88" i="34"/>
  <c r="U88" i="34"/>
  <c r="S88" i="34"/>
  <c r="R88" i="34"/>
  <c r="M88" i="34"/>
  <c r="L88" i="34"/>
  <c r="K88" i="34"/>
  <c r="J88" i="34"/>
  <c r="I88" i="34"/>
  <c r="H88" i="34"/>
  <c r="G88" i="34"/>
  <c r="F88" i="34"/>
  <c r="V87" i="34"/>
  <c r="U87" i="34"/>
  <c r="S87" i="34"/>
  <c r="R87" i="34"/>
  <c r="K87" i="34"/>
  <c r="J87" i="34"/>
  <c r="I87" i="34"/>
  <c r="H87" i="34"/>
  <c r="G87" i="34"/>
  <c r="F87" i="34"/>
  <c r="V86" i="34"/>
  <c r="U86" i="34"/>
  <c r="S86" i="34"/>
  <c r="R86" i="34"/>
  <c r="K86" i="34"/>
  <c r="J86" i="34"/>
  <c r="I86" i="34"/>
  <c r="H86" i="34"/>
  <c r="G86" i="34"/>
  <c r="F86" i="34"/>
  <c r="X81" i="34"/>
  <c r="V81" i="34"/>
  <c r="U81" i="34"/>
  <c r="S81" i="34"/>
  <c r="R81" i="34"/>
  <c r="L81" i="34"/>
  <c r="J81" i="34"/>
  <c r="I81" i="34"/>
  <c r="G81" i="34"/>
  <c r="F81" i="34"/>
  <c r="V80" i="34"/>
  <c r="U80" i="34"/>
  <c r="S80" i="34"/>
  <c r="R80" i="34"/>
  <c r="J80" i="34"/>
  <c r="I80" i="34"/>
  <c r="G80" i="34"/>
  <c r="F80" i="34"/>
  <c r="V79" i="34"/>
  <c r="U79" i="34"/>
  <c r="S79" i="34"/>
  <c r="R79" i="34"/>
  <c r="J79" i="34"/>
  <c r="I79" i="34"/>
  <c r="G79" i="34"/>
  <c r="F79" i="34"/>
  <c r="X75" i="34"/>
  <c r="V75" i="34"/>
  <c r="U75" i="34"/>
  <c r="S75" i="34"/>
  <c r="R75" i="34"/>
  <c r="M75" i="34"/>
  <c r="L75" i="34"/>
  <c r="K75" i="34"/>
  <c r="J75" i="34"/>
  <c r="I75" i="34"/>
  <c r="H75" i="34"/>
  <c r="G75" i="34"/>
  <c r="F75" i="34"/>
  <c r="V74" i="34"/>
  <c r="U74" i="34"/>
  <c r="S74" i="34"/>
  <c r="R74" i="34"/>
  <c r="K74" i="34"/>
  <c r="J74" i="34"/>
  <c r="I74" i="34"/>
  <c r="H74" i="34"/>
  <c r="G74" i="34"/>
  <c r="F74" i="34"/>
  <c r="V73" i="34"/>
  <c r="U73" i="34"/>
  <c r="S73" i="34"/>
  <c r="R73" i="34"/>
  <c r="K73" i="34"/>
  <c r="J73" i="34"/>
  <c r="I73" i="34"/>
  <c r="H73" i="34"/>
  <c r="G73" i="34"/>
  <c r="F73" i="34"/>
  <c r="X263" i="40"/>
  <c r="V263" i="40"/>
  <c r="U263" i="40"/>
  <c r="S263" i="40"/>
  <c r="R263" i="40"/>
  <c r="L263" i="40"/>
  <c r="J263" i="40"/>
  <c r="I263" i="40"/>
  <c r="G263" i="40"/>
  <c r="F263" i="40"/>
  <c r="V262" i="40"/>
  <c r="U262" i="40"/>
  <c r="S262" i="40"/>
  <c r="R262" i="40"/>
  <c r="J262" i="40"/>
  <c r="I262" i="40"/>
  <c r="G262" i="40"/>
  <c r="F262" i="40"/>
  <c r="V261" i="40"/>
  <c r="U261" i="40"/>
  <c r="S261" i="40"/>
  <c r="R261" i="40"/>
  <c r="J261" i="40"/>
  <c r="I261" i="40"/>
  <c r="G261" i="40"/>
  <c r="F261" i="40"/>
  <c r="X257" i="40"/>
  <c r="V257" i="40"/>
  <c r="U257" i="40"/>
  <c r="S257" i="40"/>
  <c r="R257" i="40"/>
  <c r="M257" i="40"/>
  <c r="L257" i="40"/>
  <c r="K257" i="40"/>
  <c r="J257" i="40"/>
  <c r="I257" i="40"/>
  <c r="H257" i="40"/>
  <c r="G257" i="40"/>
  <c r="F257" i="40"/>
  <c r="V256" i="40"/>
  <c r="U256" i="40"/>
  <c r="S256" i="40"/>
  <c r="R256" i="40"/>
  <c r="K256" i="40"/>
  <c r="J256" i="40"/>
  <c r="I256" i="40"/>
  <c r="H256" i="40"/>
  <c r="G256" i="40"/>
  <c r="F256" i="40"/>
  <c r="V255" i="40"/>
  <c r="U255" i="40"/>
  <c r="S255" i="40"/>
  <c r="R255" i="40"/>
  <c r="K255" i="40"/>
  <c r="J255" i="40"/>
  <c r="I255" i="40"/>
  <c r="H255" i="40"/>
  <c r="G255" i="40"/>
  <c r="F255" i="40"/>
  <c r="X250" i="40"/>
  <c r="V250" i="40"/>
  <c r="U250" i="40"/>
  <c r="S250" i="40"/>
  <c r="R250" i="40"/>
  <c r="L250" i="40"/>
  <c r="J250" i="40"/>
  <c r="I250" i="40"/>
  <c r="G250" i="40"/>
  <c r="F250" i="40"/>
  <c r="V249" i="40"/>
  <c r="U249" i="40"/>
  <c r="S249" i="40"/>
  <c r="R249" i="40"/>
  <c r="J249" i="40"/>
  <c r="I249" i="40"/>
  <c r="G249" i="40"/>
  <c r="F249" i="40"/>
  <c r="V248" i="40"/>
  <c r="U248" i="40"/>
  <c r="S248" i="40"/>
  <c r="R248" i="40"/>
  <c r="J248" i="40"/>
  <c r="I248" i="40"/>
  <c r="G248" i="40"/>
  <c r="F248" i="40"/>
  <c r="X244" i="40"/>
  <c r="V244" i="40"/>
  <c r="U244" i="40"/>
  <c r="S244" i="40"/>
  <c r="R244" i="40"/>
  <c r="M244" i="40"/>
  <c r="L244" i="40"/>
  <c r="K244" i="40"/>
  <c r="J244" i="40"/>
  <c r="I244" i="40"/>
  <c r="H244" i="40"/>
  <c r="G244" i="40"/>
  <c r="F244" i="40"/>
  <c r="V243" i="40"/>
  <c r="U243" i="40"/>
  <c r="S243" i="40"/>
  <c r="R243" i="40"/>
  <c r="K243" i="40"/>
  <c r="J243" i="40"/>
  <c r="I243" i="40"/>
  <c r="H243" i="40"/>
  <c r="G243" i="40"/>
  <c r="F243" i="40"/>
  <c r="V242" i="40"/>
  <c r="U242" i="40"/>
  <c r="S242" i="40"/>
  <c r="R242" i="40"/>
  <c r="K242" i="40"/>
  <c r="J242" i="40"/>
  <c r="I242" i="40"/>
  <c r="H242" i="40"/>
  <c r="G242" i="40"/>
  <c r="F242" i="40"/>
  <c r="X237" i="40"/>
  <c r="V237" i="40"/>
  <c r="U237" i="40"/>
  <c r="S237" i="40"/>
  <c r="R237" i="40"/>
  <c r="L237" i="40"/>
  <c r="J237" i="40"/>
  <c r="I237" i="40"/>
  <c r="G237" i="40"/>
  <c r="F237" i="40"/>
  <c r="V236" i="40"/>
  <c r="U236" i="40"/>
  <c r="S236" i="40"/>
  <c r="R236" i="40"/>
  <c r="J236" i="40"/>
  <c r="I236" i="40"/>
  <c r="G236" i="40"/>
  <c r="F236" i="40"/>
  <c r="V235" i="40"/>
  <c r="U235" i="40"/>
  <c r="S235" i="40"/>
  <c r="R235" i="40"/>
  <c r="J235" i="40"/>
  <c r="I235" i="40"/>
  <c r="G235" i="40"/>
  <c r="F235" i="40"/>
  <c r="X231" i="40"/>
  <c r="V231" i="40"/>
  <c r="U231" i="40"/>
  <c r="S231" i="40"/>
  <c r="R231" i="40"/>
  <c r="M231" i="40"/>
  <c r="L231" i="40"/>
  <c r="K231" i="40"/>
  <c r="J231" i="40"/>
  <c r="I231" i="40"/>
  <c r="H231" i="40"/>
  <c r="G231" i="40"/>
  <c r="F231" i="40"/>
  <c r="V230" i="40"/>
  <c r="U230" i="40"/>
  <c r="S230" i="40"/>
  <c r="R230" i="40"/>
  <c r="K230" i="40"/>
  <c r="J230" i="40"/>
  <c r="I230" i="40"/>
  <c r="H230" i="40"/>
  <c r="G230" i="40"/>
  <c r="F230" i="40"/>
  <c r="V229" i="40"/>
  <c r="U229" i="40"/>
  <c r="S229" i="40"/>
  <c r="R229" i="40"/>
  <c r="K229" i="40"/>
  <c r="J229" i="40"/>
  <c r="I229" i="40"/>
  <c r="H229" i="40"/>
  <c r="G229" i="40"/>
  <c r="F229" i="40"/>
  <c r="X224" i="40"/>
  <c r="V224" i="40"/>
  <c r="U224" i="40"/>
  <c r="S224" i="40"/>
  <c r="R224" i="40"/>
  <c r="L224" i="40"/>
  <c r="J224" i="40"/>
  <c r="I224" i="40"/>
  <c r="G224" i="40"/>
  <c r="F224" i="40"/>
  <c r="V223" i="40"/>
  <c r="U223" i="40"/>
  <c r="S223" i="40"/>
  <c r="R223" i="40"/>
  <c r="J223" i="40"/>
  <c r="I223" i="40"/>
  <c r="G223" i="40"/>
  <c r="F223" i="40"/>
  <c r="V222" i="40"/>
  <c r="U222" i="40"/>
  <c r="S222" i="40"/>
  <c r="R222" i="40"/>
  <c r="J222" i="40"/>
  <c r="I222" i="40"/>
  <c r="G222" i="40"/>
  <c r="F222" i="40"/>
  <c r="X218" i="40"/>
  <c r="V218" i="40"/>
  <c r="U218" i="40"/>
  <c r="S218" i="40"/>
  <c r="R218" i="40"/>
  <c r="M218" i="40"/>
  <c r="L218" i="40"/>
  <c r="K218" i="40"/>
  <c r="J218" i="40"/>
  <c r="I218" i="40"/>
  <c r="H218" i="40"/>
  <c r="G218" i="40"/>
  <c r="F218" i="40"/>
  <c r="V217" i="40"/>
  <c r="U217" i="40"/>
  <c r="S217" i="40"/>
  <c r="R217" i="40"/>
  <c r="K217" i="40"/>
  <c r="J217" i="40"/>
  <c r="I217" i="40"/>
  <c r="H217" i="40"/>
  <c r="G217" i="40"/>
  <c r="F217" i="40"/>
  <c r="V216" i="40"/>
  <c r="U216" i="40"/>
  <c r="S216" i="40"/>
  <c r="R216" i="40"/>
  <c r="K216" i="40"/>
  <c r="J216" i="40"/>
  <c r="I216" i="40"/>
  <c r="H216" i="40"/>
  <c r="G216" i="40"/>
  <c r="F216" i="40"/>
  <c r="X211" i="40"/>
  <c r="V211" i="40"/>
  <c r="U211" i="40"/>
  <c r="S211" i="40"/>
  <c r="R211" i="40"/>
  <c r="L211" i="40"/>
  <c r="J211" i="40"/>
  <c r="I211" i="40"/>
  <c r="G211" i="40"/>
  <c r="F211" i="40"/>
  <c r="V210" i="40"/>
  <c r="U210" i="40"/>
  <c r="S210" i="40"/>
  <c r="R210" i="40"/>
  <c r="J210" i="40"/>
  <c r="I210" i="40"/>
  <c r="G210" i="40"/>
  <c r="F210" i="40"/>
  <c r="V209" i="40"/>
  <c r="U209" i="40"/>
  <c r="S209" i="40"/>
  <c r="R209" i="40"/>
  <c r="J209" i="40"/>
  <c r="I209" i="40"/>
  <c r="G209" i="40"/>
  <c r="F209" i="40"/>
  <c r="X205" i="40"/>
  <c r="V205" i="40"/>
  <c r="U205" i="40"/>
  <c r="S205" i="40"/>
  <c r="R205" i="40"/>
  <c r="M205" i="40"/>
  <c r="L205" i="40"/>
  <c r="K205" i="40"/>
  <c r="J205" i="40"/>
  <c r="I205" i="40"/>
  <c r="H205" i="40"/>
  <c r="G205" i="40"/>
  <c r="F205" i="40"/>
  <c r="V204" i="40"/>
  <c r="U204" i="40"/>
  <c r="S204" i="40"/>
  <c r="R204" i="40"/>
  <c r="K204" i="40"/>
  <c r="J204" i="40"/>
  <c r="I204" i="40"/>
  <c r="H204" i="40"/>
  <c r="G204" i="40"/>
  <c r="F204" i="40"/>
  <c r="V203" i="40"/>
  <c r="U203" i="40"/>
  <c r="S203" i="40"/>
  <c r="R203" i="40"/>
  <c r="K203" i="40"/>
  <c r="J203" i="40"/>
  <c r="I203" i="40"/>
  <c r="H203" i="40"/>
  <c r="G203" i="40"/>
  <c r="F203" i="40"/>
  <c r="X198" i="40"/>
  <c r="V198" i="40"/>
  <c r="U198" i="40"/>
  <c r="S198" i="40"/>
  <c r="R198" i="40"/>
  <c r="L198" i="40"/>
  <c r="J198" i="40"/>
  <c r="I198" i="40"/>
  <c r="G198" i="40"/>
  <c r="F198" i="40"/>
  <c r="V197" i="40"/>
  <c r="U197" i="40"/>
  <c r="S197" i="40"/>
  <c r="R197" i="40"/>
  <c r="J197" i="40"/>
  <c r="I197" i="40"/>
  <c r="G197" i="40"/>
  <c r="F197" i="40"/>
  <c r="V196" i="40"/>
  <c r="U196" i="40"/>
  <c r="S196" i="40"/>
  <c r="R196" i="40"/>
  <c r="J196" i="40"/>
  <c r="I196" i="40"/>
  <c r="G196" i="40"/>
  <c r="F196" i="40"/>
  <c r="X192" i="40"/>
  <c r="V192" i="40"/>
  <c r="U192" i="40"/>
  <c r="S192" i="40"/>
  <c r="R192" i="40"/>
  <c r="M192" i="40"/>
  <c r="L192" i="40"/>
  <c r="K192" i="40"/>
  <c r="J192" i="40"/>
  <c r="I192" i="40"/>
  <c r="H192" i="40"/>
  <c r="G192" i="40"/>
  <c r="F192" i="40"/>
  <c r="V191" i="40"/>
  <c r="U191" i="40"/>
  <c r="S191" i="40"/>
  <c r="R191" i="40"/>
  <c r="K191" i="40"/>
  <c r="J191" i="40"/>
  <c r="I191" i="40"/>
  <c r="H191" i="40"/>
  <c r="G191" i="40"/>
  <c r="F191" i="40"/>
  <c r="V190" i="40"/>
  <c r="U190" i="40"/>
  <c r="S190" i="40"/>
  <c r="R190" i="40"/>
  <c r="K190" i="40"/>
  <c r="J190" i="40"/>
  <c r="I190" i="40"/>
  <c r="H190" i="40"/>
  <c r="G190" i="40"/>
  <c r="F190" i="40"/>
  <c r="X185" i="40"/>
  <c r="V185" i="40"/>
  <c r="U185" i="40"/>
  <c r="S185" i="40"/>
  <c r="R185" i="40"/>
  <c r="L185" i="40"/>
  <c r="J185" i="40"/>
  <c r="I185" i="40"/>
  <c r="G185" i="40"/>
  <c r="F185" i="40"/>
  <c r="V184" i="40"/>
  <c r="U184" i="40"/>
  <c r="S184" i="40"/>
  <c r="R184" i="40"/>
  <c r="J184" i="40"/>
  <c r="I184" i="40"/>
  <c r="G184" i="40"/>
  <c r="F184" i="40"/>
  <c r="V183" i="40"/>
  <c r="U183" i="40"/>
  <c r="S183" i="40"/>
  <c r="R183" i="40"/>
  <c r="J183" i="40"/>
  <c r="I183" i="40"/>
  <c r="G183" i="40"/>
  <c r="F183" i="40"/>
  <c r="X179" i="40"/>
  <c r="V179" i="40"/>
  <c r="U179" i="40"/>
  <c r="S179" i="40"/>
  <c r="R179" i="40"/>
  <c r="M179" i="40"/>
  <c r="L179" i="40"/>
  <c r="K179" i="40"/>
  <c r="J179" i="40"/>
  <c r="I179" i="40"/>
  <c r="H179" i="40"/>
  <c r="G179" i="40"/>
  <c r="F179" i="40"/>
  <c r="V178" i="40"/>
  <c r="U178" i="40"/>
  <c r="S178" i="40"/>
  <c r="R178" i="40"/>
  <c r="K178" i="40"/>
  <c r="J178" i="40"/>
  <c r="I178" i="40"/>
  <c r="H178" i="40"/>
  <c r="G178" i="40"/>
  <c r="F178" i="40"/>
  <c r="V177" i="40"/>
  <c r="U177" i="40"/>
  <c r="S177" i="40"/>
  <c r="R177" i="40"/>
  <c r="K177" i="40"/>
  <c r="J177" i="40"/>
  <c r="I177" i="40"/>
  <c r="H177" i="40"/>
  <c r="G177" i="40"/>
  <c r="F177" i="40"/>
  <c r="X172" i="40"/>
  <c r="V172" i="40"/>
  <c r="U172" i="40"/>
  <c r="S172" i="40"/>
  <c r="R172" i="40"/>
  <c r="L172" i="40"/>
  <c r="J172" i="40"/>
  <c r="I172" i="40"/>
  <c r="G172" i="40"/>
  <c r="F172" i="40"/>
  <c r="V171" i="40"/>
  <c r="U171" i="40"/>
  <c r="S171" i="40"/>
  <c r="R171" i="40"/>
  <c r="J171" i="40"/>
  <c r="I171" i="40"/>
  <c r="G171" i="40"/>
  <c r="F171" i="40"/>
  <c r="V170" i="40"/>
  <c r="U170" i="40"/>
  <c r="S170" i="40"/>
  <c r="R170" i="40"/>
  <c r="J170" i="40"/>
  <c r="I170" i="40"/>
  <c r="G170" i="40"/>
  <c r="F170" i="40"/>
  <c r="X166" i="40"/>
  <c r="V166" i="40"/>
  <c r="U166" i="40"/>
  <c r="S166" i="40"/>
  <c r="R166" i="40"/>
  <c r="M166" i="40"/>
  <c r="L166" i="40"/>
  <c r="K166" i="40"/>
  <c r="J166" i="40"/>
  <c r="I166" i="40"/>
  <c r="H166" i="40"/>
  <c r="G166" i="40"/>
  <c r="F166" i="40"/>
  <c r="V165" i="40"/>
  <c r="U165" i="40"/>
  <c r="S165" i="40"/>
  <c r="R165" i="40"/>
  <c r="K165" i="40"/>
  <c r="J165" i="40"/>
  <c r="I165" i="40"/>
  <c r="H165" i="40"/>
  <c r="G165" i="40"/>
  <c r="F165" i="40"/>
  <c r="V164" i="40"/>
  <c r="U164" i="40"/>
  <c r="S164" i="40"/>
  <c r="R164" i="40"/>
  <c r="K164" i="40"/>
  <c r="J164" i="40"/>
  <c r="I164" i="40"/>
  <c r="H164" i="40"/>
  <c r="G164" i="40"/>
  <c r="F164" i="40"/>
  <c r="X159" i="40"/>
  <c r="V159" i="40"/>
  <c r="U159" i="40"/>
  <c r="S159" i="40"/>
  <c r="R159" i="40"/>
  <c r="L159" i="40"/>
  <c r="J159" i="40"/>
  <c r="I159" i="40"/>
  <c r="G159" i="40"/>
  <c r="F159" i="40"/>
  <c r="V158" i="40"/>
  <c r="U158" i="40"/>
  <c r="S158" i="40"/>
  <c r="R158" i="40"/>
  <c r="J158" i="40"/>
  <c r="I158" i="40"/>
  <c r="G158" i="40"/>
  <c r="F158" i="40"/>
  <c r="V157" i="40"/>
  <c r="U157" i="40"/>
  <c r="S157" i="40"/>
  <c r="R157" i="40"/>
  <c r="J157" i="40"/>
  <c r="I157" i="40"/>
  <c r="G157" i="40"/>
  <c r="F157" i="40"/>
  <c r="X153" i="40"/>
  <c r="V153" i="40"/>
  <c r="U153" i="40"/>
  <c r="S153" i="40"/>
  <c r="R153" i="40"/>
  <c r="M153" i="40"/>
  <c r="L153" i="40"/>
  <c r="K153" i="40"/>
  <c r="J153" i="40"/>
  <c r="I153" i="40"/>
  <c r="H153" i="40"/>
  <c r="G153" i="40"/>
  <c r="F153" i="40"/>
  <c r="V152" i="40"/>
  <c r="U152" i="40"/>
  <c r="S152" i="40"/>
  <c r="R152" i="40"/>
  <c r="K152" i="40"/>
  <c r="J152" i="40"/>
  <c r="I152" i="40"/>
  <c r="H152" i="40"/>
  <c r="G152" i="40"/>
  <c r="F152" i="40"/>
  <c r="V151" i="40"/>
  <c r="U151" i="40"/>
  <c r="S151" i="40"/>
  <c r="R151" i="40"/>
  <c r="K151" i="40"/>
  <c r="J151" i="40"/>
  <c r="I151" i="40"/>
  <c r="H151" i="40"/>
  <c r="G151" i="40"/>
  <c r="F151" i="40"/>
  <c r="X146" i="40"/>
  <c r="V146" i="40"/>
  <c r="U146" i="40"/>
  <c r="S146" i="40"/>
  <c r="R146" i="40"/>
  <c r="L146" i="40"/>
  <c r="J146" i="40"/>
  <c r="I146" i="40"/>
  <c r="G146" i="40"/>
  <c r="F146" i="40"/>
  <c r="V145" i="40"/>
  <c r="U145" i="40"/>
  <c r="S145" i="40"/>
  <c r="R145" i="40"/>
  <c r="J145" i="40"/>
  <c r="I145" i="40"/>
  <c r="G145" i="40"/>
  <c r="F145" i="40"/>
  <c r="V144" i="40"/>
  <c r="U144" i="40"/>
  <c r="S144" i="40"/>
  <c r="R144" i="40"/>
  <c r="J144" i="40"/>
  <c r="I144" i="40"/>
  <c r="G144" i="40"/>
  <c r="F144" i="40"/>
  <c r="X140" i="40"/>
  <c r="V140" i="40"/>
  <c r="U140" i="40"/>
  <c r="S140" i="40"/>
  <c r="R140" i="40"/>
  <c r="M140" i="40"/>
  <c r="L140" i="40"/>
  <c r="K140" i="40"/>
  <c r="J140" i="40"/>
  <c r="I140" i="40"/>
  <c r="H140" i="40"/>
  <c r="G140" i="40"/>
  <c r="F140" i="40"/>
  <c r="V139" i="40"/>
  <c r="U139" i="40"/>
  <c r="S139" i="40"/>
  <c r="R139" i="40"/>
  <c r="K139" i="40"/>
  <c r="J139" i="40"/>
  <c r="I139" i="40"/>
  <c r="H139" i="40"/>
  <c r="G139" i="40"/>
  <c r="F139" i="40"/>
  <c r="V138" i="40"/>
  <c r="U138" i="40"/>
  <c r="S138" i="40"/>
  <c r="R138" i="40"/>
  <c r="K138" i="40"/>
  <c r="J138" i="40"/>
  <c r="I138" i="40"/>
  <c r="H138" i="40"/>
  <c r="G138" i="40"/>
  <c r="F138" i="40"/>
  <c r="X133" i="40"/>
  <c r="V133" i="40"/>
  <c r="U133" i="40"/>
  <c r="S133" i="40"/>
  <c r="R133" i="40"/>
  <c r="L133" i="40"/>
  <c r="J133" i="40"/>
  <c r="I133" i="40"/>
  <c r="G133" i="40"/>
  <c r="F133" i="40"/>
  <c r="V132" i="40"/>
  <c r="U132" i="40"/>
  <c r="S132" i="40"/>
  <c r="R132" i="40"/>
  <c r="J132" i="40"/>
  <c r="I132" i="40"/>
  <c r="G132" i="40"/>
  <c r="F132" i="40"/>
  <c r="V131" i="40"/>
  <c r="U131" i="40"/>
  <c r="S131" i="40"/>
  <c r="R131" i="40"/>
  <c r="J131" i="40"/>
  <c r="I131" i="40"/>
  <c r="G131" i="40"/>
  <c r="F131" i="40"/>
  <c r="X127" i="40"/>
  <c r="V127" i="40"/>
  <c r="U127" i="40"/>
  <c r="S127" i="40"/>
  <c r="R127" i="40"/>
  <c r="M127" i="40"/>
  <c r="L127" i="40"/>
  <c r="K127" i="40"/>
  <c r="J127" i="40"/>
  <c r="I127" i="40"/>
  <c r="H127" i="40"/>
  <c r="G127" i="40"/>
  <c r="F127" i="40"/>
  <c r="V126" i="40"/>
  <c r="U126" i="40"/>
  <c r="S126" i="40"/>
  <c r="R126" i="40"/>
  <c r="K126" i="40"/>
  <c r="J126" i="40"/>
  <c r="I126" i="40"/>
  <c r="H126" i="40"/>
  <c r="G126" i="40"/>
  <c r="F126" i="40"/>
  <c r="V125" i="40"/>
  <c r="U125" i="40"/>
  <c r="S125" i="40"/>
  <c r="R125" i="40"/>
  <c r="K125" i="40"/>
  <c r="J125" i="40"/>
  <c r="I125" i="40"/>
  <c r="H125" i="40"/>
  <c r="G125" i="40"/>
  <c r="F125" i="40"/>
  <c r="X120" i="40"/>
  <c r="V120" i="40"/>
  <c r="U120" i="40"/>
  <c r="S120" i="40"/>
  <c r="R120" i="40"/>
  <c r="L120" i="40"/>
  <c r="J120" i="40"/>
  <c r="I120" i="40"/>
  <c r="G120" i="40"/>
  <c r="F120" i="40"/>
  <c r="V119" i="40"/>
  <c r="U119" i="40"/>
  <c r="S119" i="40"/>
  <c r="R119" i="40"/>
  <c r="J119" i="40"/>
  <c r="I119" i="40"/>
  <c r="G119" i="40"/>
  <c r="F119" i="40"/>
  <c r="V118" i="40"/>
  <c r="U118" i="40"/>
  <c r="S118" i="40"/>
  <c r="R118" i="40"/>
  <c r="J118" i="40"/>
  <c r="I118" i="40"/>
  <c r="G118" i="40"/>
  <c r="F118" i="40"/>
  <c r="X114" i="40"/>
  <c r="V114" i="40"/>
  <c r="U114" i="40"/>
  <c r="S114" i="40"/>
  <c r="R114" i="40"/>
  <c r="M114" i="40"/>
  <c r="L114" i="40"/>
  <c r="K114" i="40"/>
  <c r="J114" i="40"/>
  <c r="I114" i="40"/>
  <c r="H114" i="40"/>
  <c r="G114" i="40"/>
  <c r="F114" i="40"/>
  <c r="V113" i="40"/>
  <c r="U113" i="40"/>
  <c r="S113" i="40"/>
  <c r="R113" i="40"/>
  <c r="K113" i="40"/>
  <c r="J113" i="40"/>
  <c r="I113" i="40"/>
  <c r="H113" i="40"/>
  <c r="G113" i="40"/>
  <c r="F113" i="40"/>
  <c r="V112" i="40"/>
  <c r="U112" i="40"/>
  <c r="S112" i="40"/>
  <c r="R112" i="40"/>
  <c r="K112" i="40"/>
  <c r="J112" i="40"/>
  <c r="I112" i="40"/>
  <c r="H112" i="40"/>
  <c r="G112" i="40"/>
  <c r="F112" i="40"/>
  <c r="X107" i="40"/>
  <c r="V107" i="40"/>
  <c r="U107" i="40"/>
  <c r="S107" i="40"/>
  <c r="R107" i="40"/>
  <c r="L107" i="40"/>
  <c r="J107" i="40"/>
  <c r="I107" i="40"/>
  <c r="G107" i="40"/>
  <c r="F107" i="40"/>
  <c r="V106" i="40"/>
  <c r="U106" i="40"/>
  <c r="S106" i="40"/>
  <c r="R106" i="40"/>
  <c r="J106" i="40"/>
  <c r="I106" i="40"/>
  <c r="G106" i="40"/>
  <c r="F106" i="40"/>
  <c r="V105" i="40"/>
  <c r="U105" i="40"/>
  <c r="S105" i="40"/>
  <c r="R105" i="40"/>
  <c r="J105" i="40"/>
  <c r="I105" i="40"/>
  <c r="G105" i="40"/>
  <c r="F105" i="40"/>
  <c r="X101" i="40"/>
  <c r="V101" i="40"/>
  <c r="U101" i="40"/>
  <c r="S101" i="40"/>
  <c r="R101" i="40"/>
  <c r="M101" i="40"/>
  <c r="L101" i="40"/>
  <c r="K101" i="40"/>
  <c r="J101" i="40"/>
  <c r="I101" i="40"/>
  <c r="H101" i="40"/>
  <c r="G101" i="40"/>
  <c r="F101" i="40"/>
  <c r="V100" i="40"/>
  <c r="U100" i="40"/>
  <c r="S100" i="40"/>
  <c r="R100" i="40"/>
  <c r="K100" i="40"/>
  <c r="J100" i="40"/>
  <c r="I100" i="40"/>
  <c r="H100" i="40"/>
  <c r="G100" i="40"/>
  <c r="F100" i="40"/>
  <c r="V99" i="40"/>
  <c r="U99" i="40"/>
  <c r="S99" i="40"/>
  <c r="R99" i="40"/>
  <c r="K99" i="40"/>
  <c r="J99" i="40"/>
  <c r="I99" i="40"/>
  <c r="H99" i="40"/>
  <c r="G99" i="40"/>
  <c r="F99" i="40"/>
  <c r="X94" i="40"/>
  <c r="V94" i="40"/>
  <c r="U94" i="40"/>
  <c r="S94" i="40"/>
  <c r="R94" i="40"/>
  <c r="L94" i="40"/>
  <c r="J94" i="40"/>
  <c r="I94" i="40"/>
  <c r="G94" i="40"/>
  <c r="F94" i="40"/>
  <c r="V93" i="40"/>
  <c r="U93" i="40"/>
  <c r="S93" i="40"/>
  <c r="R93" i="40"/>
  <c r="J93" i="40"/>
  <c r="I93" i="40"/>
  <c r="G93" i="40"/>
  <c r="F93" i="40"/>
  <c r="V92" i="40"/>
  <c r="U92" i="40"/>
  <c r="S92" i="40"/>
  <c r="R92" i="40"/>
  <c r="J92" i="40"/>
  <c r="I92" i="40"/>
  <c r="G92" i="40"/>
  <c r="F92" i="40"/>
  <c r="X88" i="40"/>
  <c r="V88" i="40"/>
  <c r="U88" i="40"/>
  <c r="S88" i="40"/>
  <c r="R88" i="40"/>
  <c r="M88" i="40"/>
  <c r="L88" i="40"/>
  <c r="K88" i="40"/>
  <c r="J88" i="40"/>
  <c r="I88" i="40"/>
  <c r="H88" i="40"/>
  <c r="G88" i="40"/>
  <c r="F88" i="40"/>
  <c r="V87" i="40"/>
  <c r="U87" i="40"/>
  <c r="S87" i="40"/>
  <c r="R87" i="40"/>
  <c r="K87" i="40"/>
  <c r="J87" i="40"/>
  <c r="I87" i="40"/>
  <c r="H87" i="40"/>
  <c r="G87" i="40"/>
  <c r="F87" i="40"/>
  <c r="V86" i="40"/>
  <c r="U86" i="40"/>
  <c r="S86" i="40"/>
  <c r="R86" i="40"/>
  <c r="K86" i="40"/>
  <c r="J86" i="40"/>
  <c r="I86" i="40"/>
  <c r="H86" i="40"/>
  <c r="G86" i="40"/>
  <c r="F86" i="40"/>
  <c r="X81" i="40"/>
  <c r="V81" i="40"/>
  <c r="U81" i="40"/>
  <c r="S81" i="40"/>
  <c r="R81" i="40"/>
  <c r="L81" i="40"/>
  <c r="J81" i="40"/>
  <c r="I81" i="40"/>
  <c r="G81" i="40"/>
  <c r="F81" i="40"/>
  <c r="V80" i="40"/>
  <c r="U80" i="40"/>
  <c r="S80" i="40"/>
  <c r="R80" i="40"/>
  <c r="J80" i="40"/>
  <c r="I80" i="40"/>
  <c r="G80" i="40"/>
  <c r="F80" i="40"/>
  <c r="V79" i="40"/>
  <c r="U79" i="40"/>
  <c r="S79" i="40"/>
  <c r="R79" i="40"/>
  <c r="J79" i="40"/>
  <c r="I79" i="40"/>
  <c r="G79" i="40"/>
  <c r="F79" i="40"/>
  <c r="X75" i="40"/>
  <c r="V75" i="40"/>
  <c r="U75" i="40"/>
  <c r="S75" i="40"/>
  <c r="R75" i="40"/>
  <c r="M75" i="40"/>
  <c r="L75" i="40"/>
  <c r="K75" i="40"/>
  <c r="J75" i="40"/>
  <c r="I75" i="40"/>
  <c r="H75" i="40"/>
  <c r="G75" i="40"/>
  <c r="F75" i="40"/>
  <c r="V74" i="40"/>
  <c r="U74" i="40"/>
  <c r="S74" i="40"/>
  <c r="R74" i="40"/>
  <c r="K74" i="40"/>
  <c r="J74" i="40"/>
  <c r="I74" i="40"/>
  <c r="H74" i="40"/>
  <c r="G74" i="40"/>
  <c r="F74" i="40"/>
  <c r="V73" i="40"/>
  <c r="U73" i="40"/>
  <c r="S73" i="40"/>
  <c r="R73" i="40"/>
  <c r="K73" i="40"/>
  <c r="J73" i="40"/>
  <c r="I73" i="40"/>
  <c r="H73" i="40"/>
  <c r="G73" i="40"/>
  <c r="F73" i="40"/>
  <c r="X263" i="35"/>
  <c r="V263" i="35"/>
  <c r="U263" i="35"/>
  <c r="S263" i="35"/>
  <c r="R263" i="35"/>
  <c r="L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V261" i="35"/>
  <c r="U261" i="35"/>
  <c r="S261" i="35"/>
  <c r="R261" i="35"/>
  <c r="J261" i="35"/>
  <c r="I261" i="35"/>
  <c r="G261" i="35"/>
  <c r="F261" i="35"/>
  <c r="X257" i="35"/>
  <c r="V257" i="35"/>
  <c r="U257" i="35"/>
  <c r="S257" i="35"/>
  <c r="R257" i="35"/>
  <c r="M257" i="35"/>
  <c r="L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V255" i="35"/>
  <c r="U255" i="35"/>
  <c r="S255" i="35"/>
  <c r="R255" i="35"/>
  <c r="K255" i="35"/>
  <c r="J255" i="35"/>
  <c r="I255" i="35"/>
  <c r="H255" i="35"/>
  <c r="G255" i="35"/>
  <c r="F255" i="35"/>
  <c r="X250" i="35"/>
  <c r="V250" i="35"/>
  <c r="U250" i="35"/>
  <c r="S250" i="35"/>
  <c r="R250" i="35"/>
  <c r="L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V248" i="35"/>
  <c r="U248" i="35"/>
  <c r="S248" i="35"/>
  <c r="R248" i="35"/>
  <c r="J248" i="35"/>
  <c r="I248" i="35"/>
  <c r="G248" i="35"/>
  <c r="F248" i="35"/>
  <c r="X244" i="35"/>
  <c r="V244" i="35"/>
  <c r="U244" i="35"/>
  <c r="S244" i="35"/>
  <c r="R244" i="35"/>
  <c r="M244" i="35"/>
  <c r="L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V242" i="35"/>
  <c r="U242" i="35"/>
  <c r="S242" i="35"/>
  <c r="R242" i="35"/>
  <c r="K242" i="35"/>
  <c r="J242" i="35"/>
  <c r="I242" i="35"/>
  <c r="H242" i="35"/>
  <c r="G242" i="35"/>
  <c r="F242" i="35"/>
  <c r="X237" i="35"/>
  <c r="V237" i="35"/>
  <c r="U237" i="35"/>
  <c r="S237" i="35"/>
  <c r="R237" i="35"/>
  <c r="L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V235" i="35"/>
  <c r="U235" i="35"/>
  <c r="S235" i="35"/>
  <c r="R235" i="35"/>
  <c r="J235" i="35"/>
  <c r="I235" i="35"/>
  <c r="G235" i="35"/>
  <c r="F235" i="35"/>
  <c r="X231" i="35"/>
  <c r="V231" i="35"/>
  <c r="U231" i="35"/>
  <c r="S231" i="35"/>
  <c r="R231" i="35"/>
  <c r="M231" i="35"/>
  <c r="L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V229" i="35"/>
  <c r="U229" i="35"/>
  <c r="S229" i="35"/>
  <c r="R229" i="35"/>
  <c r="K229" i="35"/>
  <c r="J229" i="35"/>
  <c r="I229" i="35"/>
  <c r="H229" i="35"/>
  <c r="G229" i="35"/>
  <c r="F229" i="35"/>
  <c r="X224" i="35"/>
  <c r="V224" i="35"/>
  <c r="U224" i="35"/>
  <c r="S224" i="35"/>
  <c r="R224" i="35"/>
  <c r="L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V222" i="35"/>
  <c r="U222" i="35"/>
  <c r="S222" i="35"/>
  <c r="R222" i="35"/>
  <c r="J222" i="35"/>
  <c r="I222" i="35"/>
  <c r="G222" i="35"/>
  <c r="F222" i="35"/>
  <c r="X218" i="35"/>
  <c r="V218" i="35"/>
  <c r="U218" i="35"/>
  <c r="S218" i="35"/>
  <c r="R218" i="35"/>
  <c r="M218" i="35"/>
  <c r="L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V216" i="35"/>
  <c r="U216" i="35"/>
  <c r="S216" i="35"/>
  <c r="R216" i="35"/>
  <c r="K216" i="35"/>
  <c r="J216" i="35"/>
  <c r="I216" i="35"/>
  <c r="H216" i="35"/>
  <c r="G216" i="35"/>
  <c r="F216" i="35"/>
  <c r="X211" i="35"/>
  <c r="V211" i="35"/>
  <c r="U211" i="35"/>
  <c r="S211" i="35"/>
  <c r="R211" i="35"/>
  <c r="L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V209" i="35"/>
  <c r="U209" i="35"/>
  <c r="S209" i="35"/>
  <c r="R209" i="35"/>
  <c r="J209" i="35"/>
  <c r="I209" i="35"/>
  <c r="G209" i="35"/>
  <c r="F209" i="35"/>
  <c r="X205" i="35"/>
  <c r="V205" i="35"/>
  <c r="U205" i="35"/>
  <c r="S205" i="35"/>
  <c r="R205" i="35"/>
  <c r="M205" i="35"/>
  <c r="L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V203" i="35"/>
  <c r="U203" i="35"/>
  <c r="S203" i="35"/>
  <c r="R203" i="35"/>
  <c r="K203" i="35"/>
  <c r="J203" i="35"/>
  <c r="I203" i="35"/>
  <c r="H203" i="35"/>
  <c r="G203" i="35"/>
  <c r="F203" i="35"/>
  <c r="X198" i="35"/>
  <c r="V198" i="35"/>
  <c r="U198" i="35"/>
  <c r="S198" i="35"/>
  <c r="R198" i="35"/>
  <c r="L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V196" i="35"/>
  <c r="U196" i="35"/>
  <c r="S196" i="35"/>
  <c r="R196" i="35"/>
  <c r="J196" i="35"/>
  <c r="I196" i="35"/>
  <c r="G196" i="35"/>
  <c r="F196" i="35"/>
  <c r="X192" i="35"/>
  <c r="V192" i="35"/>
  <c r="U192" i="35"/>
  <c r="S192" i="35"/>
  <c r="R192" i="35"/>
  <c r="M192" i="35"/>
  <c r="L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V190" i="35"/>
  <c r="U190" i="35"/>
  <c r="S190" i="35"/>
  <c r="R190" i="35"/>
  <c r="K190" i="35"/>
  <c r="J190" i="35"/>
  <c r="I190" i="35"/>
  <c r="H190" i="35"/>
  <c r="G190" i="35"/>
  <c r="F190" i="35"/>
  <c r="X185" i="35"/>
  <c r="V185" i="35"/>
  <c r="U185" i="35"/>
  <c r="S185" i="35"/>
  <c r="R185" i="35"/>
  <c r="L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V183" i="35"/>
  <c r="U183" i="35"/>
  <c r="S183" i="35"/>
  <c r="R183" i="35"/>
  <c r="J183" i="35"/>
  <c r="I183" i="35"/>
  <c r="G183" i="35"/>
  <c r="F183" i="35"/>
  <c r="X179" i="35"/>
  <c r="V179" i="35"/>
  <c r="U179" i="35"/>
  <c r="S179" i="35"/>
  <c r="R179" i="35"/>
  <c r="M179" i="35"/>
  <c r="L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V177" i="35"/>
  <c r="U177" i="35"/>
  <c r="S177" i="35"/>
  <c r="R177" i="35"/>
  <c r="K177" i="35"/>
  <c r="J177" i="35"/>
  <c r="I177" i="35"/>
  <c r="H177" i="35"/>
  <c r="G177" i="35"/>
  <c r="F177" i="35"/>
  <c r="X172" i="35"/>
  <c r="V172" i="35"/>
  <c r="U172" i="35"/>
  <c r="S172" i="35"/>
  <c r="R172" i="35"/>
  <c r="L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V170" i="35"/>
  <c r="U170" i="35"/>
  <c r="S170" i="35"/>
  <c r="R170" i="35"/>
  <c r="J170" i="35"/>
  <c r="I170" i="35"/>
  <c r="G170" i="35"/>
  <c r="F170" i="35"/>
  <c r="X166" i="35"/>
  <c r="V166" i="35"/>
  <c r="U166" i="35"/>
  <c r="S166" i="35"/>
  <c r="R166" i="35"/>
  <c r="M166" i="35"/>
  <c r="L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V164" i="35"/>
  <c r="U164" i="35"/>
  <c r="S164" i="35"/>
  <c r="R164" i="35"/>
  <c r="K164" i="35"/>
  <c r="J164" i="35"/>
  <c r="I164" i="35"/>
  <c r="H164" i="35"/>
  <c r="G164" i="35"/>
  <c r="F164" i="35"/>
  <c r="X159" i="35"/>
  <c r="V159" i="35"/>
  <c r="U159" i="35"/>
  <c r="S159" i="35"/>
  <c r="R159" i="35"/>
  <c r="L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V157" i="35"/>
  <c r="U157" i="35"/>
  <c r="S157" i="35"/>
  <c r="R157" i="35"/>
  <c r="J157" i="35"/>
  <c r="I157" i="35"/>
  <c r="G157" i="35"/>
  <c r="F157" i="35"/>
  <c r="X153" i="35"/>
  <c r="V153" i="35"/>
  <c r="U153" i="35"/>
  <c r="S153" i="35"/>
  <c r="R153" i="35"/>
  <c r="M153" i="35"/>
  <c r="L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V151" i="35"/>
  <c r="U151" i="35"/>
  <c r="S151" i="35"/>
  <c r="R151" i="35"/>
  <c r="K151" i="35"/>
  <c r="J151" i="35"/>
  <c r="I151" i="35"/>
  <c r="H151" i="35"/>
  <c r="G151" i="35"/>
  <c r="F151" i="35"/>
  <c r="X146" i="35"/>
  <c r="V146" i="35"/>
  <c r="U146" i="35"/>
  <c r="S146" i="35"/>
  <c r="R146" i="35"/>
  <c r="L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V144" i="35"/>
  <c r="U144" i="35"/>
  <c r="S144" i="35"/>
  <c r="R144" i="35"/>
  <c r="J144" i="35"/>
  <c r="I144" i="35"/>
  <c r="G144" i="35"/>
  <c r="F144" i="35"/>
  <c r="X140" i="35"/>
  <c r="V140" i="35"/>
  <c r="U140" i="35"/>
  <c r="S140" i="35"/>
  <c r="R140" i="35"/>
  <c r="M140" i="35"/>
  <c r="L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V138" i="35"/>
  <c r="U138" i="35"/>
  <c r="S138" i="35"/>
  <c r="R138" i="35"/>
  <c r="K138" i="35"/>
  <c r="J138" i="35"/>
  <c r="I138" i="35"/>
  <c r="H138" i="35"/>
  <c r="G138" i="35"/>
  <c r="F138" i="35"/>
  <c r="X133" i="35"/>
  <c r="V133" i="35"/>
  <c r="U133" i="35"/>
  <c r="S133" i="35"/>
  <c r="R133" i="35"/>
  <c r="L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V131" i="35"/>
  <c r="U131" i="35"/>
  <c r="S131" i="35"/>
  <c r="R131" i="35"/>
  <c r="J131" i="35"/>
  <c r="I131" i="35"/>
  <c r="G131" i="35"/>
  <c r="F131" i="35"/>
  <c r="X127" i="35"/>
  <c r="V127" i="35"/>
  <c r="U127" i="35"/>
  <c r="S127" i="35"/>
  <c r="R127" i="35"/>
  <c r="M127" i="35"/>
  <c r="L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V125" i="35"/>
  <c r="U125" i="35"/>
  <c r="S125" i="35"/>
  <c r="R125" i="35"/>
  <c r="K125" i="35"/>
  <c r="J125" i="35"/>
  <c r="I125" i="35"/>
  <c r="H125" i="35"/>
  <c r="G125" i="35"/>
  <c r="F125" i="35"/>
  <c r="X120" i="35"/>
  <c r="V120" i="35"/>
  <c r="U120" i="35"/>
  <c r="S120" i="35"/>
  <c r="R120" i="35"/>
  <c r="L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V118" i="35"/>
  <c r="U118" i="35"/>
  <c r="S118" i="35"/>
  <c r="R118" i="35"/>
  <c r="J118" i="35"/>
  <c r="I118" i="35"/>
  <c r="G118" i="35"/>
  <c r="F118" i="35"/>
  <c r="X114" i="35"/>
  <c r="V114" i="35"/>
  <c r="U114" i="35"/>
  <c r="S114" i="35"/>
  <c r="R114" i="35"/>
  <c r="M114" i="35"/>
  <c r="L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V112" i="35"/>
  <c r="U112" i="35"/>
  <c r="S112" i="35"/>
  <c r="R112" i="35"/>
  <c r="K112" i="35"/>
  <c r="J112" i="35"/>
  <c r="I112" i="35"/>
  <c r="H112" i="35"/>
  <c r="G112" i="35"/>
  <c r="F112" i="35"/>
  <c r="X107" i="35"/>
  <c r="V107" i="35"/>
  <c r="U107" i="35"/>
  <c r="S107" i="35"/>
  <c r="R107" i="35"/>
  <c r="L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V105" i="35"/>
  <c r="U105" i="35"/>
  <c r="S105" i="35"/>
  <c r="R105" i="35"/>
  <c r="J105" i="35"/>
  <c r="I105" i="35"/>
  <c r="G105" i="35"/>
  <c r="F105" i="35"/>
  <c r="X101" i="35"/>
  <c r="V101" i="35"/>
  <c r="U101" i="35"/>
  <c r="S101" i="35"/>
  <c r="R101" i="35"/>
  <c r="M101" i="35"/>
  <c r="L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V99" i="35"/>
  <c r="U99" i="35"/>
  <c r="S99" i="35"/>
  <c r="R99" i="35"/>
  <c r="K99" i="35"/>
  <c r="J99" i="35"/>
  <c r="I99" i="35"/>
  <c r="H99" i="35"/>
  <c r="G99" i="35"/>
  <c r="F99" i="35"/>
  <c r="X94" i="35"/>
  <c r="V94" i="35"/>
  <c r="U94" i="35"/>
  <c r="S94" i="35"/>
  <c r="R94" i="35"/>
  <c r="L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V92" i="35"/>
  <c r="U92" i="35"/>
  <c r="S92" i="35"/>
  <c r="R92" i="35"/>
  <c r="J92" i="35"/>
  <c r="I92" i="35"/>
  <c r="G92" i="35"/>
  <c r="F92" i="35"/>
  <c r="X88" i="35"/>
  <c r="V88" i="35"/>
  <c r="U88" i="35"/>
  <c r="S88" i="35"/>
  <c r="R88" i="35"/>
  <c r="M88" i="35"/>
  <c r="L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V86" i="35"/>
  <c r="U86" i="35"/>
  <c r="S86" i="35"/>
  <c r="R86" i="35"/>
  <c r="K86" i="35"/>
  <c r="J86" i="35"/>
  <c r="I86" i="35"/>
  <c r="H86" i="35"/>
  <c r="G86" i="35"/>
  <c r="F86" i="35"/>
  <c r="X81" i="35"/>
  <c r="V81" i="35"/>
  <c r="U81" i="35"/>
  <c r="S81" i="35"/>
  <c r="R81" i="35"/>
  <c r="L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V79" i="35"/>
  <c r="U79" i="35"/>
  <c r="S79" i="35"/>
  <c r="R79" i="35"/>
  <c r="J79" i="35"/>
  <c r="I79" i="35"/>
  <c r="G79" i="35"/>
  <c r="F79" i="35"/>
  <c r="X75" i="35"/>
  <c r="V75" i="35"/>
  <c r="U75" i="35"/>
  <c r="S75" i="35"/>
  <c r="R75" i="35"/>
  <c r="M75" i="35"/>
  <c r="L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V73" i="35"/>
  <c r="U73" i="35"/>
  <c r="S73" i="35"/>
  <c r="R73" i="35"/>
  <c r="K73" i="35"/>
  <c r="J73" i="35"/>
  <c r="I73" i="35"/>
  <c r="H73" i="35"/>
  <c r="G73" i="35"/>
  <c r="F73" i="35"/>
  <c r="X263" i="39"/>
  <c r="V263" i="39"/>
  <c r="U263" i="39"/>
  <c r="S263" i="39"/>
  <c r="R263" i="39"/>
  <c r="L263" i="39"/>
  <c r="J263" i="39"/>
  <c r="I263" i="39"/>
  <c r="G263" i="39"/>
  <c r="F263" i="39"/>
  <c r="V262" i="39"/>
  <c r="U262" i="39"/>
  <c r="S262" i="39"/>
  <c r="R262" i="39"/>
  <c r="J262" i="39"/>
  <c r="I262" i="39"/>
  <c r="G262" i="39"/>
  <c r="F262" i="39"/>
  <c r="V261" i="39"/>
  <c r="U261" i="39"/>
  <c r="S261" i="39"/>
  <c r="R261" i="39"/>
  <c r="J261" i="39"/>
  <c r="I261" i="39"/>
  <c r="G261" i="39"/>
  <c r="F261" i="39"/>
  <c r="X257" i="39"/>
  <c r="V257" i="39"/>
  <c r="U257" i="39"/>
  <c r="S257" i="39"/>
  <c r="R257" i="39"/>
  <c r="M257" i="39"/>
  <c r="L257" i="39"/>
  <c r="K257" i="39"/>
  <c r="J257" i="39"/>
  <c r="I257" i="39"/>
  <c r="H257" i="39"/>
  <c r="G257" i="39"/>
  <c r="F257" i="39"/>
  <c r="V256" i="39"/>
  <c r="U256" i="39"/>
  <c r="S256" i="39"/>
  <c r="R256" i="39"/>
  <c r="K256" i="39"/>
  <c r="J256" i="39"/>
  <c r="I256" i="39"/>
  <c r="H256" i="39"/>
  <c r="G256" i="39"/>
  <c r="F256" i="39"/>
  <c r="V255" i="39"/>
  <c r="U255" i="39"/>
  <c r="S255" i="39"/>
  <c r="R255" i="39"/>
  <c r="K255" i="39"/>
  <c r="J255" i="39"/>
  <c r="I255" i="39"/>
  <c r="H255" i="39"/>
  <c r="G255" i="39"/>
  <c r="F255" i="39"/>
  <c r="X250" i="39"/>
  <c r="V250" i="39"/>
  <c r="U250" i="39"/>
  <c r="S250" i="39"/>
  <c r="R250" i="39"/>
  <c r="L250" i="39"/>
  <c r="J250" i="39"/>
  <c r="I250" i="39"/>
  <c r="G250" i="39"/>
  <c r="F250" i="39"/>
  <c r="V249" i="39"/>
  <c r="U249" i="39"/>
  <c r="S249" i="39"/>
  <c r="R249" i="39"/>
  <c r="J249" i="39"/>
  <c r="I249" i="39"/>
  <c r="G249" i="39"/>
  <c r="F249" i="39"/>
  <c r="V248" i="39"/>
  <c r="U248" i="39"/>
  <c r="S248" i="39"/>
  <c r="R248" i="39"/>
  <c r="J248" i="39"/>
  <c r="I248" i="39"/>
  <c r="G248" i="39"/>
  <c r="F248" i="39"/>
  <c r="X244" i="39"/>
  <c r="V244" i="39"/>
  <c r="U244" i="39"/>
  <c r="S244" i="39"/>
  <c r="R244" i="39"/>
  <c r="M244" i="39"/>
  <c r="L244" i="39"/>
  <c r="K244" i="39"/>
  <c r="J244" i="39"/>
  <c r="I244" i="39"/>
  <c r="H244" i="39"/>
  <c r="G244" i="39"/>
  <c r="F244" i="39"/>
  <c r="V243" i="39"/>
  <c r="U243" i="39"/>
  <c r="S243" i="39"/>
  <c r="R243" i="39"/>
  <c r="K243" i="39"/>
  <c r="J243" i="39"/>
  <c r="I243" i="39"/>
  <c r="H243" i="39"/>
  <c r="G243" i="39"/>
  <c r="F243" i="39"/>
  <c r="V242" i="39"/>
  <c r="U242" i="39"/>
  <c r="S242" i="39"/>
  <c r="R242" i="39"/>
  <c r="K242" i="39"/>
  <c r="J242" i="39"/>
  <c r="I242" i="39"/>
  <c r="H242" i="39"/>
  <c r="G242" i="39"/>
  <c r="F242" i="39"/>
  <c r="X237" i="39"/>
  <c r="V237" i="39"/>
  <c r="U237" i="39"/>
  <c r="S237" i="39"/>
  <c r="R237" i="39"/>
  <c r="L237" i="39"/>
  <c r="J237" i="39"/>
  <c r="I237" i="39"/>
  <c r="G237" i="39"/>
  <c r="F237" i="39"/>
  <c r="V236" i="39"/>
  <c r="U236" i="39"/>
  <c r="S236" i="39"/>
  <c r="R236" i="39"/>
  <c r="J236" i="39"/>
  <c r="I236" i="39"/>
  <c r="G236" i="39"/>
  <c r="F236" i="39"/>
  <c r="V235" i="39"/>
  <c r="U235" i="39"/>
  <c r="S235" i="39"/>
  <c r="R235" i="39"/>
  <c r="J235" i="39"/>
  <c r="I235" i="39"/>
  <c r="G235" i="39"/>
  <c r="F235" i="39"/>
  <c r="X231" i="39"/>
  <c r="V231" i="39"/>
  <c r="U231" i="39"/>
  <c r="S231" i="39"/>
  <c r="R231" i="39"/>
  <c r="M231" i="39"/>
  <c r="L231" i="39"/>
  <c r="K231" i="39"/>
  <c r="J231" i="39"/>
  <c r="I231" i="39"/>
  <c r="H231" i="39"/>
  <c r="G231" i="39"/>
  <c r="F231" i="39"/>
  <c r="V230" i="39"/>
  <c r="U230" i="39"/>
  <c r="S230" i="39"/>
  <c r="R230" i="39"/>
  <c r="K230" i="39"/>
  <c r="J230" i="39"/>
  <c r="I230" i="39"/>
  <c r="H230" i="39"/>
  <c r="G230" i="39"/>
  <c r="F230" i="39"/>
  <c r="V229" i="39"/>
  <c r="U229" i="39"/>
  <c r="S229" i="39"/>
  <c r="R229" i="39"/>
  <c r="K229" i="39"/>
  <c r="J229" i="39"/>
  <c r="I229" i="39"/>
  <c r="H229" i="39"/>
  <c r="G229" i="39"/>
  <c r="F229" i="39"/>
  <c r="X224" i="39"/>
  <c r="V224" i="39"/>
  <c r="U224" i="39"/>
  <c r="S224" i="39"/>
  <c r="R224" i="39"/>
  <c r="L224" i="39"/>
  <c r="J224" i="39"/>
  <c r="I224" i="39"/>
  <c r="G224" i="39"/>
  <c r="F224" i="39"/>
  <c r="V223" i="39"/>
  <c r="U223" i="39"/>
  <c r="S223" i="39"/>
  <c r="R223" i="39"/>
  <c r="J223" i="39"/>
  <c r="I223" i="39"/>
  <c r="G223" i="39"/>
  <c r="F223" i="39"/>
  <c r="V222" i="39"/>
  <c r="U222" i="39"/>
  <c r="S222" i="39"/>
  <c r="R222" i="39"/>
  <c r="J222" i="39"/>
  <c r="I222" i="39"/>
  <c r="G222" i="39"/>
  <c r="F222" i="39"/>
  <c r="X218" i="39"/>
  <c r="V218" i="39"/>
  <c r="U218" i="39"/>
  <c r="S218" i="39"/>
  <c r="R218" i="39"/>
  <c r="M218" i="39"/>
  <c r="L218" i="39"/>
  <c r="K218" i="39"/>
  <c r="J218" i="39"/>
  <c r="I218" i="39"/>
  <c r="H218" i="39"/>
  <c r="G218" i="39"/>
  <c r="F218" i="39"/>
  <c r="V217" i="39"/>
  <c r="U217" i="39"/>
  <c r="S217" i="39"/>
  <c r="R217" i="39"/>
  <c r="K217" i="39"/>
  <c r="J217" i="39"/>
  <c r="I217" i="39"/>
  <c r="H217" i="39"/>
  <c r="G217" i="39"/>
  <c r="F217" i="39"/>
  <c r="V216" i="39"/>
  <c r="U216" i="39"/>
  <c r="S216" i="39"/>
  <c r="R216" i="39"/>
  <c r="K216" i="39"/>
  <c r="J216" i="39"/>
  <c r="I216" i="39"/>
  <c r="H216" i="39"/>
  <c r="G216" i="39"/>
  <c r="F216" i="39"/>
  <c r="X211" i="39"/>
  <c r="V211" i="39"/>
  <c r="U211" i="39"/>
  <c r="S211" i="39"/>
  <c r="R211" i="39"/>
  <c r="L211" i="39"/>
  <c r="J211" i="39"/>
  <c r="I211" i="39"/>
  <c r="G211" i="39"/>
  <c r="F211" i="39"/>
  <c r="V210" i="39"/>
  <c r="U210" i="39"/>
  <c r="S210" i="39"/>
  <c r="R210" i="39"/>
  <c r="J210" i="39"/>
  <c r="I210" i="39"/>
  <c r="G210" i="39"/>
  <c r="F210" i="39"/>
  <c r="V209" i="39"/>
  <c r="U209" i="39"/>
  <c r="S209" i="39"/>
  <c r="R209" i="39"/>
  <c r="J209" i="39"/>
  <c r="I209" i="39"/>
  <c r="G209" i="39"/>
  <c r="F209" i="39"/>
  <c r="X205" i="39"/>
  <c r="V205" i="39"/>
  <c r="U205" i="39"/>
  <c r="S205" i="39"/>
  <c r="R205" i="39"/>
  <c r="M205" i="39"/>
  <c r="L205" i="39"/>
  <c r="K205" i="39"/>
  <c r="J205" i="39"/>
  <c r="I205" i="39"/>
  <c r="H205" i="39"/>
  <c r="G205" i="39"/>
  <c r="F205" i="39"/>
  <c r="V204" i="39"/>
  <c r="U204" i="39"/>
  <c r="S204" i="39"/>
  <c r="R204" i="39"/>
  <c r="K204" i="39"/>
  <c r="J204" i="39"/>
  <c r="I204" i="39"/>
  <c r="H204" i="39"/>
  <c r="G204" i="39"/>
  <c r="F204" i="39"/>
  <c r="V203" i="39"/>
  <c r="U203" i="39"/>
  <c r="S203" i="39"/>
  <c r="R203" i="39"/>
  <c r="K203" i="39"/>
  <c r="J203" i="39"/>
  <c r="I203" i="39"/>
  <c r="H203" i="39"/>
  <c r="G203" i="39"/>
  <c r="F203" i="39"/>
  <c r="X198" i="39"/>
  <c r="V198" i="39"/>
  <c r="U198" i="39"/>
  <c r="S198" i="39"/>
  <c r="R198" i="39"/>
  <c r="L198" i="39"/>
  <c r="J198" i="39"/>
  <c r="I198" i="39"/>
  <c r="G198" i="39"/>
  <c r="F198" i="39"/>
  <c r="V197" i="39"/>
  <c r="U197" i="39"/>
  <c r="S197" i="39"/>
  <c r="R197" i="39"/>
  <c r="J197" i="39"/>
  <c r="I197" i="39"/>
  <c r="G197" i="39"/>
  <c r="F197" i="39"/>
  <c r="V196" i="39"/>
  <c r="U196" i="39"/>
  <c r="S196" i="39"/>
  <c r="R196" i="39"/>
  <c r="J196" i="39"/>
  <c r="I196" i="39"/>
  <c r="G196" i="39"/>
  <c r="F196" i="39"/>
  <c r="X192" i="39"/>
  <c r="V192" i="39"/>
  <c r="U192" i="39"/>
  <c r="S192" i="39"/>
  <c r="R192" i="39"/>
  <c r="M192" i="39"/>
  <c r="L192" i="39"/>
  <c r="K192" i="39"/>
  <c r="J192" i="39"/>
  <c r="I192" i="39"/>
  <c r="H192" i="39"/>
  <c r="G192" i="39"/>
  <c r="F192" i="39"/>
  <c r="V191" i="39"/>
  <c r="U191" i="39"/>
  <c r="S191" i="39"/>
  <c r="R191" i="39"/>
  <c r="K191" i="39"/>
  <c r="J191" i="39"/>
  <c r="I191" i="39"/>
  <c r="H191" i="39"/>
  <c r="G191" i="39"/>
  <c r="F191" i="39"/>
  <c r="V190" i="39"/>
  <c r="U190" i="39"/>
  <c r="S190" i="39"/>
  <c r="R190" i="39"/>
  <c r="K190" i="39"/>
  <c r="J190" i="39"/>
  <c r="I190" i="39"/>
  <c r="H190" i="39"/>
  <c r="G190" i="39"/>
  <c r="F190" i="39"/>
  <c r="X185" i="39"/>
  <c r="V185" i="39"/>
  <c r="U185" i="39"/>
  <c r="S185" i="39"/>
  <c r="R185" i="39"/>
  <c r="L185" i="39"/>
  <c r="J185" i="39"/>
  <c r="I185" i="39"/>
  <c r="G185" i="39"/>
  <c r="F185" i="39"/>
  <c r="V184" i="39"/>
  <c r="U184" i="39"/>
  <c r="S184" i="39"/>
  <c r="R184" i="39"/>
  <c r="J184" i="39"/>
  <c r="I184" i="39"/>
  <c r="G184" i="39"/>
  <c r="F184" i="39"/>
  <c r="V183" i="39"/>
  <c r="U183" i="39"/>
  <c r="S183" i="39"/>
  <c r="R183" i="39"/>
  <c r="J183" i="39"/>
  <c r="I183" i="39"/>
  <c r="G183" i="39"/>
  <c r="F183" i="39"/>
  <c r="X179" i="39"/>
  <c r="V179" i="39"/>
  <c r="U179" i="39"/>
  <c r="S179" i="39"/>
  <c r="R179" i="39"/>
  <c r="M179" i="39"/>
  <c r="L179" i="39"/>
  <c r="K179" i="39"/>
  <c r="J179" i="39"/>
  <c r="I179" i="39"/>
  <c r="H179" i="39"/>
  <c r="G179" i="39"/>
  <c r="F179" i="39"/>
  <c r="V178" i="39"/>
  <c r="U178" i="39"/>
  <c r="S178" i="39"/>
  <c r="R178" i="39"/>
  <c r="K178" i="39"/>
  <c r="J178" i="39"/>
  <c r="I178" i="39"/>
  <c r="H178" i="39"/>
  <c r="G178" i="39"/>
  <c r="F178" i="39"/>
  <c r="V177" i="39"/>
  <c r="U177" i="39"/>
  <c r="S177" i="39"/>
  <c r="R177" i="39"/>
  <c r="K177" i="39"/>
  <c r="J177" i="39"/>
  <c r="I177" i="39"/>
  <c r="H177" i="39"/>
  <c r="G177" i="39"/>
  <c r="F177" i="39"/>
  <c r="X172" i="39"/>
  <c r="V172" i="39"/>
  <c r="U172" i="39"/>
  <c r="S172" i="39"/>
  <c r="R172" i="39"/>
  <c r="L172" i="39"/>
  <c r="J172" i="39"/>
  <c r="I172" i="39"/>
  <c r="G172" i="39"/>
  <c r="F172" i="39"/>
  <c r="V171" i="39"/>
  <c r="U171" i="39"/>
  <c r="S171" i="39"/>
  <c r="R171" i="39"/>
  <c r="J171" i="39"/>
  <c r="I171" i="39"/>
  <c r="G171" i="39"/>
  <c r="F171" i="39"/>
  <c r="V170" i="39"/>
  <c r="U170" i="39"/>
  <c r="S170" i="39"/>
  <c r="R170" i="39"/>
  <c r="J170" i="39"/>
  <c r="I170" i="39"/>
  <c r="G170" i="39"/>
  <c r="F170" i="39"/>
  <c r="X166" i="39"/>
  <c r="V166" i="39"/>
  <c r="U166" i="39"/>
  <c r="S166" i="39"/>
  <c r="R166" i="39"/>
  <c r="M166" i="39"/>
  <c r="L166" i="39"/>
  <c r="K166" i="39"/>
  <c r="J166" i="39"/>
  <c r="I166" i="39"/>
  <c r="H166" i="39"/>
  <c r="G166" i="39"/>
  <c r="F166" i="39"/>
  <c r="V165" i="39"/>
  <c r="U165" i="39"/>
  <c r="S165" i="39"/>
  <c r="R165" i="39"/>
  <c r="K165" i="39"/>
  <c r="J165" i="39"/>
  <c r="I165" i="39"/>
  <c r="H165" i="39"/>
  <c r="G165" i="39"/>
  <c r="F165" i="39"/>
  <c r="V164" i="39"/>
  <c r="U164" i="39"/>
  <c r="S164" i="39"/>
  <c r="R164" i="39"/>
  <c r="K164" i="39"/>
  <c r="J164" i="39"/>
  <c r="I164" i="39"/>
  <c r="H164" i="39"/>
  <c r="G164" i="39"/>
  <c r="F164" i="39"/>
  <c r="X159" i="39"/>
  <c r="V159" i="39"/>
  <c r="U159" i="39"/>
  <c r="S159" i="39"/>
  <c r="R159" i="39"/>
  <c r="L159" i="39"/>
  <c r="J159" i="39"/>
  <c r="I159" i="39"/>
  <c r="G159" i="39"/>
  <c r="F159" i="39"/>
  <c r="V158" i="39"/>
  <c r="U158" i="39"/>
  <c r="S158" i="39"/>
  <c r="R158" i="39"/>
  <c r="J158" i="39"/>
  <c r="I158" i="39"/>
  <c r="G158" i="39"/>
  <c r="F158" i="39"/>
  <c r="V157" i="39"/>
  <c r="U157" i="39"/>
  <c r="S157" i="39"/>
  <c r="R157" i="39"/>
  <c r="J157" i="39"/>
  <c r="I157" i="39"/>
  <c r="G157" i="39"/>
  <c r="F157" i="39"/>
  <c r="X153" i="39"/>
  <c r="V153" i="39"/>
  <c r="U153" i="39"/>
  <c r="S153" i="39"/>
  <c r="R153" i="39"/>
  <c r="M153" i="39"/>
  <c r="L153" i="39"/>
  <c r="K153" i="39"/>
  <c r="J153" i="39"/>
  <c r="I153" i="39"/>
  <c r="H153" i="39"/>
  <c r="G153" i="39"/>
  <c r="F153" i="39"/>
  <c r="V152" i="39"/>
  <c r="U152" i="39"/>
  <c r="S152" i="39"/>
  <c r="R152" i="39"/>
  <c r="K152" i="39"/>
  <c r="J152" i="39"/>
  <c r="I152" i="39"/>
  <c r="H152" i="39"/>
  <c r="G152" i="39"/>
  <c r="F152" i="39"/>
  <c r="V151" i="39"/>
  <c r="U151" i="39"/>
  <c r="S151" i="39"/>
  <c r="R151" i="39"/>
  <c r="K151" i="39"/>
  <c r="J151" i="39"/>
  <c r="I151" i="39"/>
  <c r="H151" i="39"/>
  <c r="G151" i="39"/>
  <c r="F151" i="39"/>
  <c r="X146" i="39"/>
  <c r="V146" i="39"/>
  <c r="U146" i="39"/>
  <c r="S146" i="39"/>
  <c r="R146" i="39"/>
  <c r="L146" i="39"/>
  <c r="J146" i="39"/>
  <c r="I146" i="39"/>
  <c r="G146" i="39"/>
  <c r="F146" i="39"/>
  <c r="V145" i="39"/>
  <c r="U145" i="39"/>
  <c r="S145" i="39"/>
  <c r="R145" i="39"/>
  <c r="J145" i="39"/>
  <c r="I145" i="39"/>
  <c r="G145" i="39"/>
  <c r="F145" i="39"/>
  <c r="V144" i="39"/>
  <c r="U144" i="39"/>
  <c r="S144" i="39"/>
  <c r="R144" i="39"/>
  <c r="J144" i="39"/>
  <c r="I144" i="39"/>
  <c r="G144" i="39"/>
  <c r="F144" i="39"/>
  <c r="X140" i="39"/>
  <c r="V140" i="39"/>
  <c r="U140" i="39"/>
  <c r="S140" i="39"/>
  <c r="R140" i="39"/>
  <c r="M140" i="39"/>
  <c r="L140" i="39"/>
  <c r="K140" i="39"/>
  <c r="J140" i="39"/>
  <c r="I140" i="39"/>
  <c r="H140" i="39"/>
  <c r="G140" i="39"/>
  <c r="F140" i="39"/>
  <c r="V139" i="39"/>
  <c r="U139" i="39"/>
  <c r="S139" i="39"/>
  <c r="R139" i="39"/>
  <c r="K139" i="39"/>
  <c r="J139" i="39"/>
  <c r="I139" i="39"/>
  <c r="H139" i="39"/>
  <c r="G139" i="39"/>
  <c r="F139" i="39"/>
  <c r="V138" i="39"/>
  <c r="U138" i="39"/>
  <c r="S138" i="39"/>
  <c r="R138" i="39"/>
  <c r="K138" i="39"/>
  <c r="J138" i="39"/>
  <c r="I138" i="39"/>
  <c r="H138" i="39"/>
  <c r="G138" i="39"/>
  <c r="F138" i="39"/>
  <c r="X133" i="39"/>
  <c r="V133" i="39"/>
  <c r="U133" i="39"/>
  <c r="S133" i="39"/>
  <c r="R133" i="39"/>
  <c r="L133" i="39"/>
  <c r="J133" i="39"/>
  <c r="I133" i="39"/>
  <c r="G133" i="39"/>
  <c r="F133" i="39"/>
  <c r="V132" i="39"/>
  <c r="U132" i="39"/>
  <c r="S132" i="39"/>
  <c r="R132" i="39"/>
  <c r="J132" i="39"/>
  <c r="I132" i="39"/>
  <c r="G132" i="39"/>
  <c r="F132" i="39"/>
  <c r="V131" i="39"/>
  <c r="U131" i="39"/>
  <c r="S131" i="39"/>
  <c r="R131" i="39"/>
  <c r="J131" i="39"/>
  <c r="I131" i="39"/>
  <c r="G131" i="39"/>
  <c r="F131" i="39"/>
  <c r="X127" i="39"/>
  <c r="V127" i="39"/>
  <c r="U127" i="39"/>
  <c r="S127" i="39"/>
  <c r="R127" i="39"/>
  <c r="M127" i="39"/>
  <c r="L127" i="39"/>
  <c r="K127" i="39"/>
  <c r="J127" i="39"/>
  <c r="I127" i="39"/>
  <c r="H127" i="39"/>
  <c r="G127" i="39"/>
  <c r="F127" i="39"/>
  <c r="V126" i="39"/>
  <c r="U126" i="39"/>
  <c r="S126" i="39"/>
  <c r="R126" i="39"/>
  <c r="K126" i="39"/>
  <c r="J126" i="39"/>
  <c r="I126" i="39"/>
  <c r="H126" i="39"/>
  <c r="G126" i="39"/>
  <c r="F126" i="39"/>
  <c r="V125" i="39"/>
  <c r="U125" i="39"/>
  <c r="S125" i="39"/>
  <c r="R125" i="39"/>
  <c r="K125" i="39"/>
  <c r="J125" i="39"/>
  <c r="I125" i="39"/>
  <c r="H125" i="39"/>
  <c r="G125" i="39"/>
  <c r="F125" i="39"/>
  <c r="X120" i="39"/>
  <c r="V120" i="39"/>
  <c r="U120" i="39"/>
  <c r="S120" i="39"/>
  <c r="R120" i="39"/>
  <c r="L120" i="39"/>
  <c r="J120" i="39"/>
  <c r="I120" i="39"/>
  <c r="G120" i="39"/>
  <c r="F120" i="39"/>
  <c r="V119" i="39"/>
  <c r="U119" i="39"/>
  <c r="S119" i="39"/>
  <c r="R119" i="39"/>
  <c r="J119" i="39"/>
  <c r="I119" i="39"/>
  <c r="G119" i="39"/>
  <c r="F119" i="39"/>
  <c r="V118" i="39"/>
  <c r="U118" i="39"/>
  <c r="S118" i="39"/>
  <c r="R118" i="39"/>
  <c r="J118" i="39"/>
  <c r="I118" i="39"/>
  <c r="G118" i="39"/>
  <c r="F118" i="39"/>
  <c r="X114" i="39"/>
  <c r="V114" i="39"/>
  <c r="U114" i="39"/>
  <c r="S114" i="39"/>
  <c r="R114" i="39"/>
  <c r="M114" i="39"/>
  <c r="L114" i="39"/>
  <c r="K114" i="39"/>
  <c r="J114" i="39"/>
  <c r="I114" i="39"/>
  <c r="H114" i="39"/>
  <c r="G114" i="39"/>
  <c r="F114" i="39"/>
  <c r="V113" i="39"/>
  <c r="U113" i="39"/>
  <c r="S113" i="39"/>
  <c r="R113" i="39"/>
  <c r="K113" i="39"/>
  <c r="J113" i="39"/>
  <c r="I113" i="39"/>
  <c r="H113" i="39"/>
  <c r="G113" i="39"/>
  <c r="F113" i="39"/>
  <c r="V112" i="39"/>
  <c r="U112" i="39"/>
  <c r="S112" i="39"/>
  <c r="R112" i="39"/>
  <c r="K112" i="39"/>
  <c r="J112" i="39"/>
  <c r="I112" i="39"/>
  <c r="H112" i="39"/>
  <c r="G112" i="39"/>
  <c r="F112" i="39"/>
  <c r="X107" i="39"/>
  <c r="V107" i="39"/>
  <c r="U107" i="39"/>
  <c r="S107" i="39"/>
  <c r="R107" i="39"/>
  <c r="L107" i="39"/>
  <c r="J107" i="39"/>
  <c r="I107" i="39"/>
  <c r="G107" i="39"/>
  <c r="F107" i="39"/>
  <c r="V106" i="39"/>
  <c r="U106" i="39"/>
  <c r="S106" i="39"/>
  <c r="R106" i="39"/>
  <c r="J106" i="39"/>
  <c r="I106" i="39"/>
  <c r="G106" i="39"/>
  <c r="F106" i="39"/>
  <c r="V105" i="39"/>
  <c r="U105" i="39"/>
  <c r="S105" i="39"/>
  <c r="R105" i="39"/>
  <c r="J105" i="39"/>
  <c r="I105" i="39"/>
  <c r="G105" i="39"/>
  <c r="F105" i="39"/>
  <c r="X101" i="39"/>
  <c r="V101" i="39"/>
  <c r="U101" i="39"/>
  <c r="S101" i="39"/>
  <c r="R101" i="39"/>
  <c r="M101" i="39"/>
  <c r="L101" i="39"/>
  <c r="K101" i="39"/>
  <c r="J101" i="39"/>
  <c r="I101" i="39"/>
  <c r="H101" i="39"/>
  <c r="G101" i="39"/>
  <c r="F101" i="39"/>
  <c r="V100" i="39"/>
  <c r="U100" i="39"/>
  <c r="S100" i="39"/>
  <c r="R100" i="39"/>
  <c r="K100" i="39"/>
  <c r="J100" i="39"/>
  <c r="I100" i="39"/>
  <c r="H100" i="39"/>
  <c r="G100" i="39"/>
  <c r="F100" i="39"/>
  <c r="V99" i="39"/>
  <c r="U99" i="39"/>
  <c r="S99" i="39"/>
  <c r="R99" i="39"/>
  <c r="K99" i="39"/>
  <c r="J99" i="39"/>
  <c r="I99" i="39"/>
  <c r="H99" i="39"/>
  <c r="G99" i="39"/>
  <c r="F99" i="39"/>
  <c r="X94" i="39"/>
  <c r="V94" i="39"/>
  <c r="U94" i="39"/>
  <c r="S94" i="39"/>
  <c r="R94" i="39"/>
  <c r="L94" i="39"/>
  <c r="J94" i="39"/>
  <c r="I94" i="39"/>
  <c r="G94" i="39"/>
  <c r="F94" i="39"/>
  <c r="V93" i="39"/>
  <c r="U93" i="39"/>
  <c r="S93" i="39"/>
  <c r="R93" i="39"/>
  <c r="J93" i="39"/>
  <c r="I93" i="39"/>
  <c r="G93" i="39"/>
  <c r="F93" i="39"/>
  <c r="V92" i="39"/>
  <c r="U92" i="39"/>
  <c r="S92" i="39"/>
  <c r="R92" i="39"/>
  <c r="J92" i="39"/>
  <c r="I92" i="39"/>
  <c r="G92" i="39"/>
  <c r="F92" i="39"/>
  <c r="X88" i="39"/>
  <c r="V88" i="39"/>
  <c r="U88" i="39"/>
  <c r="S88" i="39"/>
  <c r="R88" i="39"/>
  <c r="M88" i="39"/>
  <c r="L88" i="39"/>
  <c r="K88" i="39"/>
  <c r="J88" i="39"/>
  <c r="I88" i="39"/>
  <c r="H88" i="39"/>
  <c r="G88" i="39"/>
  <c r="F88" i="39"/>
  <c r="V87" i="39"/>
  <c r="U87" i="39"/>
  <c r="S87" i="39"/>
  <c r="R87" i="39"/>
  <c r="K87" i="39"/>
  <c r="J87" i="39"/>
  <c r="I87" i="39"/>
  <c r="H87" i="39"/>
  <c r="G87" i="39"/>
  <c r="F87" i="39"/>
  <c r="V86" i="39"/>
  <c r="U86" i="39"/>
  <c r="S86" i="39"/>
  <c r="R86" i="39"/>
  <c r="K86" i="39"/>
  <c r="J86" i="39"/>
  <c r="I86" i="39"/>
  <c r="H86" i="39"/>
  <c r="G86" i="39"/>
  <c r="F86" i="39"/>
  <c r="X81" i="39"/>
  <c r="V81" i="39"/>
  <c r="U81" i="39"/>
  <c r="S81" i="39"/>
  <c r="R81" i="39"/>
  <c r="L81" i="39"/>
  <c r="J81" i="39"/>
  <c r="I81" i="39"/>
  <c r="G81" i="39"/>
  <c r="F81" i="39"/>
  <c r="V80" i="39"/>
  <c r="U80" i="39"/>
  <c r="S80" i="39"/>
  <c r="R80" i="39"/>
  <c r="J80" i="39"/>
  <c r="I80" i="39"/>
  <c r="G80" i="39"/>
  <c r="F80" i="39"/>
  <c r="V79" i="39"/>
  <c r="U79" i="39"/>
  <c r="S79" i="39"/>
  <c r="R79" i="39"/>
  <c r="J79" i="39"/>
  <c r="I79" i="39"/>
  <c r="G79" i="39"/>
  <c r="F79" i="39"/>
  <c r="X75" i="39"/>
  <c r="V75" i="39"/>
  <c r="U75" i="39"/>
  <c r="S75" i="39"/>
  <c r="R75" i="39"/>
  <c r="M75" i="39"/>
  <c r="L75" i="39"/>
  <c r="K75" i="39"/>
  <c r="J75" i="39"/>
  <c r="I75" i="39"/>
  <c r="H75" i="39"/>
  <c r="G75" i="39"/>
  <c r="F75" i="39"/>
  <c r="V74" i="39"/>
  <c r="U74" i="39"/>
  <c r="S74" i="39"/>
  <c r="R74" i="39"/>
  <c r="K74" i="39"/>
  <c r="J74" i="39"/>
  <c r="I74" i="39"/>
  <c r="H74" i="39"/>
  <c r="G74" i="39"/>
  <c r="F74" i="39"/>
  <c r="V73" i="39"/>
  <c r="U73" i="39"/>
  <c r="S73" i="39"/>
  <c r="R73" i="39"/>
  <c r="K73" i="39"/>
  <c r="J73" i="39"/>
  <c r="I73" i="39"/>
  <c r="H73" i="39"/>
  <c r="G73" i="39"/>
  <c r="F73" i="39"/>
  <c r="X263" i="36"/>
  <c r="V263" i="36"/>
  <c r="U263" i="36"/>
  <c r="S263" i="36"/>
  <c r="R263" i="36"/>
  <c r="L263" i="36"/>
  <c r="J263" i="36"/>
  <c r="I263" i="36"/>
  <c r="G263" i="36"/>
  <c r="F263" i="36"/>
  <c r="V262" i="36"/>
  <c r="U262" i="36"/>
  <c r="S262" i="36"/>
  <c r="R262" i="36"/>
  <c r="J262" i="36"/>
  <c r="I262" i="36"/>
  <c r="G262" i="36"/>
  <c r="F262" i="36"/>
  <c r="V261" i="36"/>
  <c r="U261" i="36"/>
  <c r="S261" i="36"/>
  <c r="R261" i="36"/>
  <c r="J261" i="36"/>
  <c r="I261" i="36"/>
  <c r="G261" i="36"/>
  <c r="F261" i="36"/>
  <c r="X257" i="36"/>
  <c r="V257" i="36"/>
  <c r="U257" i="36"/>
  <c r="S257" i="36"/>
  <c r="R257" i="36"/>
  <c r="M257" i="36"/>
  <c r="L257" i="36"/>
  <c r="K257" i="36"/>
  <c r="J257" i="36"/>
  <c r="I257" i="36"/>
  <c r="H257" i="36"/>
  <c r="G257" i="36"/>
  <c r="F257" i="36"/>
  <c r="V256" i="36"/>
  <c r="U256" i="36"/>
  <c r="S256" i="36"/>
  <c r="R256" i="36"/>
  <c r="K256" i="36"/>
  <c r="J256" i="36"/>
  <c r="I256" i="36"/>
  <c r="H256" i="36"/>
  <c r="G256" i="36"/>
  <c r="F256" i="36"/>
  <c r="V255" i="36"/>
  <c r="U255" i="36"/>
  <c r="S255" i="36"/>
  <c r="R255" i="36"/>
  <c r="K255" i="36"/>
  <c r="J255" i="36"/>
  <c r="I255" i="36"/>
  <c r="H255" i="36"/>
  <c r="G255" i="36"/>
  <c r="F255" i="36"/>
  <c r="X250" i="36"/>
  <c r="V250" i="36"/>
  <c r="U250" i="36"/>
  <c r="S250" i="36"/>
  <c r="R250" i="36"/>
  <c r="L250" i="36"/>
  <c r="J250" i="36"/>
  <c r="I250" i="36"/>
  <c r="G250" i="36"/>
  <c r="F250" i="36"/>
  <c r="V249" i="36"/>
  <c r="U249" i="36"/>
  <c r="S249" i="36"/>
  <c r="R249" i="36"/>
  <c r="J249" i="36"/>
  <c r="I249" i="36"/>
  <c r="G249" i="36"/>
  <c r="F249" i="36"/>
  <c r="V248" i="36"/>
  <c r="U248" i="36"/>
  <c r="S248" i="36"/>
  <c r="R248" i="36"/>
  <c r="J248" i="36"/>
  <c r="I248" i="36"/>
  <c r="G248" i="36"/>
  <c r="F248" i="36"/>
  <c r="X244" i="36"/>
  <c r="V244" i="36"/>
  <c r="U244" i="36"/>
  <c r="S244" i="36"/>
  <c r="R244" i="36"/>
  <c r="M244" i="36"/>
  <c r="L244" i="36"/>
  <c r="K244" i="36"/>
  <c r="J244" i="36"/>
  <c r="I244" i="36"/>
  <c r="H244" i="36"/>
  <c r="G244" i="36"/>
  <c r="F244" i="36"/>
  <c r="V243" i="36"/>
  <c r="U243" i="36"/>
  <c r="S243" i="36"/>
  <c r="R243" i="36"/>
  <c r="K243" i="36"/>
  <c r="J243" i="36"/>
  <c r="I243" i="36"/>
  <c r="H243" i="36"/>
  <c r="G243" i="36"/>
  <c r="F243" i="36"/>
  <c r="V242" i="36"/>
  <c r="U242" i="36"/>
  <c r="S242" i="36"/>
  <c r="R242" i="36"/>
  <c r="K242" i="36"/>
  <c r="J242" i="36"/>
  <c r="I242" i="36"/>
  <c r="H242" i="36"/>
  <c r="G242" i="36"/>
  <c r="F242" i="36"/>
  <c r="X237" i="36"/>
  <c r="V237" i="36"/>
  <c r="U237" i="36"/>
  <c r="S237" i="36"/>
  <c r="R237" i="36"/>
  <c r="L237" i="36"/>
  <c r="J237" i="36"/>
  <c r="I237" i="36"/>
  <c r="G237" i="36"/>
  <c r="F237" i="36"/>
  <c r="V236" i="36"/>
  <c r="U236" i="36"/>
  <c r="S236" i="36"/>
  <c r="R236" i="36"/>
  <c r="J236" i="36"/>
  <c r="I236" i="36"/>
  <c r="G236" i="36"/>
  <c r="F236" i="36"/>
  <c r="V235" i="36"/>
  <c r="U235" i="36"/>
  <c r="S235" i="36"/>
  <c r="R235" i="36"/>
  <c r="J235" i="36"/>
  <c r="I235" i="36"/>
  <c r="G235" i="36"/>
  <c r="F235" i="36"/>
  <c r="X231" i="36"/>
  <c r="V231" i="36"/>
  <c r="U231" i="36"/>
  <c r="S231" i="36"/>
  <c r="R231" i="36"/>
  <c r="M231" i="36"/>
  <c r="L231" i="36"/>
  <c r="K231" i="36"/>
  <c r="J231" i="36"/>
  <c r="I231" i="36"/>
  <c r="H231" i="36"/>
  <c r="G231" i="36"/>
  <c r="F231" i="36"/>
  <c r="V230" i="36"/>
  <c r="U230" i="36"/>
  <c r="S230" i="36"/>
  <c r="R230" i="36"/>
  <c r="K230" i="36"/>
  <c r="J230" i="36"/>
  <c r="I230" i="36"/>
  <c r="H230" i="36"/>
  <c r="G230" i="36"/>
  <c r="F230" i="36"/>
  <c r="V229" i="36"/>
  <c r="U229" i="36"/>
  <c r="S229" i="36"/>
  <c r="R229" i="36"/>
  <c r="K229" i="36"/>
  <c r="J229" i="36"/>
  <c r="I229" i="36"/>
  <c r="H229" i="36"/>
  <c r="G229" i="36"/>
  <c r="F229" i="36"/>
  <c r="X224" i="36"/>
  <c r="V224" i="36"/>
  <c r="U224" i="36"/>
  <c r="S224" i="36"/>
  <c r="R224" i="36"/>
  <c r="L224" i="36"/>
  <c r="J224" i="36"/>
  <c r="I224" i="36"/>
  <c r="G224" i="36"/>
  <c r="F224" i="36"/>
  <c r="V223" i="36"/>
  <c r="U223" i="36"/>
  <c r="S223" i="36"/>
  <c r="R223" i="36"/>
  <c r="J223" i="36"/>
  <c r="I223" i="36"/>
  <c r="G223" i="36"/>
  <c r="F223" i="36"/>
  <c r="V222" i="36"/>
  <c r="U222" i="36"/>
  <c r="S222" i="36"/>
  <c r="R222" i="36"/>
  <c r="J222" i="36"/>
  <c r="I222" i="36"/>
  <c r="G222" i="36"/>
  <c r="F222" i="36"/>
  <c r="X218" i="36"/>
  <c r="V218" i="36"/>
  <c r="U218" i="36"/>
  <c r="S218" i="36"/>
  <c r="R218" i="36"/>
  <c r="M218" i="36"/>
  <c r="L218" i="36"/>
  <c r="K218" i="36"/>
  <c r="J218" i="36"/>
  <c r="I218" i="36"/>
  <c r="H218" i="36"/>
  <c r="G218" i="36"/>
  <c r="F218" i="36"/>
  <c r="V217" i="36"/>
  <c r="U217" i="36"/>
  <c r="S217" i="36"/>
  <c r="R217" i="36"/>
  <c r="K217" i="36"/>
  <c r="J217" i="36"/>
  <c r="I217" i="36"/>
  <c r="H217" i="36"/>
  <c r="G217" i="36"/>
  <c r="F217" i="36"/>
  <c r="V216" i="36"/>
  <c r="U216" i="36"/>
  <c r="S216" i="36"/>
  <c r="R216" i="36"/>
  <c r="K216" i="36"/>
  <c r="J216" i="36"/>
  <c r="I216" i="36"/>
  <c r="H216" i="36"/>
  <c r="G216" i="36"/>
  <c r="F216" i="36"/>
  <c r="X211" i="36"/>
  <c r="V211" i="36"/>
  <c r="U211" i="36"/>
  <c r="S211" i="36"/>
  <c r="R211" i="36"/>
  <c r="L211" i="36"/>
  <c r="J211" i="36"/>
  <c r="I211" i="36"/>
  <c r="G211" i="36"/>
  <c r="F211" i="36"/>
  <c r="V210" i="36"/>
  <c r="U210" i="36"/>
  <c r="S210" i="36"/>
  <c r="R210" i="36"/>
  <c r="J210" i="36"/>
  <c r="I210" i="36"/>
  <c r="G210" i="36"/>
  <c r="F210" i="36"/>
  <c r="V209" i="36"/>
  <c r="U209" i="36"/>
  <c r="S209" i="36"/>
  <c r="R209" i="36"/>
  <c r="J209" i="36"/>
  <c r="I209" i="36"/>
  <c r="G209" i="36"/>
  <c r="F209" i="36"/>
  <c r="X205" i="36"/>
  <c r="V205" i="36"/>
  <c r="U205" i="36"/>
  <c r="S205" i="36"/>
  <c r="R205" i="36"/>
  <c r="M205" i="36"/>
  <c r="L205" i="36"/>
  <c r="K205" i="36"/>
  <c r="J205" i="36"/>
  <c r="I205" i="36"/>
  <c r="H205" i="36"/>
  <c r="G205" i="36"/>
  <c r="F205" i="36"/>
  <c r="V204" i="36"/>
  <c r="U204" i="36"/>
  <c r="S204" i="36"/>
  <c r="R204" i="36"/>
  <c r="K204" i="36"/>
  <c r="J204" i="36"/>
  <c r="I204" i="36"/>
  <c r="H204" i="36"/>
  <c r="G204" i="36"/>
  <c r="F204" i="36"/>
  <c r="V203" i="36"/>
  <c r="U203" i="36"/>
  <c r="S203" i="36"/>
  <c r="R203" i="36"/>
  <c r="K203" i="36"/>
  <c r="J203" i="36"/>
  <c r="I203" i="36"/>
  <c r="H203" i="36"/>
  <c r="G203" i="36"/>
  <c r="F203" i="36"/>
  <c r="X198" i="36"/>
  <c r="V198" i="36"/>
  <c r="U198" i="36"/>
  <c r="S198" i="36"/>
  <c r="R198" i="36"/>
  <c r="L198" i="36"/>
  <c r="J198" i="36"/>
  <c r="I198" i="36"/>
  <c r="G198" i="36"/>
  <c r="F198" i="36"/>
  <c r="V197" i="36"/>
  <c r="U197" i="36"/>
  <c r="S197" i="36"/>
  <c r="R197" i="36"/>
  <c r="J197" i="36"/>
  <c r="I197" i="36"/>
  <c r="G197" i="36"/>
  <c r="F197" i="36"/>
  <c r="V196" i="36"/>
  <c r="U196" i="36"/>
  <c r="S196" i="36"/>
  <c r="R196" i="36"/>
  <c r="J196" i="36"/>
  <c r="I196" i="36"/>
  <c r="G196" i="36"/>
  <c r="F196" i="36"/>
  <c r="X192" i="36"/>
  <c r="V192" i="36"/>
  <c r="U192" i="36"/>
  <c r="S192" i="36"/>
  <c r="R192" i="36"/>
  <c r="M192" i="36"/>
  <c r="L192" i="36"/>
  <c r="K192" i="36"/>
  <c r="J192" i="36"/>
  <c r="I192" i="36"/>
  <c r="H192" i="36"/>
  <c r="G192" i="36"/>
  <c r="F192" i="36"/>
  <c r="V191" i="36"/>
  <c r="U191" i="36"/>
  <c r="S191" i="36"/>
  <c r="R191" i="36"/>
  <c r="K191" i="36"/>
  <c r="J191" i="36"/>
  <c r="I191" i="36"/>
  <c r="H191" i="36"/>
  <c r="G191" i="36"/>
  <c r="F191" i="36"/>
  <c r="V190" i="36"/>
  <c r="U190" i="36"/>
  <c r="S190" i="36"/>
  <c r="R190" i="36"/>
  <c r="K190" i="36"/>
  <c r="J190" i="36"/>
  <c r="I190" i="36"/>
  <c r="H190" i="36"/>
  <c r="G190" i="36"/>
  <c r="F190" i="36"/>
  <c r="X185" i="36"/>
  <c r="V185" i="36"/>
  <c r="U185" i="36"/>
  <c r="S185" i="36"/>
  <c r="R185" i="36"/>
  <c r="L185" i="36"/>
  <c r="J185" i="36"/>
  <c r="I185" i="36"/>
  <c r="G185" i="36"/>
  <c r="F185" i="36"/>
  <c r="V184" i="36"/>
  <c r="U184" i="36"/>
  <c r="S184" i="36"/>
  <c r="R184" i="36"/>
  <c r="J184" i="36"/>
  <c r="I184" i="36"/>
  <c r="G184" i="36"/>
  <c r="F184" i="36"/>
  <c r="V183" i="36"/>
  <c r="U183" i="36"/>
  <c r="S183" i="36"/>
  <c r="R183" i="36"/>
  <c r="J183" i="36"/>
  <c r="I183" i="36"/>
  <c r="G183" i="36"/>
  <c r="F183" i="36"/>
  <c r="X179" i="36"/>
  <c r="V179" i="36"/>
  <c r="U179" i="36"/>
  <c r="S179" i="36"/>
  <c r="R179" i="36"/>
  <c r="M179" i="36"/>
  <c r="L179" i="36"/>
  <c r="K179" i="36"/>
  <c r="J179" i="36"/>
  <c r="I179" i="36"/>
  <c r="H179" i="36"/>
  <c r="G179" i="36"/>
  <c r="F179" i="36"/>
  <c r="V178" i="36"/>
  <c r="U178" i="36"/>
  <c r="S178" i="36"/>
  <c r="R178" i="36"/>
  <c r="K178" i="36"/>
  <c r="J178" i="36"/>
  <c r="I178" i="36"/>
  <c r="H178" i="36"/>
  <c r="G178" i="36"/>
  <c r="F178" i="36"/>
  <c r="V177" i="36"/>
  <c r="U177" i="36"/>
  <c r="S177" i="36"/>
  <c r="R177" i="36"/>
  <c r="K177" i="36"/>
  <c r="J177" i="36"/>
  <c r="I177" i="36"/>
  <c r="H177" i="36"/>
  <c r="G177" i="36"/>
  <c r="F177" i="36"/>
  <c r="X172" i="36"/>
  <c r="V172" i="36"/>
  <c r="U172" i="36"/>
  <c r="S172" i="36"/>
  <c r="R172" i="36"/>
  <c r="L172" i="36"/>
  <c r="J172" i="36"/>
  <c r="I172" i="36"/>
  <c r="G172" i="36"/>
  <c r="F172" i="36"/>
  <c r="V171" i="36"/>
  <c r="U171" i="36"/>
  <c r="S171" i="36"/>
  <c r="R171" i="36"/>
  <c r="J171" i="36"/>
  <c r="I171" i="36"/>
  <c r="G171" i="36"/>
  <c r="F171" i="36"/>
  <c r="V170" i="36"/>
  <c r="U170" i="36"/>
  <c r="S170" i="36"/>
  <c r="R170" i="36"/>
  <c r="J170" i="36"/>
  <c r="I170" i="36"/>
  <c r="G170" i="36"/>
  <c r="F170" i="36"/>
  <c r="X166" i="36"/>
  <c r="V166" i="36"/>
  <c r="U166" i="36"/>
  <c r="S166" i="36"/>
  <c r="R166" i="36"/>
  <c r="M166" i="36"/>
  <c r="L166" i="36"/>
  <c r="K166" i="36"/>
  <c r="J166" i="36"/>
  <c r="I166" i="36"/>
  <c r="H166" i="36"/>
  <c r="G166" i="36"/>
  <c r="F166" i="36"/>
  <c r="V165" i="36"/>
  <c r="U165" i="36"/>
  <c r="S165" i="36"/>
  <c r="R165" i="36"/>
  <c r="K165" i="36"/>
  <c r="J165" i="36"/>
  <c r="I165" i="36"/>
  <c r="H165" i="36"/>
  <c r="G165" i="36"/>
  <c r="F165" i="36"/>
  <c r="V164" i="36"/>
  <c r="U164" i="36"/>
  <c r="S164" i="36"/>
  <c r="R164" i="36"/>
  <c r="K164" i="36"/>
  <c r="J164" i="36"/>
  <c r="I164" i="36"/>
  <c r="H164" i="36"/>
  <c r="G164" i="36"/>
  <c r="F164" i="36"/>
  <c r="X159" i="36"/>
  <c r="V159" i="36"/>
  <c r="U159" i="36"/>
  <c r="S159" i="36"/>
  <c r="R159" i="36"/>
  <c r="L159" i="36"/>
  <c r="J159" i="36"/>
  <c r="I159" i="36"/>
  <c r="G159" i="36"/>
  <c r="F159" i="36"/>
  <c r="V158" i="36"/>
  <c r="U158" i="36"/>
  <c r="S158" i="36"/>
  <c r="R158" i="36"/>
  <c r="J158" i="36"/>
  <c r="I158" i="36"/>
  <c r="G158" i="36"/>
  <c r="F158" i="36"/>
  <c r="V157" i="36"/>
  <c r="U157" i="36"/>
  <c r="S157" i="36"/>
  <c r="R157" i="36"/>
  <c r="J157" i="36"/>
  <c r="I157" i="36"/>
  <c r="G157" i="36"/>
  <c r="F157" i="36"/>
  <c r="X153" i="36"/>
  <c r="V153" i="36"/>
  <c r="U153" i="36"/>
  <c r="S153" i="36"/>
  <c r="R153" i="36"/>
  <c r="M153" i="36"/>
  <c r="L153" i="36"/>
  <c r="K153" i="36"/>
  <c r="J153" i="36"/>
  <c r="I153" i="36"/>
  <c r="H153" i="36"/>
  <c r="G153" i="36"/>
  <c r="F153" i="36"/>
  <c r="V152" i="36"/>
  <c r="U152" i="36"/>
  <c r="S152" i="36"/>
  <c r="R152" i="36"/>
  <c r="K152" i="36"/>
  <c r="J152" i="36"/>
  <c r="I152" i="36"/>
  <c r="H152" i="36"/>
  <c r="G152" i="36"/>
  <c r="F152" i="36"/>
  <c r="V151" i="36"/>
  <c r="U151" i="36"/>
  <c r="S151" i="36"/>
  <c r="R151" i="36"/>
  <c r="K151" i="36"/>
  <c r="J151" i="36"/>
  <c r="I151" i="36"/>
  <c r="H151" i="36"/>
  <c r="G151" i="36"/>
  <c r="F151" i="36"/>
  <c r="X146" i="36"/>
  <c r="V146" i="36"/>
  <c r="U146" i="36"/>
  <c r="S146" i="36"/>
  <c r="R146" i="36"/>
  <c r="L146" i="36"/>
  <c r="J146" i="36"/>
  <c r="I146" i="36"/>
  <c r="G146" i="36"/>
  <c r="F146" i="36"/>
  <c r="V145" i="36"/>
  <c r="U145" i="36"/>
  <c r="S145" i="36"/>
  <c r="R145" i="36"/>
  <c r="J145" i="36"/>
  <c r="I145" i="36"/>
  <c r="G145" i="36"/>
  <c r="F145" i="36"/>
  <c r="V144" i="36"/>
  <c r="U144" i="36"/>
  <c r="S144" i="36"/>
  <c r="R144" i="36"/>
  <c r="J144" i="36"/>
  <c r="I144" i="36"/>
  <c r="G144" i="36"/>
  <c r="F144" i="36"/>
  <c r="X140" i="36"/>
  <c r="V140" i="36"/>
  <c r="U140" i="36"/>
  <c r="S140" i="36"/>
  <c r="R140" i="36"/>
  <c r="M140" i="36"/>
  <c r="L140" i="36"/>
  <c r="K140" i="36"/>
  <c r="J140" i="36"/>
  <c r="I140" i="36"/>
  <c r="H140" i="36"/>
  <c r="G140" i="36"/>
  <c r="F140" i="36"/>
  <c r="V139" i="36"/>
  <c r="U139" i="36"/>
  <c r="S139" i="36"/>
  <c r="R139" i="36"/>
  <c r="K139" i="36"/>
  <c r="J139" i="36"/>
  <c r="I139" i="36"/>
  <c r="H139" i="36"/>
  <c r="G139" i="36"/>
  <c r="F139" i="36"/>
  <c r="V138" i="36"/>
  <c r="U138" i="36"/>
  <c r="S138" i="36"/>
  <c r="R138" i="36"/>
  <c r="K138" i="36"/>
  <c r="J138" i="36"/>
  <c r="I138" i="36"/>
  <c r="H138" i="36"/>
  <c r="G138" i="36"/>
  <c r="F138" i="36"/>
  <c r="X133" i="36"/>
  <c r="V133" i="36"/>
  <c r="U133" i="36"/>
  <c r="S133" i="36"/>
  <c r="R133" i="36"/>
  <c r="L133" i="36"/>
  <c r="J133" i="36"/>
  <c r="I133" i="36"/>
  <c r="G133" i="36"/>
  <c r="F133" i="36"/>
  <c r="V132" i="36"/>
  <c r="U132" i="36"/>
  <c r="S132" i="36"/>
  <c r="R132" i="36"/>
  <c r="J132" i="36"/>
  <c r="I132" i="36"/>
  <c r="G132" i="36"/>
  <c r="F132" i="36"/>
  <c r="V131" i="36"/>
  <c r="U131" i="36"/>
  <c r="S131" i="36"/>
  <c r="R131" i="36"/>
  <c r="J131" i="36"/>
  <c r="I131" i="36"/>
  <c r="G131" i="36"/>
  <c r="F131" i="36"/>
  <c r="X127" i="36"/>
  <c r="V127" i="36"/>
  <c r="U127" i="36"/>
  <c r="S127" i="36"/>
  <c r="R127" i="36"/>
  <c r="M127" i="36"/>
  <c r="L127" i="36"/>
  <c r="K127" i="36"/>
  <c r="J127" i="36"/>
  <c r="I127" i="36"/>
  <c r="H127" i="36"/>
  <c r="G127" i="36"/>
  <c r="F127" i="36"/>
  <c r="V126" i="36"/>
  <c r="U126" i="36"/>
  <c r="S126" i="36"/>
  <c r="R126" i="36"/>
  <c r="K126" i="36"/>
  <c r="J126" i="36"/>
  <c r="I126" i="36"/>
  <c r="H126" i="36"/>
  <c r="G126" i="36"/>
  <c r="F126" i="36"/>
  <c r="V125" i="36"/>
  <c r="U125" i="36"/>
  <c r="S125" i="36"/>
  <c r="R125" i="36"/>
  <c r="K125" i="36"/>
  <c r="J125" i="36"/>
  <c r="I125" i="36"/>
  <c r="H125" i="36"/>
  <c r="G125" i="36"/>
  <c r="F125" i="36"/>
  <c r="X120" i="36"/>
  <c r="V120" i="36"/>
  <c r="U120" i="36"/>
  <c r="S120" i="36"/>
  <c r="R120" i="36"/>
  <c r="L120" i="36"/>
  <c r="J120" i="36"/>
  <c r="I120" i="36"/>
  <c r="G120" i="36"/>
  <c r="F120" i="36"/>
  <c r="V119" i="36"/>
  <c r="U119" i="36"/>
  <c r="S119" i="36"/>
  <c r="R119" i="36"/>
  <c r="J119" i="36"/>
  <c r="I119" i="36"/>
  <c r="G119" i="36"/>
  <c r="F119" i="36"/>
  <c r="V118" i="36"/>
  <c r="U118" i="36"/>
  <c r="S118" i="36"/>
  <c r="R118" i="36"/>
  <c r="J118" i="36"/>
  <c r="I118" i="36"/>
  <c r="G118" i="36"/>
  <c r="F118" i="36"/>
  <c r="X114" i="36"/>
  <c r="V114" i="36"/>
  <c r="U114" i="36"/>
  <c r="S114" i="36"/>
  <c r="R114" i="36"/>
  <c r="M114" i="36"/>
  <c r="L114" i="36"/>
  <c r="K114" i="36"/>
  <c r="J114" i="36"/>
  <c r="I114" i="36"/>
  <c r="H114" i="36"/>
  <c r="G114" i="36"/>
  <c r="F114" i="36"/>
  <c r="V113" i="36"/>
  <c r="U113" i="36"/>
  <c r="S113" i="36"/>
  <c r="R113" i="36"/>
  <c r="K113" i="36"/>
  <c r="J113" i="36"/>
  <c r="I113" i="36"/>
  <c r="H113" i="36"/>
  <c r="G113" i="36"/>
  <c r="F113" i="36"/>
  <c r="V112" i="36"/>
  <c r="U112" i="36"/>
  <c r="S112" i="36"/>
  <c r="R112" i="36"/>
  <c r="K112" i="36"/>
  <c r="J112" i="36"/>
  <c r="I112" i="36"/>
  <c r="H112" i="36"/>
  <c r="G112" i="36"/>
  <c r="F112" i="36"/>
  <c r="X107" i="36"/>
  <c r="V107" i="36"/>
  <c r="U107" i="36"/>
  <c r="S107" i="36"/>
  <c r="R107" i="36"/>
  <c r="L107" i="36"/>
  <c r="J107" i="36"/>
  <c r="I107" i="36"/>
  <c r="G107" i="36"/>
  <c r="F107" i="36"/>
  <c r="V106" i="36"/>
  <c r="U106" i="36"/>
  <c r="S106" i="36"/>
  <c r="R106" i="36"/>
  <c r="J106" i="36"/>
  <c r="I106" i="36"/>
  <c r="G106" i="36"/>
  <c r="F106" i="36"/>
  <c r="V105" i="36"/>
  <c r="U105" i="36"/>
  <c r="S105" i="36"/>
  <c r="R105" i="36"/>
  <c r="J105" i="36"/>
  <c r="I105" i="36"/>
  <c r="G105" i="36"/>
  <c r="F105" i="36"/>
  <c r="X101" i="36"/>
  <c r="V101" i="36"/>
  <c r="U101" i="36"/>
  <c r="S101" i="36"/>
  <c r="R101" i="36"/>
  <c r="M101" i="36"/>
  <c r="L101" i="36"/>
  <c r="K101" i="36"/>
  <c r="J101" i="36"/>
  <c r="I101" i="36"/>
  <c r="H101" i="36"/>
  <c r="G101" i="36"/>
  <c r="F101" i="36"/>
  <c r="V100" i="36"/>
  <c r="U100" i="36"/>
  <c r="S100" i="36"/>
  <c r="R100" i="36"/>
  <c r="K100" i="36"/>
  <c r="J100" i="36"/>
  <c r="I100" i="36"/>
  <c r="H100" i="36"/>
  <c r="G100" i="36"/>
  <c r="F100" i="36"/>
  <c r="V99" i="36"/>
  <c r="U99" i="36"/>
  <c r="S99" i="36"/>
  <c r="R99" i="36"/>
  <c r="K99" i="36"/>
  <c r="J99" i="36"/>
  <c r="I99" i="36"/>
  <c r="H99" i="36"/>
  <c r="G99" i="36"/>
  <c r="F99" i="36"/>
  <c r="X94" i="36"/>
  <c r="V94" i="36"/>
  <c r="U94" i="36"/>
  <c r="S94" i="36"/>
  <c r="R94" i="36"/>
  <c r="L94" i="36"/>
  <c r="J94" i="36"/>
  <c r="I94" i="36"/>
  <c r="G94" i="36"/>
  <c r="F94" i="36"/>
  <c r="V93" i="36"/>
  <c r="U93" i="36"/>
  <c r="S93" i="36"/>
  <c r="R93" i="36"/>
  <c r="J93" i="36"/>
  <c r="I93" i="36"/>
  <c r="G93" i="36"/>
  <c r="F93" i="36"/>
  <c r="V92" i="36"/>
  <c r="U92" i="36"/>
  <c r="S92" i="36"/>
  <c r="R92" i="36"/>
  <c r="J92" i="36"/>
  <c r="I92" i="36"/>
  <c r="G92" i="36"/>
  <c r="F92" i="36"/>
  <c r="X88" i="36"/>
  <c r="V88" i="36"/>
  <c r="U88" i="36"/>
  <c r="S88" i="36"/>
  <c r="R88" i="36"/>
  <c r="M88" i="36"/>
  <c r="L88" i="36"/>
  <c r="K88" i="36"/>
  <c r="J88" i="36"/>
  <c r="I88" i="36"/>
  <c r="H88" i="36"/>
  <c r="G88" i="36"/>
  <c r="F88" i="36"/>
  <c r="V87" i="36"/>
  <c r="U87" i="36"/>
  <c r="S87" i="36"/>
  <c r="R87" i="36"/>
  <c r="K87" i="36"/>
  <c r="J87" i="36"/>
  <c r="I87" i="36"/>
  <c r="H87" i="36"/>
  <c r="G87" i="36"/>
  <c r="F87" i="36"/>
  <c r="V86" i="36"/>
  <c r="U86" i="36"/>
  <c r="S86" i="36"/>
  <c r="R86" i="36"/>
  <c r="K86" i="36"/>
  <c r="J86" i="36"/>
  <c r="I86" i="36"/>
  <c r="H86" i="36"/>
  <c r="G86" i="36"/>
  <c r="F86" i="36"/>
  <c r="X81" i="36"/>
  <c r="V81" i="36"/>
  <c r="U81" i="36"/>
  <c r="S81" i="36"/>
  <c r="R81" i="36"/>
  <c r="L81" i="36"/>
  <c r="J81" i="36"/>
  <c r="I81" i="36"/>
  <c r="G81" i="36"/>
  <c r="F81" i="36"/>
  <c r="V80" i="36"/>
  <c r="U80" i="36"/>
  <c r="S80" i="36"/>
  <c r="R80" i="36"/>
  <c r="J80" i="36"/>
  <c r="I80" i="36"/>
  <c r="G80" i="36"/>
  <c r="F80" i="36"/>
  <c r="V79" i="36"/>
  <c r="U79" i="36"/>
  <c r="S79" i="36"/>
  <c r="R79" i="36"/>
  <c r="J79" i="36"/>
  <c r="I79" i="36"/>
  <c r="G79" i="36"/>
  <c r="F79" i="36"/>
  <c r="X75" i="36"/>
  <c r="V75" i="36"/>
  <c r="U75" i="36"/>
  <c r="S75" i="36"/>
  <c r="R75" i="36"/>
  <c r="M75" i="36"/>
  <c r="L75" i="36"/>
  <c r="K75" i="36"/>
  <c r="J75" i="36"/>
  <c r="I75" i="36"/>
  <c r="H75" i="36"/>
  <c r="G75" i="36"/>
  <c r="F75" i="36"/>
  <c r="V74" i="36"/>
  <c r="U74" i="36"/>
  <c r="S74" i="36"/>
  <c r="R74" i="36"/>
  <c r="K74" i="36"/>
  <c r="J74" i="36"/>
  <c r="I74" i="36"/>
  <c r="H74" i="36"/>
  <c r="G74" i="36"/>
  <c r="F74" i="36"/>
  <c r="V73" i="36"/>
  <c r="U73" i="36"/>
  <c r="S73" i="36"/>
  <c r="R73" i="36"/>
  <c r="K73" i="36"/>
  <c r="J73" i="36"/>
  <c r="I73" i="36"/>
  <c r="H73" i="36"/>
  <c r="G73" i="36"/>
  <c r="F73" i="36"/>
  <c r="X263" i="38"/>
  <c r="V263" i="38"/>
  <c r="U263" i="38"/>
  <c r="S263" i="38"/>
  <c r="R263" i="38"/>
  <c r="L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V261" i="38"/>
  <c r="U261" i="38"/>
  <c r="S261" i="38"/>
  <c r="R261" i="38"/>
  <c r="J261" i="38"/>
  <c r="I261" i="38"/>
  <c r="G261" i="38"/>
  <c r="F261" i="38"/>
  <c r="X257" i="38"/>
  <c r="V257" i="38"/>
  <c r="U257" i="38"/>
  <c r="S257" i="38"/>
  <c r="R257" i="38"/>
  <c r="M257" i="38"/>
  <c r="L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V255" i="38"/>
  <c r="U255" i="38"/>
  <c r="S255" i="38"/>
  <c r="R255" i="38"/>
  <c r="K255" i="38"/>
  <c r="J255" i="38"/>
  <c r="I255" i="38"/>
  <c r="H255" i="38"/>
  <c r="G255" i="38"/>
  <c r="F255" i="38"/>
  <c r="X250" i="38"/>
  <c r="V250" i="38"/>
  <c r="U250" i="38"/>
  <c r="S250" i="38"/>
  <c r="R250" i="38"/>
  <c r="L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V248" i="38"/>
  <c r="U248" i="38"/>
  <c r="S248" i="38"/>
  <c r="R248" i="38"/>
  <c r="J248" i="38"/>
  <c r="I248" i="38"/>
  <c r="G248" i="38"/>
  <c r="F248" i="38"/>
  <c r="X244" i="38"/>
  <c r="V244" i="38"/>
  <c r="U244" i="38"/>
  <c r="S244" i="38"/>
  <c r="R244" i="38"/>
  <c r="M244" i="38"/>
  <c r="L244" i="38"/>
  <c r="K244" i="38"/>
  <c r="J244" i="38"/>
  <c r="I244" i="38"/>
  <c r="H244" i="38"/>
  <c r="G244" i="38"/>
  <c r="F244" i="38"/>
  <c r="V243" i="38"/>
  <c r="U243" i="38"/>
  <c r="S243" i="38"/>
  <c r="R243" i="38"/>
  <c r="K243" i="38"/>
  <c r="J243" i="38"/>
  <c r="I243" i="38"/>
  <c r="H243" i="38"/>
  <c r="G243" i="38"/>
  <c r="F243" i="38"/>
  <c r="V242" i="38"/>
  <c r="U242" i="38"/>
  <c r="S242" i="38"/>
  <c r="R242" i="38"/>
  <c r="K242" i="38"/>
  <c r="J242" i="38"/>
  <c r="I242" i="38"/>
  <c r="H242" i="38"/>
  <c r="G242" i="38"/>
  <c r="F242" i="38"/>
  <c r="X237" i="38"/>
  <c r="V237" i="38"/>
  <c r="U237" i="38"/>
  <c r="S237" i="38"/>
  <c r="R237" i="38"/>
  <c r="L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V235" i="38"/>
  <c r="U235" i="38"/>
  <c r="S235" i="38"/>
  <c r="R235" i="38"/>
  <c r="J235" i="38"/>
  <c r="I235" i="38"/>
  <c r="G235" i="38"/>
  <c r="F235" i="38"/>
  <c r="X231" i="38"/>
  <c r="V231" i="38"/>
  <c r="U231" i="38"/>
  <c r="S231" i="38"/>
  <c r="R231" i="38"/>
  <c r="M231" i="38"/>
  <c r="L231" i="38"/>
  <c r="K231" i="38"/>
  <c r="J231" i="38"/>
  <c r="I231" i="38"/>
  <c r="H231" i="38"/>
  <c r="G231" i="38"/>
  <c r="F231" i="38"/>
  <c r="V230" i="38"/>
  <c r="U230" i="38"/>
  <c r="S230" i="38"/>
  <c r="R230" i="38"/>
  <c r="K230" i="38"/>
  <c r="J230" i="38"/>
  <c r="I230" i="38"/>
  <c r="H230" i="38"/>
  <c r="G230" i="38"/>
  <c r="F230" i="38"/>
  <c r="V229" i="38"/>
  <c r="U229" i="38"/>
  <c r="S229" i="38"/>
  <c r="R229" i="38"/>
  <c r="K229" i="38"/>
  <c r="J229" i="38"/>
  <c r="I229" i="38"/>
  <c r="H229" i="38"/>
  <c r="G229" i="38"/>
  <c r="F229" i="38"/>
  <c r="X224" i="38"/>
  <c r="V224" i="38"/>
  <c r="U224" i="38"/>
  <c r="S224" i="38"/>
  <c r="R224" i="38"/>
  <c r="L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V222" i="38"/>
  <c r="U222" i="38"/>
  <c r="S222" i="38"/>
  <c r="R222" i="38"/>
  <c r="J222" i="38"/>
  <c r="I222" i="38"/>
  <c r="G222" i="38"/>
  <c r="F222" i="38"/>
  <c r="X218" i="38"/>
  <c r="V218" i="38"/>
  <c r="U218" i="38"/>
  <c r="S218" i="38"/>
  <c r="R218" i="38"/>
  <c r="M218" i="38"/>
  <c r="L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V216" i="38"/>
  <c r="U216" i="38"/>
  <c r="S216" i="38"/>
  <c r="R216" i="38"/>
  <c r="K216" i="38"/>
  <c r="J216" i="38"/>
  <c r="I216" i="38"/>
  <c r="H216" i="38"/>
  <c r="G216" i="38"/>
  <c r="F216" i="38"/>
  <c r="X211" i="38"/>
  <c r="V211" i="38"/>
  <c r="U211" i="38"/>
  <c r="S211" i="38"/>
  <c r="R211" i="38"/>
  <c r="L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V209" i="38"/>
  <c r="U209" i="38"/>
  <c r="S209" i="38"/>
  <c r="R209" i="38"/>
  <c r="J209" i="38"/>
  <c r="I209" i="38"/>
  <c r="G209" i="38"/>
  <c r="F209" i="38"/>
  <c r="X205" i="38"/>
  <c r="V205" i="38"/>
  <c r="U205" i="38"/>
  <c r="S205" i="38"/>
  <c r="R205" i="38"/>
  <c r="M205" i="38"/>
  <c r="L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V203" i="38"/>
  <c r="U203" i="38"/>
  <c r="S203" i="38"/>
  <c r="R203" i="38"/>
  <c r="K203" i="38"/>
  <c r="J203" i="38"/>
  <c r="I203" i="38"/>
  <c r="H203" i="38"/>
  <c r="G203" i="38"/>
  <c r="F203" i="38"/>
  <c r="X198" i="38"/>
  <c r="V198" i="38"/>
  <c r="U198" i="38"/>
  <c r="S198" i="38"/>
  <c r="R198" i="38"/>
  <c r="L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V196" i="38"/>
  <c r="U196" i="38"/>
  <c r="S196" i="38"/>
  <c r="R196" i="38"/>
  <c r="J196" i="38"/>
  <c r="I196" i="38"/>
  <c r="G196" i="38"/>
  <c r="F196" i="38"/>
  <c r="X192" i="38"/>
  <c r="V192" i="38"/>
  <c r="U192" i="38"/>
  <c r="S192" i="38"/>
  <c r="R192" i="38"/>
  <c r="M192" i="38"/>
  <c r="L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V190" i="38"/>
  <c r="U190" i="38"/>
  <c r="S190" i="38"/>
  <c r="R190" i="38"/>
  <c r="K190" i="38"/>
  <c r="J190" i="38"/>
  <c r="I190" i="38"/>
  <c r="H190" i="38"/>
  <c r="G190" i="38"/>
  <c r="F190" i="38"/>
  <c r="X185" i="38"/>
  <c r="V185" i="38"/>
  <c r="U185" i="38"/>
  <c r="S185" i="38"/>
  <c r="R185" i="38"/>
  <c r="L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V183" i="38"/>
  <c r="U183" i="38"/>
  <c r="S183" i="38"/>
  <c r="R183" i="38"/>
  <c r="J183" i="38"/>
  <c r="I183" i="38"/>
  <c r="G183" i="38"/>
  <c r="F183" i="38"/>
  <c r="X179" i="38"/>
  <c r="V179" i="38"/>
  <c r="U179" i="38"/>
  <c r="S179" i="38"/>
  <c r="R179" i="38"/>
  <c r="M179" i="38"/>
  <c r="L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V177" i="38"/>
  <c r="U177" i="38"/>
  <c r="S177" i="38"/>
  <c r="R177" i="38"/>
  <c r="K177" i="38"/>
  <c r="J177" i="38"/>
  <c r="I177" i="38"/>
  <c r="H177" i="38"/>
  <c r="G177" i="38"/>
  <c r="F177" i="38"/>
  <c r="X172" i="38"/>
  <c r="V172" i="38"/>
  <c r="U172" i="38"/>
  <c r="S172" i="38"/>
  <c r="R172" i="38"/>
  <c r="L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V170" i="38"/>
  <c r="U170" i="38"/>
  <c r="S170" i="38"/>
  <c r="R170" i="38"/>
  <c r="J170" i="38"/>
  <c r="I170" i="38"/>
  <c r="G170" i="38"/>
  <c r="F170" i="38"/>
  <c r="X166" i="38"/>
  <c r="V166" i="38"/>
  <c r="U166" i="38"/>
  <c r="S166" i="38"/>
  <c r="R166" i="38"/>
  <c r="M166" i="38"/>
  <c r="L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V164" i="38"/>
  <c r="U164" i="38"/>
  <c r="S164" i="38"/>
  <c r="R164" i="38"/>
  <c r="K164" i="38"/>
  <c r="J164" i="38"/>
  <c r="I164" i="38"/>
  <c r="H164" i="38"/>
  <c r="G164" i="38"/>
  <c r="F164" i="38"/>
  <c r="X159" i="38"/>
  <c r="V159" i="38"/>
  <c r="U159" i="38"/>
  <c r="S159" i="38"/>
  <c r="R159" i="38"/>
  <c r="L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V157" i="38"/>
  <c r="U157" i="38"/>
  <c r="S157" i="38"/>
  <c r="R157" i="38"/>
  <c r="J157" i="38"/>
  <c r="I157" i="38"/>
  <c r="G157" i="38"/>
  <c r="F157" i="38"/>
  <c r="X153" i="38"/>
  <c r="V153" i="38"/>
  <c r="U153" i="38"/>
  <c r="S153" i="38"/>
  <c r="R153" i="38"/>
  <c r="M153" i="38"/>
  <c r="L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V151" i="38"/>
  <c r="U151" i="38"/>
  <c r="S151" i="38"/>
  <c r="R151" i="38"/>
  <c r="K151" i="38"/>
  <c r="J151" i="38"/>
  <c r="I151" i="38"/>
  <c r="H151" i="38"/>
  <c r="G151" i="38"/>
  <c r="F151" i="38"/>
  <c r="X146" i="38"/>
  <c r="V146" i="38"/>
  <c r="U146" i="38"/>
  <c r="S146" i="38"/>
  <c r="R146" i="38"/>
  <c r="L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V144" i="38"/>
  <c r="U144" i="38"/>
  <c r="S144" i="38"/>
  <c r="R144" i="38"/>
  <c r="J144" i="38"/>
  <c r="I144" i="38"/>
  <c r="G144" i="38"/>
  <c r="F144" i="38"/>
  <c r="X140" i="38"/>
  <c r="V140" i="38"/>
  <c r="U140" i="38"/>
  <c r="S140" i="38"/>
  <c r="R140" i="38"/>
  <c r="M140" i="38"/>
  <c r="L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V138" i="38"/>
  <c r="U138" i="38"/>
  <c r="S138" i="38"/>
  <c r="R138" i="38"/>
  <c r="K138" i="38"/>
  <c r="J138" i="38"/>
  <c r="I138" i="38"/>
  <c r="H138" i="38"/>
  <c r="G138" i="38"/>
  <c r="F138" i="38"/>
  <c r="X133" i="38"/>
  <c r="V133" i="38"/>
  <c r="U133" i="38"/>
  <c r="S133" i="38"/>
  <c r="R133" i="38"/>
  <c r="L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V131" i="38"/>
  <c r="U131" i="38"/>
  <c r="S131" i="38"/>
  <c r="R131" i="38"/>
  <c r="J131" i="38"/>
  <c r="I131" i="38"/>
  <c r="G131" i="38"/>
  <c r="F131" i="38"/>
  <c r="X127" i="38"/>
  <c r="V127" i="38"/>
  <c r="U127" i="38"/>
  <c r="S127" i="38"/>
  <c r="R127" i="38"/>
  <c r="M127" i="38"/>
  <c r="L127" i="38"/>
  <c r="K127" i="38"/>
  <c r="J127" i="38"/>
  <c r="I127" i="38"/>
  <c r="H127" i="38"/>
  <c r="G127" i="38"/>
  <c r="F127" i="38"/>
  <c r="V126" i="38"/>
  <c r="U126" i="38"/>
  <c r="S126" i="38"/>
  <c r="R126" i="38"/>
  <c r="K126" i="38"/>
  <c r="J126" i="38"/>
  <c r="I126" i="38"/>
  <c r="H126" i="38"/>
  <c r="G126" i="38"/>
  <c r="F126" i="38"/>
  <c r="V125" i="38"/>
  <c r="U125" i="38"/>
  <c r="S125" i="38"/>
  <c r="R125" i="38"/>
  <c r="K125" i="38"/>
  <c r="J125" i="38"/>
  <c r="I125" i="38"/>
  <c r="H125" i="38"/>
  <c r="G125" i="38"/>
  <c r="F125" i="38"/>
  <c r="X120" i="38"/>
  <c r="V120" i="38"/>
  <c r="U120" i="38"/>
  <c r="S120" i="38"/>
  <c r="R120" i="38"/>
  <c r="L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V118" i="38"/>
  <c r="U118" i="38"/>
  <c r="S118" i="38"/>
  <c r="R118" i="38"/>
  <c r="J118" i="38"/>
  <c r="I118" i="38"/>
  <c r="G118" i="38"/>
  <c r="F118" i="38"/>
  <c r="X114" i="38"/>
  <c r="V114" i="38"/>
  <c r="U114" i="38"/>
  <c r="S114" i="38"/>
  <c r="R114" i="38"/>
  <c r="M114" i="38"/>
  <c r="L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V112" i="38"/>
  <c r="U112" i="38"/>
  <c r="S112" i="38"/>
  <c r="R112" i="38"/>
  <c r="K112" i="38"/>
  <c r="J112" i="38"/>
  <c r="I112" i="38"/>
  <c r="H112" i="38"/>
  <c r="G112" i="38"/>
  <c r="F112" i="38"/>
  <c r="X107" i="38"/>
  <c r="V107" i="38"/>
  <c r="U107" i="38"/>
  <c r="S107" i="38"/>
  <c r="R107" i="38"/>
  <c r="L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V105" i="38"/>
  <c r="U105" i="38"/>
  <c r="S105" i="38"/>
  <c r="R105" i="38"/>
  <c r="J105" i="38"/>
  <c r="I105" i="38"/>
  <c r="G105" i="38"/>
  <c r="F105" i="38"/>
  <c r="X101" i="38"/>
  <c r="V101" i="38"/>
  <c r="U101" i="38"/>
  <c r="S101" i="38"/>
  <c r="R101" i="38"/>
  <c r="M101" i="38"/>
  <c r="L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V99" i="38"/>
  <c r="U99" i="38"/>
  <c r="S99" i="38"/>
  <c r="R99" i="38"/>
  <c r="K99" i="38"/>
  <c r="J99" i="38"/>
  <c r="I99" i="38"/>
  <c r="H99" i="38"/>
  <c r="G99" i="38"/>
  <c r="F99" i="38"/>
  <c r="X94" i="38"/>
  <c r="V94" i="38"/>
  <c r="U94" i="38"/>
  <c r="S94" i="38"/>
  <c r="R94" i="38"/>
  <c r="L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V92" i="38"/>
  <c r="U92" i="38"/>
  <c r="S92" i="38"/>
  <c r="R92" i="38"/>
  <c r="J92" i="38"/>
  <c r="I92" i="38"/>
  <c r="G92" i="38"/>
  <c r="F92" i="38"/>
  <c r="X88" i="38"/>
  <c r="V88" i="38"/>
  <c r="U88" i="38"/>
  <c r="S88" i="38"/>
  <c r="R88" i="38"/>
  <c r="M88" i="38"/>
  <c r="L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V86" i="38"/>
  <c r="U86" i="38"/>
  <c r="S86" i="38"/>
  <c r="R86" i="38"/>
  <c r="K86" i="38"/>
  <c r="J86" i="38"/>
  <c r="I86" i="38"/>
  <c r="H86" i="38"/>
  <c r="G86" i="38"/>
  <c r="F86" i="38"/>
  <c r="X81" i="38"/>
  <c r="V81" i="38"/>
  <c r="U81" i="38"/>
  <c r="S81" i="38"/>
  <c r="R81" i="38"/>
  <c r="L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V79" i="38"/>
  <c r="U79" i="38"/>
  <c r="S79" i="38"/>
  <c r="R79" i="38"/>
  <c r="J79" i="38"/>
  <c r="I79" i="38"/>
  <c r="G79" i="38"/>
  <c r="F79" i="38"/>
  <c r="X75" i="38"/>
  <c r="V75" i="38"/>
  <c r="U75" i="38"/>
  <c r="S75" i="38"/>
  <c r="R75" i="38"/>
  <c r="M75" i="38"/>
  <c r="L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V73" i="38"/>
  <c r="U73" i="38"/>
  <c r="S73" i="38"/>
  <c r="R73" i="38"/>
  <c r="K73" i="38"/>
  <c r="J73" i="38"/>
  <c r="I73" i="38"/>
  <c r="H73" i="38"/>
  <c r="G73" i="38"/>
  <c r="F73" i="38"/>
  <c r="X263" i="37"/>
  <c r="V263" i="37"/>
  <c r="U263" i="37"/>
  <c r="S263" i="37"/>
  <c r="R263" i="37"/>
  <c r="L263" i="37"/>
  <c r="J263" i="37"/>
  <c r="I263" i="37"/>
  <c r="G263" i="37"/>
  <c r="F263" i="37"/>
  <c r="V262" i="37"/>
  <c r="U262" i="37"/>
  <c r="S262" i="37"/>
  <c r="R262" i="37"/>
  <c r="J262" i="37"/>
  <c r="I262" i="37"/>
  <c r="G262" i="37"/>
  <c r="F262" i="37"/>
  <c r="V261" i="37"/>
  <c r="U261" i="37"/>
  <c r="S261" i="37"/>
  <c r="R261" i="37"/>
  <c r="J261" i="37"/>
  <c r="I261" i="37"/>
  <c r="G261" i="37"/>
  <c r="F261" i="37"/>
  <c r="X257" i="37"/>
  <c r="V257" i="37"/>
  <c r="U257" i="37"/>
  <c r="S257" i="37"/>
  <c r="R257" i="37"/>
  <c r="M257" i="37"/>
  <c r="L257" i="37"/>
  <c r="K257" i="37"/>
  <c r="J257" i="37"/>
  <c r="I257" i="37"/>
  <c r="H257" i="37"/>
  <c r="G257" i="37"/>
  <c r="F257" i="37"/>
  <c r="V256" i="37"/>
  <c r="U256" i="37"/>
  <c r="S256" i="37"/>
  <c r="R256" i="37"/>
  <c r="K256" i="37"/>
  <c r="J256" i="37"/>
  <c r="I256" i="37"/>
  <c r="H256" i="37"/>
  <c r="G256" i="37"/>
  <c r="F256" i="37"/>
  <c r="V255" i="37"/>
  <c r="U255" i="37"/>
  <c r="S255" i="37"/>
  <c r="R255" i="37"/>
  <c r="K255" i="37"/>
  <c r="J255" i="37"/>
  <c r="I255" i="37"/>
  <c r="H255" i="37"/>
  <c r="G255" i="37"/>
  <c r="F255" i="37"/>
  <c r="X250" i="37"/>
  <c r="V250" i="37"/>
  <c r="U250" i="37"/>
  <c r="S250" i="37"/>
  <c r="R250" i="37"/>
  <c r="L250" i="37"/>
  <c r="J250" i="37"/>
  <c r="I250" i="37"/>
  <c r="G250" i="37"/>
  <c r="F250" i="37"/>
  <c r="V249" i="37"/>
  <c r="U249" i="37"/>
  <c r="S249" i="37"/>
  <c r="R249" i="37"/>
  <c r="J249" i="37"/>
  <c r="I249" i="37"/>
  <c r="G249" i="37"/>
  <c r="F249" i="37"/>
  <c r="V248" i="37"/>
  <c r="U248" i="37"/>
  <c r="S248" i="37"/>
  <c r="R248" i="37"/>
  <c r="J248" i="37"/>
  <c r="I248" i="37"/>
  <c r="G248" i="37"/>
  <c r="F248" i="37"/>
  <c r="X244" i="37"/>
  <c r="V244" i="37"/>
  <c r="U244" i="37"/>
  <c r="S244" i="37"/>
  <c r="R244" i="37"/>
  <c r="M244" i="37"/>
  <c r="L244" i="37"/>
  <c r="K244" i="37"/>
  <c r="J244" i="37"/>
  <c r="I244" i="37"/>
  <c r="H244" i="37"/>
  <c r="G244" i="37"/>
  <c r="F244" i="37"/>
  <c r="V243" i="37"/>
  <c r="U243" i="37"/>
  <c r="S243" i="37"/>
  <c r="R243" i="37"/>
  <c r="K243" i="37"/>
  <c r="J243" i="37"/>
  <c r="I243" i="37"/>
  <c r="H243" i="37"/>
  <c r="G243" i="37"/>
  <c r="F243" i="37"/>
  <c r="V242" i="37"/>
  <c r="U242" i="37"/>
  <c r="S242" i="37"/>
  <c r="R242" i="37"/>
  <c r="K242" i="37"/>
  <c r="J242" i="37"/>
  <c r="I242" i="37"/>
  <c r="H242" i="37"/>
  <c r="G242" i="37"/>
  <c r="F242" i="37"/>
  <c r="X237" i="37"/>
  <c r="V237" i="37"/>
  <c r="U237" i="37"/>
  <c r="S237" i="37"/>
  <c r="R237" i="37"/>
  <c r="L237" i="37"/>
  <c r="J237" i="37"/>
  <c r="I237" i="37"/>
  <c r="G237" i="37"/>
  <c r="F237" i="37"/>
  <c r="V236" i="37"/>
  <c r="U236" i="37"/>
  <c r="S236" i="37"/>
  <c r="R236" i="37"/>
  <c r="J236" i="37"/>
  <c r="I236" i="37"/>
  <c r="G236" i="37"/>
  <c r="F236" i="37"/>
  <c r="V235" i="37"/>
  <c r="U235" i="37"/>
  <c r="S235" i="37"/>
  <c r="R235" i="37"/>
  <c r="J235" i="37"/>
  <c r="I235" i="37"/>
  <c r="G235" i="37"/>
  <c r="F235" i="37"/>
  <c r="X231" i="37"/>
  <c r="V231" i="37"/>
  <c r="U231" i="37"/>
  <c r="S231" i="37"/>
  <c r="R231" i="37"/>
  <c r="M231" i="37"/>
  <c r="L231" i="37"/>
  <c r="K231" i="37"/>
  <c r="J231" i="37"/>
  <c r="I231" i="37"/>
  <c r="H231" i="37"/>
  <c r="G231" i="37"/>
  <c r="F231" i="37"/>
  <c r="V230" i="37"/>
  <c r="U230" i="37"/>
  <c r="S230" i="37"/>
  <c r="R230" i="37"/>
  <c r="K230" i="37"/>
  <c r="J230" i="37"/>
  <c r="I230" i="37"/>
  <c r="H230" i="37"/>
  <c r="G230" i="37"/>
  <c r="F230" i="37"/>
  <c r="V229" i="37"/>
  <c r="U229" i="37"/>
  <c r="S229" i="37"/>
  <c r="R229" i="37"/>
  <c r="K229" i="37"/>
  <c r="J229" i="37"/>
  <c r="I229" i="37"/>
  <c r="H229" i="37"/>
  <c r="G229" i="37"/>
  <c r="F229" i="37"/>
  <c r="X224" i="37"/>
  <c r="V224" i="37"/>
  <c r="U224" i="37"/>
  <c r="S224" i="37"/>
  <c r="R224" i="37"/>
  <c r="L224" i="37"/>
  <c r="J224" i="37"/>
  <c r="I224" i="37"/>
  <c r="G224" i="37"/>
  <c r="F224" i="37"/>
  <c r="V223" i="37"/>
  <c r="U223" i="37"/>
  <c r="S223" i="37"/>
  <c r="R223" i="37"/>
  <c r="J223" i="37"/>
  <c r="I223" i="37"/>
  <c r="G223" i="37"/>
  <c r="F223" i="37"/>
  <c r="V222" i="37"/>
  <c r="U222" i="37"/>
  <c r="S222" i="37"/>
  <c r="R222" i="37"/>
  <c r="J222" i="37"/>
  <c r="I222" i="37"/>
  <c r="G222" i="37"/>
  <c r="F222" i="37"/>
  <c r="X218" i="37"/>
  <c r="V218" i="37"/>
  <c r="U218" i="37"/>
  <c r="S218" i="37"/>
  <c r="R218" i="37"/>
  <c r="M218" i="37"/>
  <c r="L218" i="37"/>
  <c r="K218" i="37"/>
  <c r="J218" i="37"/>
  <c r="I218" i="37"/>
  <c r="H218" i="37"/>
  <c r="G218" i="37"/>
  <c r="F218" i="37"/>
  <c r="V217" i="37"/>
  <c r="U217" i="37"/>
  <c r="S217" i="37"/>
  <c r="R217" i="37"/>
  <c r="K217" i="37"/>
  <c r="J217" i="37"/>
  <c r="I217" i="37"/>
  <c r="H217" i="37"/>
  <c r="G217" i="37"/>
  <c r="F217" i="37"/>
  <c r="V216" i="37"/>
  <c r="U216" i="37"/>
  <c r="S216" i="37"/>
  <c r="R216" i="37"/>
  <c r="K216" i="37"/>
  <c r="J216" i="37"/>
  <c r="I216" i="37"/>
  <c r="H216" i="37"/>
  <c r="G216" i="37"/>
  <c r="F216" i="37"/>
  <c r="X211" i="37"/>
  <c r="V211" i="37"/>
  <c r="U211" i="37"/>
  <c r="S211" i="37"/>
  <c r="R211" i="37"/>
  <c r="L211" i="37"/>
  <c r="J211" i="37"/>
  <c r="I211" i="37"/>
  <c r="G211" i="37"/>
  <c r="F211" i="37"/>
  <c r="V210" i="37"/>
  <c r="U210" i="37"/>
  <c r="S210" i="37"/>
  <c r="R210" i="37"/>
  <c r="J210" i="37"/>
  <c r="I210" i="37"/>
  <c r="G210" i="37"/>
  <c r="F210" i="37"/>
  <c r="V209" i="37"/>
  <c r="U209" i="37"/>
  <c r="S209" i="37"/>
  <c r="R209" i="37"/>
  <c r="J209" i="37"/>
  <c r="I209" i="37"/>
  <c r="G209" i="37"/>
  <c r="F209" i="37"/>
  <c r="X205" i="37"/>
  <c r="V205" i="37"/>
  <c r="U205" i="37"/>
  <c r="S205" i="37"/>
  <c r="R205" i="37"/>
  <c r="M205" i="37"/>
  <c r="L205" i="37"/>
  <c r="K205" i="37"/>
  <c r="J205" i="37"/>
  <c r="I205" i="37"/>
  <c r="H205" i="37"/>
  <c r="G205" i="37"/>
  <c r="F205" i="37"/>
  <c r="V204" i="37"/>
  <c r="U204" i="37"/>
  <c r="S204" i="37"/>
  <c r="R204" i="37"/>
  <c r="K204" i="37"/>
  <c r="J204" i="37"/>
  <c r="I204" i="37"/>
  <c r="H204" i="37"/>
  <c r="G204" i="37"/>
  <c r="F204" i="37"/>
  <c r="V203" i="37"/>
  <c r="U203" i="37"/>
  <c r="S203" i="37"/>
  <c r="R203" i="37"/>
  <c r="K203" i="37"/>
  <c r="J203" i="37"/>
  <c r="I203" i="37"/>
  <c r="H203" i="37"/>
  <c r="G203" i="37"/>
  <c r="F203" i="37"/>
  <c r="X198" i="37"/>
  <c r="V198" i="37"/>
  <c r="U198" i="37"/>
  <c r="S198" i="37"/>
  <c r="R198" i="37"/>
  <c r="L198" i="37"/>
  <c r="J198" i="37"/>
  <c r="I198" i="37"/>
  <c r="G198" i="37"/>
  <c r="F198" i="37"/>
  <c r="V197" i="37"/>
  <c r="U197" i="37"/>
  <c r="S197" i="37"/>
  <c r="R197" i="37"/>
  <c r="J197" i="37"/>
  <c r="I197" i="37"/>
  <c r="G197" i="37"/>
  <c r="F197" i="37"/>
  <c r="V196" i="37"/>
  <c r="U196" i="37"/>
  <c r="S196" i="37"/>
  <c r="R196" i="37"/>
  <c r="J196" i="37"/>
  <c r="I196" i="37"/>
  <c r="G196" i="37"/>
  <c r="F196" i="37"/>
  <c r="X192" i="37"/>
  <c r="V192" i="37"/>
  <c r="U192" i="37"/>
  <c r="S192" i="37"/>
  <c r="R192" i="37"/>
  <c r="M192" i="37"/>
  <c r="L192" i="37"/>
  <c r="K192" i="37"/>
  <c r="J192" i="37"/>
  <c r="I192" i="37"/>
  <c r="H192" i="37"/>
  <c r="G192" i="37"/>
  <c r="F192" i="37"/>
  <c r="V191" i="37"/>
  <c r="U191" i="37"/>
  <c r="S191" i="37"/>
  <c r="R191" i="37"/>
  <c r="K191" i="37"/>
  <c r="J191" i="37"/>
  <c r="I191" i="37"/>
  <c r="H191" i="37"/>
  <c r="G191" i="37"/>
  <c r="F191" i="37"/>
  <c r="V190" i="37"/>
  <c r="U190" i="37"/>
  <c r="S190" i="37"/>
  <c r="R190" i="37"/>
  <c r="K190" i="37"/>
  <c r="J190" i="37"/>
  <c r="I190" i="37"/>
  <c r="H190" i="37"/>
  <c r="G190" i="37"/>
  <c r="F190" i="37"/>
  <c r="X185" i="37"/>
  <c r="V185" i="37"/>
  <c r="U185" i="37"/>
  <c r="S185" i="37"/>
  <c r="R185" i="37"/>
  <c r="L185" i="37"/>
  <c r="J185" i="37"/>
  <c r="I185" i="37"/>
  <c r="G185" i="37"/>
  <c r="F185" i="37"/>
  <c r="V184" i="37"/>
  <c r="U184" i="37"/>
  <c r="S184" i="37"/>
  <c r="R184" i="37"/>
  <c r="J184" i="37"/>
  <c r="I184" i="37"/>
  <c r="G184" i="37"/>
  <c r="F184" i="37"/>
  <c r="V183" i="37"/>
  <c r="U183" i="37"/>
  <c r="S183" i="37"/>
  <c r="R183" i="37"/>
  <c r="J183" i="37"/>
  <c r="I183" i="37"/>
  <c r="G183" i="37"/>
  <c r="F183" i="37"/>
  <c r="X179" i="37"/>
  <c r="V179" i="37"/>
  <c r="U179" i="37"/>
  <c r="S179" i="37"/>
  <c r="R179" i="37"/>
  <c r="M179" i="37"/>
  <c r="L179" i="37"/>
  <c r="K179" i="37"/>
  <c r="J179" i="37"/>
  <c r="I179" i="37"/>
  <c r="H179" i="37"/>
  <c r="G179" i="37"/>
  <c r="F179" i="37"/>
  <c r="V178" i="37"/>
  <c r="U178" i="37"/>
  <c r="S178" i="37"/>
  <c r="R178" i="37"/>
  <c r="K178" i="37"/>
  <c r="J178" i="37"/>
  <c r="I178" i="37"/>
  <c r="H178" i="37"/>
  <c r="G178" i="37"/>
  <c r="F178" i="37"/>
  <c r="V177" i="37"/>
  <c r="U177" i="37"/>
  <c r="S177" i="37"/>
  <c r="R177" i="37"/>
  <c r="K177" i="37"/>
  <c r="J177" i="37"/>
  <c r="I177" i="37"/>
  <c r="H177" i="37"/>
  <c r="G177" i="37"/>
  <c r="F177" i="37"/>
  <c r="X172" i="37"/>
  <c r="V172" i="37"/>
  <c r="U172" i="37"/>
  <c r="S172" i="37"/>
  <c r="R172" i="37"/>
  <c r="L172" i="37"/>
  <c r="J172" i="37"/>
  <c r="I172" i="37"/>
  <c r="G172" i="37"/>
  <c r="F172" i="37"/>
  <c r="V171" i="37"/>
  <c r="U171" i="37"/>
  <c r="S171" i="37"/>
  <c r="R171" i="37"/>
  <c r="J171" i="37"/>
  <c r="I171" i="37"/>
  <c r="G171" i="37"/>
  <c r="F171" i="37"/>
  <c r="V170" i="37"/>
  <c r="U170" i="37"/>
  <c r="S170" i="37"/>
  <c r="R170" i="37"/>
  <c r="J170" i="37"/>
  <c r="I170" i="37"/>
  <c r="G170" i="37"/>
  <c r="F170" i="37"/>
  <c r="X166" i="37"/>
  <c r="V166" i="37"/>
  <c r="U166" i="37"/>
  <c r="S166" i="37"/>
  <c r="R166" i="37"/>
  <c r="M166" i="37"/>
  <c r="L166" i="37"/>
  <c r="K166" i="37"/>
  <c r="J166" i="37"/>
  <c r="I166" i="37"/>
  <c r="H166" i="37"/>
  <c r="G166" i="37"/>
  <c r="F166" i="37"/>
  <c r="V165" i="37"/>
  <c r="U165" i="37"/>
  <c r="S165" i="37"/>
  <c r="R165" i="37"/>
  <c r="K165" i="37"/>
  <c r="J165" i="37"/>
  <c r="I165" i="37"/>
  <c r="H165" i="37"/>
  <c r="G165" i="37"/>
  <c r="F165" i="37"/>
  <c r="V164" i="37"/>
  <c r="U164" i="37"/>
  <c r="S164" i="37"/>
  <c r="R164" i="37"/>
  <c r="K164" i="37"/>
  <c r="J164" i="37"/>
  <c r="I164" i="37"/>
  <c r="H164" i="37"/>
  <c r="G164" i="37"/>
  <c r="F164" i="37"/>
  <c r="X159" i="37"/>
  <c r="V159" i="37"/>
  <c r="U159" i="37"/>
  <c r="S159" i="37"/>
  <c r="R159" i="37"/>
  <c r="L159" i="37"/>
  <c r="J159" i="37"/>
  <c r="I159" i="37"/>
  <c r="G159" i="37"/>
  <c r="F159" i="37"/>
  <c r="V158" i="37"/>
  <c r="U158" i="37"/>
  <c r="S158" i="37"/>
  <c r="R158" i="37"/>
  <c r="J158" i="37"/>
  <c r="I158" i="37"/>
  <c r="G158" i="37"/>
  <c r="F158" i="37"/>
  <c r="V157" i="37"/>
  <c r="U157" i="37"/>
  <c r="S157" i="37"/>
  <c r="R157" i="37"/>
  <c r="J157" i="37"/>
  <c r="I157" i="37"/>
  <c r="G157" i="37"/>
  <c r="F157" i="37"/>
  <c r="X153" i="37"/>
  <c r="V153" i="37"/>
  <c r="U153" i="37"/>
  <c r="S153" i="37"/>
  <c r="R153" i="37"/>
  <c r="M153" i="37"/>
  <c r="L153" i="37"/>
  <c r="K153" i="37"/>
  <c r="J153" i="37"/>
  <c r="I153" i="37"/>
  <c r="H153" i="37"/>
  <c r="G153" i="37"/>
  <c r="F153" i="37"/>
  <c r="V152" i="37"/>
  <c r="U152" i="37"/>
  <c r="S152" i="37"/>
  <c r="R152" i="37"/>
  <c r="K152" i="37"/>
  <c r="J152" i="37"/>
  <c r="I152" i="37"/>
  <c r="H152" i="37"/>
  <c r="G152" i="37"/>
  <c r="F152" i="37"/>
  <c r="V151" i="37"/>
  <c r="U151" i="37"/>
  <c r="S151" i="37"/>
  <c r="R151" i="37"/>
  <c r="K151" i="37"/>
  <c r="J151" i="37"/>
  <c r="I151" i="37"/>
  <c r="H151" i="37"/>
  <c r="G151" i="37"/>
  <c r="F151" i="37"/>
  <c r="X146" i="37"/>
  <c r="V146" i="37"/>
  <c r="U146" i="37"/>
  <c r="S146" i="37"/>
  <c r="R146" i="37"/>
  <c r="L146" i="37"/>
  <c r="J146" i="37"/>
  <c r="I146" i="37"/>
  <c r="G146" i="37"/>
  <c r="F146" i="37"/>
  <c r="V145" i="37"/>
  <c r="U145" i="37"/>
  <c r="S145" i="37"/>
  <c r="R145" i="37"/>
  <c r="J145" i="37"/>
  <c r="I145" i="37"/>
  <c r="G145" i="37"/>
  <c r="F145" i="37"/>
  <c r="V144" i="37"/>
  <c r="U144" i="37"/>
  <c r="S144" i="37"/>
  <c r="R144" i="37"/>
  <c r="J144" i="37"/>
  <c r="I144" i="37"/>
  <c r="G144" i="37"/>
  <c r="F144" i="37"/>
  <c r="X140" i="37"/>
  <c r="V140" i="37"/>
  <c r="U140" i="37"/>
  <c r="S140" i="37"/>
  <c r="R140" i="37"/>
  <c r="M140" i="37"/>
  <c r="L140" i="37"/>
  <c r="K140" i="37"/>
  <c r="J140" i="37"/>
  <c r="I140" i="37"/>
  <c r="H140" i="37"/>
  <c r="G140" i="37"/>
  <c r="F140" i="37"/>
  <c r="V139" i="37"/>
  <c r="U139" i="37"/>
  <c r="S139" i="37"/>
  <c r="R139" i="37"/>
  <c r="K139" i="37"/>
  <c r="J139" i="37"/>
  <c r="I139" i="37"/>
  <c r="H139" i="37"/>
  <c r="G139" i="37"/>
  <c r="F139" i="37"/>
  <c r="V138" i="37"/>
  <c r="U138" i="37"/>
  <c r="S138" i="37"/>
  <c r="R138" i="37"/>
  <c r="K138" i="37"/>
  <c r="J138" i="37"/>
  <c r="I138" i="37"/>
  <c r="H138" i="37"/>
  <c r="G138" i="37"/>
  <c r="F138" i="37"/>
  <c r="X133" i="37"/>
  <c r="V133" i="37"/>
  <c r="U133" i="37"/>
  <c r="S133" i="37"/>
  <c r="R133" i="37"/>
  <c r="L133" i="37"/>
  <c r="J133" i="37"/>
  <c r="I133" i="37"/>
  <c r="G133" i="37"/>
  <c r="F133" i="37"/>
  <c r="V132" i="37"/>
  <c r="U132" i="37"/>
  <c r="S132" i="37"/>
  <c r="R132" i="37"/>
  <c r="J132" i="37"/>
  <c r="I132" i="37"/>
  <c r="G132" i="37"/>
  <c r="F132" i="37"/>
  <c r="V131" i="37"/>
  <c r="U131" i="37"/>
  <c r="S131" i="37"/>
  <c r="R131" i="37"/>
  <c r="J131" i="37"/>
  <c r="I131" i="37"/>
  <c r="G131" i="37"/>
  <c r="F131" i="37"/>
  <c r="X127" i="37"/>
  <c r="V127" i="37"/>
  <c r="U127" i="37"/>
  <c r="S127" i="37"/>
  <c r="R127" i="37"/>
  <c r="M127" i="37"/>
  <c r="L127" i="37"/>
  <c r="K127" i="37"/>
  <c r="J127" i="37"/>
  <c r="I127" i="37"/>
  <c r="H127" i="37"/>
  <c r="G127" i="37"/>
  <c r="F127" i="37"/>
  <c r="V126" i="37"/>
  <c r="U126" i="37"/>
  <c r="S126" i="37"/>
  <c r="R126" i="37"/>
  <c r="K126" i="37"/>
  <c r="J126" i="37"/>
  <c r="I126" i="37"/>
  <c r="H126" i="37"/>
  <c r="G126" i="37"/>
  <c r="F126" i="37"/>
  <c r="V125" i="37"/>
  <c r="U125" i="37"/>
  <c r="S125" i="37"/>
  <c r="R125" i="37"/>
  <c r="K125" i="37"/>
  <c r="J125" i="37"/>
  <c r="I125" i="37"/>
  <c r="H125" i="37"/>
  <c r="G125" i="37"/>
  <c r="F125" i="37"/>
  <c r="X120" i="37"/>
  <c r="V120" i="37"/>
  <c r="U120" i="37"/>
  <c r="S120" i="37"/>
  <c r="R120" i="37"/>
  <c r="L120" i="37"/>
  <c r="J120" i="37"/>
  <c r="I120" i="37"/>
  <c r="G120" i="37"/>
  <c r="F120" i="37"/>
  <c r="V119" i="37"/>
  <c r="U119" i="37"/>
  <c r="S119" i="37"/>
  <c r="R119" i="37"/>
  <c r="J119" i="37"/>
  <c r="I119" i="37"/>
  <c r="G119" i="37"/>
  <c r="F119" i="37"/>
  <c r="V118" i="37"/>
  <c r="U118" i="37"/>
  <c r="S118" i="37"/>
  <c r="R118" i="37"/>
  <c r="J118" i="37"/>
  <c r="I118" i="37"/>
  <c r="G118" i="37"/>
  <c r="F118" i="37"/>
  <c r="X114" i="37"/>
  <c r="V114" i="37"/>
  <c r="U114" i="37"/>
  <c r="S114" i="37"/>
  <c r="R114" i="37"/>
  <c r="M114" i="37"/>
  <c r="L114" i="37"/>
  <c r="K114" i="37"/>
  <c r="J114" i="37"/>
  <c r="I114" i="37"/>
  <c r="H114" i="37"/>
  <c r="G114" i="37"/>
  <c r="F114" i="37"/>
  <c r="V113" i="37"/>
  <c r="U113" i="37"/>
  <c r="S113" i="37"/>
  <c r="R113" i="37"/>
  <c r="K113" i="37"/>
  <c r="J113" i="37"/>
  <c r="I113" i="37"/>
  <c r="H113" i="37"/>
  <c r="G113" i="37"/>
  <c r="F113" i="37"/>
  <c r="V112" i="37"/>
  <c r="U112" i="37"/>
  <c r="S112" i="37"/>
  <c r="R112" i="37"/>
  <c r="K112" i="37"/>
  <c r="J112" i="37"/>
  <c r="I112" i="37"/>
  <c r="H112" i="37"/>
  <c r="G112" i="37"/>
  <c r="F112" i="37"/>
  <c r="X107" i="37"/>
  <c r="V107" i="37"/>
  <c r="U107" i="37"/>
  <c r="S107" i="37"/>
  <c r="R107" i="37"/>
  <c r="L107" i="37"/>
  <c r="J107" i="37"/>
  <c r="I107" i="37"/>
  <c r="G107" i="37"/>
  <c r="F107" i="37"/>
  <c r="V106" i="37"/>
  <c r="U106" i="37"/>
  <c r="S106" i="37"/>
  <c r="R106" i="37"/>
  <c r="J106" i="37"/>
  <c r="I106" i="37"/>
  <c r="G106" i="37"/>
  <c r="F106" i="37"/>
  <c r="V105" i="37"/>
  <c r="U105" i="37"/>
  <c r="S105" i="37"/>
  <c r="R105" i="37"/>
  <c r="J105" i="37"/>
  <c r="I105" i="37"/>
  <c r="G105" i="37"/>
  <c r="F105" i="37"/>
  <c r="X101" i="37"/>
  <c r="V101" i="37"/>
  <c r="U101" i="37"/>
  <c r="S101" i="37"/>
  <c r="R101" i="37"/>
  <c r="M101" i="37"/>
  <c r="L101" i="37"/>
  <c r="K101" i="37"/>
  <c r="J101" i="37"/>
  <c r="I101" i="37"/>
  <c r="H101" i="37"/>
  <c r="G101" i="37"/>
  <c r="F101" i="37"/>
  <c r="V100" i="37"/>
  <c r="U100" i="37"/>
  <c r="S100" i="37"/>
  <c r="R100" i="37"/>
  <c r="K100" i="37"/>
  <c r="J100" i="37"/>
  <c r="I100" i="37"/>
  <c r="H100" i="37"/>
  <c r="G100" i="37"/>
  <c r="F100" i="37"/>
  <c r="V99" i="37"/>
  <c r="U99" i="37"/>
  <c r="S99" i="37"/>
  <c r="R99" i="37"/>
  <c r="K99" i="37"/>
  <c r="J99" i="37"/>
  <c r="I99" i="37"/>
  <c r="H99" i="37"/>
  <c r="G99" i="37"/>
  <c r="F99" i="37"/>
  <c r="X94" i="37"/>
  <c r="V94" i="37"/>
  <c r="U94" i="37"/>
  <c r="S94" i="37"/>
  <c r="R94" i="37"/>
  <c r="L94" i="37"/>
  <c r="J94" i="37"/>
  <c r="I94" i="37"/>
  <c r="G94" i="37"/>
  <c r="F94" i="37"/>
  <c r="V93" i="37"/>
  <c r="U93" i="37"/>
  <c r="S93" i="37"/>
  <c r="R93" i="37"/>
  <c r="J93" i="37"/>
  <c r="I93" i="37"/>
  <c r="G93" i="37"/>
  <c r="F93" i="37"/>
  <c r="V92" i="37"/>
  <c r="U92" i="37"/>
  <c r="S92" i="37"/>
  <c r="R92" i="37"/>
  <c r="J92" i="37"/>
  <c r="I92" i="37"/>
  <c r="G92" i="37"/>
  <c r="F92" i="37"/>
  <c r="X88" i="37"/>
  <c r="V88" i="37"/>
  <c r="U88" i="37"/>
  <c r="S88" i="37"/>
  <c r="R88" i="37"/>
  <c r="M88" i="37"/>
  <c r="L88" i="37"/>
  <c r="K88" i="37"/>
  <c r="J88" i="37"/>
  <c r="I88" i="37"/>
  <c r="H88" i="37"/>
  <c r="G88" i="37"/>
  <c r="F88" i="37"/>
  <c r="V87" i="37"/>
  <c r="U87" i="37"/>
  <c r="S87" i="37"/>
  <c r="R87" i="37"/>
  <c r="K87" i="37"/>
  <c r="J87" i="37"/>
  <c r="I87" i="37"/>
  <c r="H87" i="37"/>
  <c r="G87" i="37"/>
  <c r="F87" i="37"/>
  <c r="V86" i="37"/>
  <c r="U86" i="37"/>
  <c r="S86" i="37"/>
  <c r="R86" i="37"/>
  <c r="K86" i="37"/>
  <c r="J86" i="37"/>
  <c r="I86" i="37"/>
  <c r="H86" i="37"/>
  <c r="G86" i="37"/>
  <c r="F86" i="37"/>
  <c r="X81" i="37"/>
  <c r="V81" i="37"/>
  <c r="U81" i="37"/>
  <c r="S81" i="37"/>
  <c r="R81" i="37"/>
  <c r="L81" i="37"/>
  <c r="J81" i="37"/>
  <c r="I81" i="37"/>
  <c r="G81" i="37"/>
  <c r="F81" i="37"/>
  <c r="V80" i="37"/>
  <c r="U80" i="37"/>
  <c r="S80" i="37"/>
  <c r="R80" i="37"/>
  <c r="J80" i="37"/>
  <c r="I80" i="37"/>
  <c r="G80" i="37"/>
  <c r="F80" i="37"/>
  <c r="V79" i="37"/>
  <c r="U79" i="37"/>
  <c r="S79" i="37"/>
  <c r="R79" i="37"/>
  <c r="J79" i="37"/>
  <c r="I79" i="37"/>
  <c r="G79" i="37"/>
  <c r="F79" i="37"/>
  <c r="X75" i="37"/>
  <c r="V75" i="37"/>
  <c r="U75" i="37"/>
  <c r="S75" i="37"/>
  <c r="R75" i="37"/>
  <c r="M75" i="37"/>
  <c r="L75" i="37"/>
  <c r="K75" i="37"/>
  <c r="J75" i="37"/>
  <c r="I75" i="37"/>
  <c r="H75" i="37"/>
  <c r="G75" i="37"/>
  <c r="F75" i="37"/>
  <c r="V74" i="37"/>
  <c r="U74" i="37"/>
  <c r="S74" i="37"/>
  <c r="R74" i="37"/>
  <c r="K74" i="37"/>
  <c r="J74" i="37"/>
  <c r="I74" i="37"/>
  <c r="H74" i="37"/>
  <c r="G74" i="37"/>
  <c r="F74" i="37"/>
  <c r="V73" i="37"/>
  <c r="U73" i="37"/>
  <c r="S73" i="37"/>
  <c r="R73" i="37"/>
  <c r="K73" i="37"/>
  <c r="J73" i="37"/>
  <c r="I73" i="37"/>
  <c r="H73" i="37"/>
  <c r="G73" i="37"/>
  <c r="F73" i="37"/>
</calcChain>
</file>

<file path=xl/sharedStrings.xml><?xml version="1.0" encoding="utf-8"?>
<sst xmlns="http://schemas.openxmlformats.org/spreadsheetml/2006/main" count="29390" uniqueCount="144">
  <si>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</si>
  <si>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</si>
  <si>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</si>
  <si>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</si>
  <si>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</si>
  <si>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</si>
  <si>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</si>
  <si>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</si>
  <si>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</si>
  <si>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</si>
  <si>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</si>
  <si>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</si>
  <si>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</si>
  <si>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50个全塑性</t>
  </si>
  <si>
    <t>49个塑，1个脆</t>
  </si>
  <si>
    <t>48个塑，2个脆</t>
  </si>
  <si>
    <t>47个塑，3个脆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</si>
  <si>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</si>
  <si>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</si>
  <si>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</si>
  <si>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</si>
  <si>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</si>
  <si>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</si>
  <si>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</si>
  <si>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</si>
  <si>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</si>
  <si>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</si>
  <si>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</si>
  <si>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R0=0.9</t>
  </si>
  <si>
    <t xml:space="preserve">    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</si>
  <si>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</si>
  <si>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</si>
  <si>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</si>
  <si>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</si>
  <si>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</si>
  <si>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</si>
  <si>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</si>
  <si>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</si>
  <si>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</si>
  <si>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</si>
  <si>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</si>
  <si>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</si>
  <si>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</si>
  <si>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</si>
  <si>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</si>
  <si>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</si>
  <si>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</si>
  <si>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</si>
  <si>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45个全塑性</t>
  </si>
  <si>
    <t>44个塑，1个脆</t>
  </si>
  <si>
    <t>43个塑，2个脆</t>
  </si>
  <si>
    <t>42个塑，3个脆</t>
  </si>
  <si>
    <t>40个全塑性</t>
  </si>
  <si>
    <t>39个塑，1个脆</t>
  </si>
  <si>
    <t>38个塑，2个脆</t>
  </si>
  <si>
    <t>37个塑，3个脆</t>
  </si>
  <si>
    <t>35个全塑性</t>
  </si>
  <si>
    <t>34个塑，1个脆</t>
  </si>
  <si>
    <t>33个塑，2个脆</t>
  </si>
  <si>
    <t>32个塑，3个脆</t>
  </si>
  <si>
    <t>30个全塑性</t>
  </si>
  <si>
    <t>29个塑，1个脆</t>
  </si>
  <si>
    <t>28个塑，2个脆</t>
  </si>
  <si>
    <t>27个塑，3个脆</t>
  </si>
  <si>
    <t>28个全塑性</t>
  </si>
  <si>
    <t>27个塑，1个脆</t>
  </si>
  <si>
    <t>26个塑，2个脆</t>
  </si>
  <si>
    <t>25个塑，3个脆</t>
  </si>
  <si>
    <t>26个全塑性</t>
  </si>
  <si>
    <t>25个塑，1个脆</t>
  </si>
  <si>
    <t>24个塑，2个脆</t>
  </si>
  <si>
    <t>23个塑，3个脆</t>
  </si>
  <si>
    <t>24个全塑性</t>
  </si>
  <si>
    <t>23个塑，1个脆</t>
  </si>
  <si>
    <t>22个塑，2个脆</t>
  </si>
  <si>
    <t>21个塑，3个脆</t>
  </si>
  <si>
    <t>22个全塑性</t>
  </si>
  <si>
    <t>21个塑，1个脆</t>
  </si>
  <si>
    <t>20个塑，2个脆</t>
  </si>
  <si>
    <t>19个塑，3个脆</t>
  </si>
  <si>
    <t>20个全塑性</t>
  </si>
  <si>
    <t>19个塑，1个脆</t>
  </si>
  <si>
    <t>18个塑，2个脆</t>
  </si>
  <si>
    <t>17个塑，3个脆</t>
  </si>
  <si>
    <t>18个全塑性</t>
  </si>
  <si>
    <t>17个塑，1个脆</t>
  </si>
  <si>
    <t>16个塑，2个脆</t>
  </si>
  <si>
    <t>15个塑，3个脆</t>
  </si>
  <si>
    <t>16个全塑性</t>
  </si>
  <si>
    <t>15个塑，1个脆</t>
  </si>
  <si>
    <t>14个塑，2个脆</t>
  </si>
  <si>
    <t>13个塑，3个脆</t>
  </si>
  <si>
    <t>15个全塑性</t>
  </si>
  <si>
    <t>14个塑，1个脆</t>
  </si>
  <si>
    <t>13个塑，2个脆</t>
  </si>
  <si>
    <t>12个塑，3个脆</t>
  </si>
  <si>
    <t>14个全塑性</t>
  </si>
  <si>
    <t>13个塑，1个脆</t>
  </si>
  <si>
    <t>12个塑，2个脆</t>
  </si>
  <si>
    <t>11个塑，3个脆</t>
  </si>
  <si>
    <t>13个全塑性</t>
  </si>
  <si>
    <t>12个塑，1个脆</t>
  </si>
  <si>
    <t>11个塑，2个脆</t>
  </si>
  <si>
    <t>10个塑，3个脆</t>
  </si>
  <si>
    <t>12个全塑性</t>
  </si>
  <si>
    <t>11个塑，1个脆</t>
  </si>
  <si>
    <t>10个塑，2个脆</t>
  </si>
  <si>
    <t>9个塑，3个脆</t>
  </si>
  <si>
    <t>11个全塑性</t>
  </si>
  <si>
    <t>10个塑，1个脆</t>
  </si>
  <si>
    <t>9个塑，2个脆</t>
  </si>
  <si>
    <t>8个塑，3个脆</t>
  </si>
  <si>
    <t>10个全塑性</t>
  </si>
  <si>
    <t>9个塑，1个脆</t>
  </si>
  <si>
    <t>8个塑，2个脆</t>
  </si>
  <si>
    <t>7个塑，3个脆</t>
  </si>
  <si>
    <t>9个全塑性</t>
  </si>
  <si>
    <t>8个塑，1个脆</t>
  </si>
  <si>
    <t>7个塑，2个脆</t>
  </si>
  <si>
    <t>6个塑，3个脆</t>
  </si>
  <si>
    <t>8个全塑性</t>
  </si>
  <si>
    <t>7个塑，1个脆</t>
  </si>
  <si>
    <t>6个塑，2个脆</t>
  </si>
  <si>
    <t>5个塑，3个脆</t>
  </si>
  <si>
    <t>单位</t>
  </si>
  <si>
    <t>10^-3</t>
  </si>
  <si>
    <t>7个全塑性</t>
  </si>
  <si>
    <t>6个塑，1个脆</t>
  </si>
  <si>
    <t>5个塑，2个脆</t>
  </si>
  <si>
    <t>4个塑，3个脆</t>
  </si>
  <si>
    <t>Pbi:潜在脆性破坏构件i呈现脆性性能的发生概率</t>
    <phoneticPr fontId="4" type="noConversion"/>
  </si>
  <si>
    <t>1-Pbi:潜在脆性破坏构件i呈现塑性性能的发生概率</t>
    <phoneticPr fontId="4" type="noConversion"/>
  </si>
  <si>
    <t>n1：潜在脆性破坏构件个数</t>
    <phoneticPr fontId="4" type="noConversion"/>
  </si>
  <si>
    <t>Pbj:潜在脆性破坏构件j呈现脆性性能的发生概率</t>
    <phoneticPr fontId="4" type="noConversion"/>
  </si>
  <si>
    <t>1-Pbj:潜在脆性破坏构件j呈现塑性性能的发生概率</t>
    <phoneticPr fontId="4" type="noConversion"/>
  </si>
  <si>
    <t>MC：蒙特卡洛法</t>
    <phoneticPr fontId="4" type="noConversion"/>
  </si>
  <si>
    <t>R0：构件间的相关系数</t>
    <phoneticPr fontId="4" type="noConversion"/>
  </si>
  <si>
    <t>RLP:松弛线性规划法</t>
    <phoneticPr fontId="4" type="noConversion"/>
  </si>
  <si>
    <t>LP:线性规划法</t>
    <phoneticPr fontId="4" type="noConversion"/>
  </si>
  <si>
    <t>Pbk:潜在脆性破坏构件j呈现脆性性能的发生概率</t>
    <phoneticPr fontId="4" type="noConversion"/>
  </si>
  <si>
    <t>1-Pbk:潜在脆性破坏构件j呈现塑性性能的发生概率</t>
    <phoneticPr fontId="4" type="noConversion"/>
  </si>
  <si>
    <t>Pbk:潜在脆性破坏构件k呈现脆性性能的发生概率</t>
    <phoneticPr fontId="4" type="noConversion"/>
  </si>
  <si>
    <t>1-Pbk:潜在脆性破坏构件k呈现塑性性能的发生概率</t>
    <phoneticPr fontId="4" type="noConversion"/>
  </si>
  <si>
    <t>红色数据表示边界无法计算，采用第二层边界的值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</si>
</sst>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vertical="center"/>
    </xf>
    <xf numFmtId="11" fontId="0" fillId="0" borderId="0" xfId="0" applyNumberFormat="1" applyFont="1" applyAlignme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abSelected="1"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1.7773437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13</v>
      </c>
      <c r="C9" s="16"/>
      <c r="D9" s="16"/>
      <c r="E9" s="16"/>
      <c r="F9" s="16" t="s">
        <v>14</v>
      </c>
      <c r="G9" s="16"/>
      <c r="H9" s="16"/>
      <c r="I9" s="16"/>
      <c r="J9" s="16" t="s">
        <v>15</v>
      </c>
      <c r="K9" s="16"/>
      <c r="L9" s="16"/>
      <c r="M9" s="16"/>
      <c r="N9" s="16" t="s">
        <v>16</v>
      </c>
      <c r="O9" s="16"/>
      <c r="P9" s="16"/>
      <c r="Q9" s="16"/>
      <c r="S9" s="22" t="s">
        <v>12</v>
      </c>
      <c r="T9" s="16" t="s">
        <v>13</v>
      </c>
      <c r="U9" s="16"/>
      <c r="V9" s="16"/>
      <c r="W9" s="16"/>
      <c r="X9" s="16" t="s">
        <v>14</v>
      </c>
      <c r="Y9" s="16"/>
      <c r="Z9" s="16"/>
      <c r="AA9" s="16"/>
      <c r="AB9" s="16" t="s">
        <v>15</v>
      </c>
      <c r="AC9" s="16"/>
      <c r="AD9" s="16"/>
      <c r="AE9" s="16"/>
      <c r="AF9" s="16" t="s">
        <v>16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5.3E-3</v>
      </c>
      <c r="D13" s="10">
        <v>5.4000000000000003E-3</v>
      </c>
      <c r="E13" s="10">
        <v>43.854925999999999</v>
      </c>
      <c r="F13" t="s">
        <v>22</v>
      </c>
      <c r="G13" s="10">
        <v>5.4999999999999997E-3</v>
      </c>
      <c r="H13" s="10">
        <v>5.4999999999999997E-3</v>
      </c>
      <c r="I13" s="10">
        <v>39.347205000000002</v>
      </c>
      <c r="J13" t="s">
        <v>22</v>
      </c>
      <c r="K13" s="10">
        <v>5.5999999999999999E-3</v>
      </c>
      <c r="L13" s="10">
        <v>5.5999999999999999E-3</v>
      </c>
      <c r="M13" s="10">
        <v>39.943846000000001</v>
      </c>
      <c r="N13" t="s">
        <v>22</v>
      </c>
      <c r="O13" s="10">
        <v>5.7000000000000002E-3</v>
      </c>
      <c r="P13" s="10">
        <v>5.7999999999999996E-3</v>
      </c>
      <c r="Q13" s="10">
        <v>39.826520000000002</v>
      </c>
      <c r="S13" s="22"/>
      <c r="T13" t="s">
        <v>22</v>
      </c>
      <c r="U13">
        <v>4.7999999999999996E-3</v>
      </c>
      <c r="V13">
        <v>5.0000000000000001E-3</v>
      </c>
      <c r="W13">
        <v>614.65480000000002</v>
      </c>
      <c r="X13" t="s">
        <v>22</v>
      </c>
      <c r="Y13">
        <v>5.0000000000000001E-3</v>
      </c>
      <c r="Z13">
        <v>5.1000000000000004E-3</v>
      </c>
      <c r="AA13">
        <v>607.17167400000005</v>
      </c>
      <c r="AB13" t="s">
        <v>22</v>
      </c>
      <c r="AC13">
        <v>5.1000000000000004E-3</v>
      </c>
      <c r="AD13">
        <v>5.3E-3</v>
      </c>
      <c r="AE13">
        <v>611.72924799999998</v>
      </c>
      <c r="AF13" t="s">
        <v>22</v>
      </c>
      <c r="AG13">
        <v>5.1999999999999998E-3</v>
      </c>
      <c r="AH13">
        <v>5.4000000000000003E-3</v>
      </c>
      <c r="AI13">
        <v>612.19736899999998</v>
      </c>
    </row>
    <row r="16" spans="1:35" x14ac:dyDescent="0.25">
      <c r="A16" s="18" t="s">
        <v>23</v>
      </c>
      <c r="B16" s="16" t="s">
        <v>13</v>
      </c>
      <c r="C16" s="16"/>
      <c r="D16" s="16"/>
      <c r="E16" s="16"/>
      <c r="F16" s="16" t="s">
        <v>14</v>
      </c>
      <c r="G16" s="16"/>
      <c r="H16" s="16"/>
      <c r="I16" s="16"/>
      <c r="J16" s="16" t="s">
        <v>15</v>
      </c>
      <c r="K16" s="16"/>
      <c r="L16" s="16"/>
      <c r="M16" s="16"/>
      <c r="N16" s="16" t="s">
        <v>16</v>
      </c>
      <c r="O16" s="16"/>
      <c r="P16" s="16"/>
      <c r="Q16" s="16"/>
      <c r="S16" s="18" t="s">
        <v>23</v>
      </c>
      <c r="T16" s="16" t="s">
        <v>13</v>
      </c>
      <c r="U16" s="16"/>
      <c r="V16" s="16"/>
      <c r="W16" s="16"/>
      <c r="X16" s="16" t="s">
        <v>14</v>
      </c>
      <c r="Y16" s="16"/>
      <c r="Z16" s="16"/>
      <c r="AA16" s="16"/>
      <c r="AB16" s="16" t="s">
        <v>15</v>
      </c>
      <c r="AC16" s="16"/>
      <c r="AD16" s="16"/>
      <c r="AE16" s="16"/>
      <c r="AF16" s="16" t="s">
        <v>16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13</v>
      </c>
      <c r="C23" s="16"/>
      <c r="D23" s="16"/>
      <c r="E23" s="16"/>
      <c r="F23" s="16" t="s">
        <v>14</v>
      </c>
      <c r="G23" s="16"/>
      <c r="H23" s="16"/>
      <c r="I23" s="16"/>
      <c r="J23" s="16" t="s">
        <v>15</v>
      </c>
      <c r="K23" s="16"/>
      <c r="L23" s="16"/>
      <c r="M23" s="16"/>
      <c r="N23" s="16" t="s">
        <v>16</v>
      </c>
      <c r="O23" s="16"/>
      <c r="P23" s="16"/>
      <c r="Q23" s="16"/>
      <c r="S23" s="23" t="s">
        <v>24</v>
      </c>
      <c r="T23" s="16" t="s">
        <v>13</v>
      </c>
      <c r="U23" s="16"/>
      <c r="V23" s="16"/>
      <c r="W23" s="16"/>
      <c r="X23" s="16" t="s">
        <v>14</v>
      </c>
      <c r="Y23" s="16"/>
      <c r="Z23" s="16"/>
      <c r="AA23" s="16"/>
      <c r="AB23" s="16" t="s">
        <v>15</v>
      </c>
      <c r="AC23" s="16"/>
      <c r="AD23" s="16"/>
      <c r="AE23" s="16"/>
      <c r="AF23" s="16" t="s">
        <v>16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5.3E-3</v>
      </c>
      <c r="C25" s="6"/>
      <c r="D25" s="6"/>
      <c r="E25">
        <v>50.308003999999997</v>
      </c>
      <c r="F25">
        <v>5.4999999999999997E-3</v>
      </c>
      <c r="G25" s="6"/>
      <c r="H25" s="6"/>
      <c r="I25">
        <v>37.219327</v>
      </c>
      <c r="J25" s="9">
        <v>5.5999999999999999E-3</v>
      </c>
      <c r="K25" s="6"/>
      <c r="L25" s="6"/>
      <c r="M25" s="8">
        <v>35.323405999999999</v>
      </c>
      <c r="N25" s="6">
        <v>5.7000000000000002E-3</v>
      </c>
      <c r="O25" s="6"/>
      <c r="P25" s="6"/>
      <c r="Q25">
        <v>32.410187999999998</v>
      </c>
      <c r="S25" s="23"/>
      <c r="T25" s="6">
        <v>5.0000000000000001E-3</v>
      </c>
      <c r="U25" s="6"/>
      <c r="V25" s="6"/>
      <c r="W25" s="8">
        <v>38.243381999999997</v>
      </c>
      <c r="X25" s="6">
        <v>5.1000000000000004E-3</v>
      </c>
      <c r="Y25" s="6"/>
      <c r="Z25" s="6"/>
      <c r="AA25">
        <v>38.944676999999999</v>
      </c>
      <c r="AB25" s="6">
        <v>5.1999999999999998E-3</v>
      </c>
      <c r="AC25" s="6"/>
      <c r="AD25" s="6"/>
      <c r="AE25">
        <v>42.363010000000003</v>
      </c>
      <c r="AF25" s="6">
        <v>5.3E-3</v>
      </c>
      <c r="AG25" s="6"/>
      <c r="AH25" s="6"/>
      <c r="AI25">
        <v>34.877687999999999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13</v>
      </c>
      <c r="C30" s="16"/>
      <c r="D30" s="16"/>
      <c r="E30" s="16"/>
      <c r="F30" s="16" t="s">
        <v>14</v>
      </c>
      <c r="G30" s="16"/>
      <c r="H30" s="16"/>
      <c r="I30" s="16"/>
      <c r="J30" s="16" t="s">
        <v>15</v>
      </c>
      <c r="K30" s="16"/>
      <c r="L30" s="16"/>
      <c r="M30" s="16"/>
      <c r="N30" s="16" t="s">
        <v>16</v>
      </c>
      <c r="O30" s="16"/>
      <c r="P30" s="16"/>
      <c r="Q30" s="16"/>
      <c r="S30" s="22" t="s">
        <v>12</v>
      </c>
      <c r="T30" s="16" t="s">
        <v>13</v>
      </c>
      <c r="U30" s="16"/>
      <c r="V30" s="16"/>
      <c r="W30" s="16"/>
      <c r="X30" s="16" t="s">
        <v>14</v>
      </c>
      <c r="Y30" s="16"/>
      <c r="Z30" s="16"/>
      <c r="AA30" s="16"/>
      <c r="AB30" s="16" t="s">
        <v>15</v>
      </c>
      <c r="AC30" s="16"/>
      <c r="AD30" s="16"/>
      <c r="AE30" s="16"/>
      <c r="AF30" s="16" t="s">
        <v>16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2.5999999999999999E-3</v>
      </c>
      <c r="D34">
        <v>4.4999999999999997E-3</v>
      </c>
      <c r="E34">
        <v>598.08587699999998</v>
      </c>
      <c r="F34" t="s">
        <v>22</v>
      </c>
      <c r="G34">
        <v>2.7000000000000001E-3</v>
      </c>
      <c r="H34">
        <v>4.5999999999999999E-3</v>
      </c>
      <c r="I34">
        <v>596.823533</v>
      </c>
      <c r="J34" t="s">
        <v>22</v>
      </c>
      <c r="K34" s="8">
        <v>2.8E-3</v>
      </c>
      <c r="L34" s="8">
        <v>4.7000000000000002E-3</v>
      </c>
      <c r="M34">
        <v>593.22554700000001</v>
      </c>
      <c r="N34" t="s">
        <v>22</v>
      </c>
      <c r="O34">
        <v>2.8E-3</v>
      </c>
      <c r="P34">
        <v>4.7999999999999996E-3</v>
      </c>
      <c r="Q34">
        <v>603.31731600000001</v>
      </c>
      <c r="S34" s="22"/>
      <c r="T34" t="s">
        <v>22</v>
      </c>
      <c r="U34">
        <v>1.1000000000000001E-3</v>
      </c>
      <c r="V34">
        <v>3.7000000000000002E-3</v>
      </c>
      <c r="W34">
        <v>544.75542199999995</v>
      </c>
      <c r="X34" t="s">
        <v>22</v>
      </c>
      <c r="Y34">
        <v>1.1000000000000001E-3</v>
      </c>
      <c r="Z34">
        <v>3.8E-3</v>
      </c>
      <c r="AA34">
        <v>521.74031300000001</v>
      </c>
      <c r="AB34" t="s">
        <v>22</v>
      </c>
      <c r="AC34">
        <v>1.1999999999999999E-3</v>
      </c>
      <c r="AD34">
        <v>3.8999999999999998E-3</v>
      </c>
      <c r="AE34">
        <v>517.84003399999995</v>
      </c>
      <c r="AF34" t="s">
        <v>22</v>
      </c>
      <c r="AG34">
        <v>1.1999999999999999E-3</v>
      </c>
      <c r="AH34">
        <v>4.0000000000000001E-3</v>
      </c>
      <c r="AI34">
        <v>516.51577799999995</v>
      </c>
    </row>
    <row r="37" spans="1:35" x14ac:dyDescent="0.25">
      <c r="A37" s="18" t="s">
        <v>23</v>
      </c>
      <c r="B37" s="16" t="s">
        <v>13</v>
      </c>
      <c r="C37" s="16"/>
      <c r="D37" s="16"/>
      <c r="E37" s="16"/>
      <c r="F37" s="16" t="s">
        <v>14</v>
      </c>
      <c r="G37" s="16"/>
      <c r="H37" s="16"/>
      <c r="I37" s="16"/>
      <c r="J37" s="16" t="s">
        <v>15</v>
      </c>
      <c r="K37" s="16"/>
      <c r="L37" s="16"/>
      <c r="M37" s="16"/>
      <c r="N37" s="16" t="s">
        <v>16</v>
      </c>
      <c r="O37" s="16"/>
      <c r="P37" s="16"/>
      <c r="Q37" s="16"/>
      <c r="S37" s="18" t="s">
        <v>23</v>
      </c>
      <c r="T37" s="16" t="s">
        <v>13</v>
      </c>
      <c r="U37" s="16"/>
      <c r="V37" s="16"/>
      <c r="W37" s="16"/>
      <c r="X37" s="16" t="s">
        <v>14</v>
      </c>
      <c r="Y37" s="16"/>
      <c r="Z37" s="16"/>
      <c r="AA37" s="16"/>
      <c r="AB37" s="16" t="s">
        <v>15</v>
      </c>
      <c r="AC37" s="16"/>
      <c r="AD37" s="16"/>
      <c r="AE37" s="16"/>
      <c r="AF37" s="16" t="s">
        <v>16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13</v>
      </c>
      <c r="C44" s="16"/>
      <c r="D44" s="16"/>
      <c r="E44" s="16"/>
      <c r="F44" s="16" t="s">
        <v>14</v>
      </c>
      <c r="G44" s="16"/>
      <c r="H44" s="16"/>
      <c r="I44" s="16"/>
      <c r="J44" s="16" t="s">
        <v>15</v>
      </c>
      <c r="K44" s="16"/>
      <c r="L44" s="16"/>
      <c r="M44" s="16"/>
      <c r="N44" s="16" t="s">
        <v>16</v>
      </c>
      <c r="O44" s="16"/>
      <c r="P44" s="16"/>
      <c r="Q44" s="16"/>
      <c r="S44" s="23" t="s">
        <v>24</v>
      </c>
      <c r="T44" s="16" t="s">
        <v>13</v>
      </c>
      <c r="U44" s="16"/>
      <c r="V44" s="16"/>
      <c r="W44" s="16"/>
      <c r="X44" s="16" t="s">
        <v>14</v>
      </c>
      <c r="Y44" s="16"/>
      <c r="Z44" s="16"/>
      <c r="AA44" s="16"/>
      <c r="AB44" s="16" t="s">
        <v>15</v>
      </c>
      <c r="AC44" s="16"/>
      <c r="AD44" s="16"/>
      <c r="AE44" s="16"/>
      <c r="AF44" s="16" t="s">
        <v>16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4.0000000000000001E-3</v>
      </c>
      <c r="C46" s="6"/>
      <c r="D46" s="6"/>
      <c r="E46">
        <v>35.352125000000001</v>
      </c>
      <c r="F46" s="6">
        <v>4.1000000000000003E-3</v>
      </c>
      <c r="G46" s="6"/>
      <c r="H46" s="6"/>
      <c r="I46">
        <v>26.794819</v>
      </c>
      <c r="J46" s="6">
        <v>4.1000000000000003E-3</v>
      </c>
      <c r="K46" s="6"/>
      <c r="L46" s="6"/>
      <c r="M46">
        <v>31.810801000000001</v>
      </c>
      <c r="N46" s="6">
        <v>4.3E-3</v>
      </c>
      <c r="O46" s="6"/>
      <c r="P46" s="6"/>
      <c r="Q46">
        <v>39.75027</v>
      </c>
      <c r="S46" s="23"/>
      <c r="T46" s="6">
        <v>2.5000000000000001E-3</v>
      </c>
      <c r="U46" s="6"/>
      <c r="V46" s="6"/>
      <c r="W46">
        <v>39.083610999999998</v>
      </c>
      <c r="X46" s="6">
        <v>2.5999999999999999E-3</v>
      </c>
      <c r="Y46" s="6"/>
      <c r="Z46" s="6"/>
      <c r="AA46">
        <v>29.87388</v>
      </c>
      <c r="AB46" s="6">
        <v>2.7000000000000001E-3</v>
      </c>
      <c r="AC46" s="6"/>
      <c r="AD46" s="6"/>
      <c r="AE46">
        <v>30.766459999999999</v>
      </c>
      <c r="AF46" s="6">
        <v>2.7000000000000001E-3</v>
      </c>
      <c r="AG46" s="6"/>
      <c r="AH46" s="6"/>
      <c r="AI46">
        <v>34.804054999999998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13</v>
      </c>
      <c r="C50" s="16"/>
      <c r="D50" s="16"/>
      <c r="E50" s="16"/>
      <c r="F50" s="16" t="s">
        <v>14</v>
      </c>
      <c r="G50" s="16"/>
      <c r="H50" s="16"/>
      <c r="I50" s="16"/>
      <c r="J50" s="16" t="s">
        <v>15</v>
      </c>
      <c r="K50" s="16"/>
      <c r="L50" s="16"/>
      <c r="M50" s="16"/>
      <c r="N50" s="16" t="s">
        <v>16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2.2000000000000001E-3</v>
      </c>
      <c r="E54">
        <v>474.05746699999997</v>
      </c>
      <c r="F54" t="s">
        <v>22</v>
      </c>
      <c r="G54">
        <v>4.0000000000000002E-4</v>
      </c>
      <c r="H54">
        <v>2.3E-3</v>
      </c>
      <c r="I54">
        <v>474.79760800000003</v>
      </c>
      <c r="J54" t="s">
        <v>22</v>
      </c>
      <c r="K54">
        <v>4.0000000000000002E-4</v>
      </c>
      <c r="L54">
        <v>2.3999999999999998E-3</v>
      </c>
      <c r="M54">
        <v>472.92727100000002</v>
      </c>
      <c r="N54" t="s">
        <v>22</v>
      </c>
      <c r="O54">
        <v>4.0000000000000002E-4</v>
      </c>
      <c r="P54">
        <v>2.3999999999999998E-3</v>
      </c>
      <c r="Q54">
        <v>476.433739</v>
      </c>
    </row>
    <row r="57" spans="1:17" x14ac:dyDescent="0.25">
      <c r="A57" s="18" t="s">
        <v>23</v>
      </c>
      <c r="B57" s="16" t="s">
        <v>13</v>
      </c>
      <c r="C57" s="16"/>
      <c r="D57" s="16"/>
      <c r="E57" s="16"/>
      <c r="F57" s="16" t="s">
        <v>14</v>
      </c>
      <c r="G57" s="16"/>
      <c r="H57" s="16"/>
      <c r="I57" s="16"/>
      <c r="J57" s="16" t="s">
        <v>15</v>
      </c>
      <c r="K57" s="16"/>
      <c r="L57" s="16"/>
      <c r="M57" s="16"/>
      <c r="N57" s="16" t="s">
        <v>16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13</v>
      </c>
      <c r="C64" s="16"/>
      <c r="D64" s="16"/>
      <c r="E64" s="16"/>
      <c r="F64" s="16" t="s">
        <v>14</v>
      </c>
      <c r="G64" s="16"/>
      <c r="H64" s="16"/>
      <c r="I64" s="16"/>
      <c r="J64" s="16" t="s">
        <v>15</v>
      </c>
      <c r="K64" s="16"/>
      <c r="L64" s="16"/>
      <c r="M64" s="16"/>
      <c r="N64" s="16" t="s">
        <v>16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9.391E-4</v>
      </c>
      <c r="C66" s="6"/>
      <c r="D66" s="6"/>
      <c r="E66">
        <v>31.247402999999998</v>
      </c>
      <c r="F66" s="3">
        <v>9.5569999999999997E-4</v>
      </c>
      <c r="G66" s="6"/>
      <c r="H66" s="6"/>
      <c r="I66">
        <v>34.254179000000001</v>
      </c>
      <c r="J66" s="3">
        <v>9.9069999999999996E-4</v>
      </c>
      <c r="K66" s="6"/>
      <c r="L66" s="6"/>
      <c r="M66">
        <v>31.261099999999999</v>
      </c>
      <c r="N66" s="3">
        <v>1E-3</v>
      </c>
      <c r="O66" s="6"/>
      <c r="P66" s="6"/>
      <c r="Q66">
        <v>39.243985000000002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5.3099999999999996E-3</v>
      </c>
      <c r="G75">
        <f t="shared" si="1"/>
        <v>5.4050000000000001E-3</v>
      </c>
      <c r="H75">
        <f t="shared" si="2"/>
        <v>83.202131000000008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5.3099999999999996E-3</v>
      </c>
      <c r="M75">
        <f>I25+E25</f>
        <v>87.527331000000004</v>
      </c>
      <c r="P75" s="21"/>
      <c r="Q75" t="s">
        <v>37</v>
      </c>
      <c r="R75">
        <f t="shared" si="6"/>
        <v>5.3200000000000001E-3</v>
      </c>
      <c r="S75">
        <f t="shared" si="7"/>
        <v>5.4100000000000007E-3</v>
      </c>
      <c r="U75">
        <f t="shared" si="8"/>
        <v>1.9819999999999997E-2</v>
      </c>
      <c r="V75">
        <f t="shared" si="9"/>
        <v>1.9910000000000004E-2</v>
      </c>
      <c r="X75">
        <f>0.1*F25+(1-0.1)*B25</f>
        <v>5.3200000000000001E-3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5.3400000000000001E-3</v>
      </c>
      <c r="G81">
        <f t="shared" si="11"/>
        <v>5.4200000000000003E-3</v>
      </c>
      <c r="I81">
        <f t="shared" si="12"/>
        <v>1.9939999999999999E-2</v>
      </c>
      <c r="J81">
        <f t="shared" si="13"/>
        <v>2.0020000000000003E-2</v>
      </c>
      <c r="L81">
        <f>0.2*F25+(1-0.2)*B25</f>
        <v>5.3400000000000001E-3</v>
      </c>
      <c r="P81" s="21"/>
      <c r="Q81" t="s">
        <v>37</v>
      </c>
      <c r="R81">
        <f t="shared" si="14"/>
        <v>5.3599999999999993E-3</v>
      </c>
      <c r="S81">
        <f t="shared" si="15"/>
        <v>5.4299999999999999E-3</v>
      </c>
      <c r="U81">
        <f t="shared" si="16"/>
        <v>2.0059999999999998E-2</v>
      </c>
      <c r="V81">
        <f t="shared" si="17"/>
        <v>2.0130000000000002E-2</v>
      </c>
      <c r="X81">
        <f>0.3*F25+(1-0.3)*B25</f>
        <v>5.3599999999999993E-3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5.3197499999999998E-3</v>
      </c>
      <c r="G88">
        <f t="shared" si="19"/>
        <v>5.4100000000000007E-3</v>
      </c>
      <c r="H88">
        <f t="shared" si="20"/>
        <v>123.14597700000002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5.3197499999999998E-3</v>
      </c>
      <c r="M88">
        <f>M25+I25+E25</f>
        <v>122.850737</v>
      </c>
      <c r="O88" s="20"/>
      <c r="P88" s="21"/>
      <c r="Q88" t="s">
        <v>37</v>
      </c>
      <c r="R88">
        <f t="shared" si="24"/>
        <v>5.339E-3</v>
      </c>
      <c r="S88">
        <f t="shared" si="25"/>
        <v>5.4200000000000003E-3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5.339E-3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5.3760000000000006E-3</v>
      </c>
      <c r="G94">
        <f t="shared" si="29"/>
        <v>5.4400000000000004E-3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5.3760000000000006E-3</v>
      </c>
      <c r="O94" s="20"/>
      <c r="P94" s="21"/>
      <c r="Q94" t="s">
        <v>37</v>
      </c>
      <c r="R94">
        <f t="shared" si="32"/>
        <v>5.4110000000000009E-3</v>
      </c>
      <c r="S94">
        <f t="shared" si="33"/>
        <v>5.4600000000000013E-3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5.4110000000000009E-3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5.3292624999999993E-3</v>
      </c>
      <c r="G101">
        <f t="shared" si="37"/>
        <v>5.4150125E-3</v>
      </c>
      <c r="H101">
        <f t="shared" si="38"/>
        <v>162.972497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5.3292624999999993E-3</v>
      </c>
      <c r="M101">
        <f>Q25+M25+I25+E25</f>
        <v>155.26092499999999</v>
      </c>
      <c r="N101" s="24"/>
      <c r="O101" s="20"/>
      <c r="P101" s="21"/>
      <c r="Q101" t="s">
        <v>37</v>
      </c>
      <c r="R101">
        <f t="shared" si="42"/>
        <v>5.3571000000000001E-3</v>
      </c>
      <c r="S101">
        <f t="shared" si="43"/>
        <v>5.4301000000000002E-3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5.3571000000000001E-3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5.4087999999999992E-3</v>
      </c>
      <c r="G107">
        <f t="shared" si="47"/>
        <v>5.4608E-3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5.4087999999999992E-3</v>
      </c>
      <c r="N107" s="24"/>
      <c r="O107" s="20"/>
      <c r="P107" s="21"/>
      <c r="Q107" t="s">
        <v>37</v>
      </c>
      <c r="R107">
        <f t="shared" si="50"/>
        <v>5.4557E-3</v>
      </c>
      <c r="S107">
        <f t="shared" si="51"/>
        <v>5.4926999999999997E-3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5.4557E-3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4.81E-3</v>
      </c>
      <c r="G114">
        <f t="shared" si="55"/>
        <v>5.0049999999999999E-3</v>
      </c>
      <c r="H114">
        <f t="shared" si="56"/>
        <v>1221.826474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5.0049999999999999E-3</v>
      </c>
      <c r="M114">
        <f>AA25+W25</f>
        <v>77.188058999999996</v>
      </c>
      <c r="P114" s="21"/>
      <c r="Q114" t="s">
        <v>37</v>
      </c>
      <c r="R114">
        <f t="shared" si="60"/>
        <v>4.8199999999999996E-3</v>
      </c>
      <c r="S114">
        <f t="shared" si="61"/>
        <v>5.0100000000000006E-3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5.0100000000000006E-3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4.8399999999999997E-3</v>
      </c>
      <c r="G120">
        <f t="shared" si="65"/>
        <v>5.0200000000000002E-3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5.0200000000000002E-3</v>
      </c>
      <c r="P120" s="21"/>
      <c r="Q120" t="s">
        <v>37</v>
      </c>
      <c r="R120">
        <f t="shared" si="68"/>
        <v>4.8599999999999997E-3</v>
      </c>
      <c r="S120">
        <f t="shared" si="69"/>
        <v>5.0299999999999997E-3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5.0299999999999997E-3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4.8197500000000002E-3</v>
      </c>
      <c r="G127">
        <f t="shared" si="73"/>
        <v>5.0102500000000008E-3</v>
      </c>
      <c r="H127">
        <f t="shared" si="74"/>
        <v>1833.5557220000001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5.0100000000000006E-3</v>
      </c>
      <c r="M127">
        <f>AE25+AA25+W25</f>
        <v>119.551069</v>
      </c>
      <c r="O127" s="20"/>
      <c r="P127" s="21"/>
      <c r="Q127" t="s">
        <v>37</v>
      </c>
      <c r="R127">
        <f t="shared" si="78"/>
        <v>4.8390000000000004E-3</v>
      </c>
      <c r="S127">
        <f t="shared" si="79"/>
        <v>5.0210000000000012E-3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5.020000000000001E-3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4.8759999999999993E-3</v>
      </c>
      <c r="G133">
        <f t="shared" si="83"/>
        <v>5.0439999999999999E-3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5.0400000000000002E-3</v>
      </c>
      <c r="O133" s="20"/>
      <c r="P133" s="21"/>
      <c r="Q133" t="s">
        <v>37</v>
      </c>
      <c r="R133">
        <f t="shared" si="86"/>
        <v>4.9110000000000004E-3</v>
      </c>
      <c r="S133">
        <f t="shared" si="87"/>
        <v>5.0690000000000006E-3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5.0600000000000003E-3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4.8292624999999988E-3</v>
      </c>
      <c r="G140">
        <f t="shared" si="91"/>
        <v>5.0157249999999995E-3</v>
      </c>
      <c r="H140">
        <f t="shared" si="92"/>
        <v>2445.7530910000005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5.0150000000000004E-3</v>
      </c>
      <c r="M140">
        <f>AI25+AE25+AA25+W25</f>
        <v>154.42875700000002</v>
      </c>
      <c r="N140" s="24"/>
      <c r="O140" s="20"/>
      <c r="P140" s="21"/>
      <c r="Q140" t="s">
        <v>37</v>
      </c>
      <c r="R140">
        <f t="shared" si="96"/>
        <v>4.8570999999999996E-3</v>
      </c>
      <c r="S140">
        <f t="shared" si="97"/>
        <v>5.0327999999999996E-3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5.0299999999999997E-3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4.9087999999999996E-3</v>
      </c>
      <c r="G146">
        <f t="shared" si="101"/>
        <v>5.0704000000000001E-3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5.0600000000000003E-3</v>
      </c>
      <c r="N146" s="24"/>
      <c r="O146" s="20"/>
      <c r="P146" s="21"/>
      <c r="Q146" t="s">
        <v>37</v>
      </c>
      <c r="R146">
        <f t="shared" si="104"/>
        <v>4.9557000000000004E-3</v>
      </c>
      <c r="S146">
        <f t="shared" si="105"/>
        <v>5.1116000000000009E-3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5.0900000000000008E-3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2.6050000000000001E-3</v>
      </c>
      <c r="G153">
        <f t="shared" si="109"/>
        <v>4.5049999999999995E-3</v>
      </c>
      <c r="H153">
        <f t="shared" si="110"/>
        <v>1194.90941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4.0049999999999999E-3</v>
      </c>
      <c r="M153">
        <f>I46+E46</f>
        <v>62.146944000000005</v>
      </c>
      <c r="P153" s="21"/>
      <c r="Q153" t="s">
        <v>37</v>
      </c>
      <c r="R153">
        <f t="shared" si="114"/>
        <v>2.6099999999999999E-3</v>
      </c>
      <c r="S153">
        <f t="shared" si="115"/>
        <v>4.5100000000000001E-3</v>
      </c>
      <c r="U153">
        <f t="shared" si="116"/>
        <v>1.311E-2</v>
      </c>
      <c r="V153">
        <f t="shared" si="117"/>
        <v>1.6389999999999998E-2</v>
      </c>
      <c r="X153">
        <f>0.1*F46+(1-0.1)*B46</f>
        <v>4.0100000000000005E-3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2.6199999999999999E-3</v>
      </c>
      <c r="G159">
        <f t="shared" si="119"/>
        <v>4.5199999999999997E-3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4.0200000000000001E-3</v>
      </c>
      <c r="P159" s="21"/>
      <c r="Q159" t="s">
        <v>37</v>
      </c>
      <c r="R159">
        <f t="shared" si="122"/>
        <v>2.63E-3</v>
      </c>
      <c r="S159">
        <f t="shared" si="123"/>
        <v>4.5299999999999993E-3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4.0299999999999997E-3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2.6099999999999999E-3</v>
      </c>
      <c r="G166">
        <f t="shared" si="127"/>
        <v>4.5100000000000001E-3</v>
      </c>
      <c r="H166">
        <f t="shared" si="128"/>
        <v>1788.134957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4.0097500000000003E-3</v>
      </c>
      <c r="M166">
        <f>M46+I46+E46</f>
        <v>93.957745000000003</v>
      </c>
      <c r="O166" s="20"/>
      <c r="P166" s="21"/>
      <c r="Q166" t="s">
        <v>37</v>
      </c>
      <c r="R166">
        <f t="shared" si="132"/>
        <v>2.6200000000000004E-3</v>
      </c>
      <c r="S166">
        <f t="shared" si="133"/>
        <v>4.5199999999999997E-3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4.019E-3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2.64E-3</v>
      </c>
      <c r="G172">
        <f t="shared" si="137"/>
        <v>4.5399999999999998E-3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4.0360000000000005E-3</v>
      </c>
      <c r="O172" s="20"/>
      <c r="P172" s="21"/>
      <c r="Q172" t="s">
        <v>37</v>
      </c>
      <c r="R172">
        <f t="shared" si="140"/>
        <v>2.66E-3</v>
      </c>
      <c r="S172">
        <f t="shared" si="141"/>
        <v>4.5599999999999998E-3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4.0510000000000008E-3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2.6149874999999993E-3</v>
      </c>
      <c r="G179">
        <f t="shared" si="145"/>
        <v>4.514999999999999E-3</v>
      </c>
      <c r="H179">
        <f t="shared" si="146"/>
        <v>2391.4522729999999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4.0142874999999998E-3</v>
      </c>
      <c r="M179">
        <f>Q46+M46+I46+E46</f>
        <v>133.70801499999999</v>
      </c>
      <c r="N179" s="24"/>
      <c r="O179" s="20"/>
      <c r="P179" s="21"/>
      <c r="Q179" t="s">
        <v>37</v>
      </c>
      <c r="R179">
        <f t="shared" si="150"/>
        <v>2.6298999999999997E-3</v>
      </c>
      <c r="S179">
        <f t="shared" si="151"/>
        <v>4.5299999999999993E-3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4.0273000000000002E-3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2.6592E-3</v>
      </c>
      <c r="G185">
        <f t="shared" si="155"/>
        <v>4.5599999999999998E-3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4.0503999999999991E-3</v>
      </c>
      <c r="N185" s="24"/>
      <c r="O185" s="20"/>
      <c r="P185" s="21"/>
      <c r="Q185" t="s">
        <v>37</v>
      </c>
      <c r="R185">
        <f t="shared" si="158"/>
        <v>2.6873000000000001E-3</v>
      </c>
      <c r="S185">
        <f t="shared" si="159"/>
        <v>4.5900000000000003E-3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4.0711000000000011E-3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3.705E-3</v>
      </c>
      <c r="H192">
        <f t="shared" si="164"/>
        <v>1066.495735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2.5049999999999998E-3</v>
      </c>
      <c r="M192">
        <f>AA46+W46</f>
        <v>68.957491000000005</v>
      </c>
      <c r="P192" s="21"/>
      <c r="Q192" t="s">
        <v>37</v>
      </c>
      <c r="R192">
        <f t="shared" si="168"/>
        <v>1.1000000000000001E-3</v>
      </c>
      <c r="S192">
        <f t="shared" si="169"/>
        <v>3.7100000000000002E-3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2.5100000000000001E-3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3.7200000000000002E-3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2.5200000000000001E-3</v>
      </c>
      <c r="P198" s="21"/>
      <c r="Q198" t="s">
        <v>37</v>
      </c>
      <c r="R198">
        <f t="shared" si="176"/>
        <v>1.0999999999999998E-3</v>
      </c>
      <c r="S198">
        <f t="shared" si="177"/>
        <v>3.7299999999999998E-3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2.5299999999999997E-3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1.1002500000000001E-3</v>
      </c>
      <c r="G205">
        <f t="shared" si="181"/>
        <v>3.7100000000000006E-3</v>
      </c>
      <c r="H205">
        <f t="shared" si="182"/>
        <v>1584.335769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2.5100000000000005E-3</v>
      </c>
      <c r="M205">
        <f>AE46+AA46+W46</f>
        <v>99.723951</v>
      </c>
      <c r="O205" s="20"/>
      <c r="P205" s="21"/>
      <c r="Q205" t="s">
        <v>37</v>
      </c>
      <c r="R205">
        <f t="shared" si="185"/>
        <v>1.1010000000000002E-3</v>
      </c>
      <c r="S205">
        <f t="shared" si="186"/>
        <v>3.7200000000000006E-3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2.5200000000000005E-3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1.1040000000000002E-3</v>
      </c>
      <c r="G211">
        <f t="shared" si="190"/>
        <v>3.7400000000000003E-3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2.5400000000000002E-3</v>
      </c>
      <c r="O211" s="20"/>
      <c r="P211" s="21"/>
      <c r="Q211" t="s">
        <v>37</v>
      </c>
      <c r="R211">
        <f t="shared" si="193"/>
        <v>1.1090000000000002E-3</v>
      </c>
      <c r="S211">
        <f t="shared" si="194"/>
        <v>3.7600000000000003E-3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2.5599999999999998E-3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1.1007249999999999E-3</v>
      </c>
      <c r="G218">
        <f t="shared" si="198"/>
        <v>3.715E-3</v>
      </c>
      <c r="H218">
        <f t="shared" si="199"/>
        <v>2100.8515469999998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2.5149874999999999E-3</v>
      </c>
      <c r="M218">
        <f>AI46+AE46+AA46+W46</f>
        <v>134.528006</v>
      </c>
      <c r="N218" s="24"/>
      <c r="O218" s="20"/>
      <c r="P218" s="21"/>
      <c r="Q218" t="s">
        <v>37</v>
      </c>
      <c r="R218">
        <f t="shared" si="203"/>
        <v>1.1028000000000001E-3</v>
      </c>
      <c r="S218">
        <f t="shared" si="204"/>
        <v>3.7300000000000002E-3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2.5298999999999999E-3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1.1104000000000001E-3</v>
      </c>
      <c r="G224">
        <f t="shared" si="208"/>
        <v>3.7599999999999999E-3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2.5591999999999998E-3</v>
      </c>
      <c r="N224" s="24"/>
      <c r="O224" s="20"/>
      <c r="P224" s="21"/>
      <c r="Q224" t="s">
        <v>37</v>
      </c>
      <c r="R224">
        <f t="shared" si="211"/>
        <v>1.1216000000000002E-3</v>
      </c>
      <c r="S224">
        <f t="shared" si="212"/>
        <v>3.7900000000000004E-3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2.5873000000000003E-3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2.2049999999999999E-3</v>
      </c>
      <c r="H231">
        <f t="shared" si="217"/>
        <v>948.85507499999994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8.92145E-4</v>
      </c>
      <c r="M231">
        <f>I66+E66</f>
        <v>65.501581999999999</v>
      </c>
      <c r="P231" s="21"/>
      <c r="Q231" t="s">
        <v>37</v>
      </c>
      <c r="R231">
        <f t="shared" si="221"/>
        <v>4.0000000000000002E-4</v>
      </c>
      <c r="S231">
        <f t="shared" si="222"/>
        <v>2.2100000000000002E-3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8.4519E-4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2.2200000000000002E-3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7.5128E-4</v>
      </c>
      <c r="P237" s="21"/>
      <c r="Q237" t="s">
        <v>37</v>
      </c>
      <c r="R237">
        <f t="shared" si="229"/>
        <v>3.9999999999999996E-4</v>
      </c>
      <c r="S237">
        <f t="shared" si="230"/>
        <v>2.2299999999999998E-3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6.5737E-4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2.2100000000000002E-3</v>
      </c>
      <c r="H244">
        <f t="shared" si="235"/>
        <v>1421.782346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8.5001450000000002E-4</v>
      </c>
      <c r="M244">
        <f>M66+I66+E66</f>
        <v>96.762681999999984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2.2200000000000002E-3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7.7057800000000006E-4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2.2400000000000002E-3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6.4065199999999991E-4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2.2599999999999999E-3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5.4932200000000009E-4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2.2149874999999996E-3</v>
      </c>
      <c r="H257">
        <f t="shared" si="253"/>
        <v>1898.216085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8.1234459999999988E-4</v>
      </c>
      <c r="M257">
        <f>Q66+M66+I66+E66</f>
        <v>136.00666699999999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2.2298999999999999E-3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7.1235279999999992E-4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2.2591999999999998E-3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5.8392639999999983E-4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2.2872999999999999E-3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5.3635360000000014E-4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1.7773437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13</v>
      </c>
      <c r="C9" s="16"/>
      <c r="D9" s="16"/>
      <c r="E9" s="16"/>
      <c r="F9" s="16" t="s">
        <v>14</v>
      </c>
      <c r="G9" s="16"/>
      <c r="H9" s="16"/>
      <c r="I9" s="16"/>
      <c r="J9" s="16" t="s">
        <v>15</v>
      </c>
      <c r="K9" s="16"/>
      <c r="L9" s="16"/>
      <c r="M9" s="16"/>
      <c r="N9" s="16" t="s">
        <v>16</v>
      </c>
      <c r="O9" s="16"/>
      <c r="P9" s="16"/>
      <c r="Q9" s="16"/>
      <c r="S9" s="22" t="s">
        <v>12</v>
      </c>
      <c r="T9" s="16" t="s">
        <v>13</v>
      </c>
      <c r="U9" s="16"/>
      <c r="V9" s="16"/>
      <c r="W9" s="16"/>
      <c r="X9" s="16" t="s">
        <v>14</v>
      </c>
      <c r="Y9" s="16"/>
      <c r="Z9" s="16"/>
      <c r="AA9" s="16"/>
      <c r="AB9" s="16" t="s">
        <v>15</v>
      </c>
      <c r="AC9" s="16"/>
      <c r="AD9" s="16"/>
      <c r="AE9" s="16"/>
      <c r="AF9" s="16" t="s">
        <v>16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5.0000000000000001E-3</v>
      </c>
      <c r="D13" s="10">
        <v>5.1000000000000004E-3</v>
      </c>
      <c r="E13" s="10">
        <v>26.886119000000001</v>
      </c>
      <c r="F13" t="s">
        <v>22</v>
      </c>
      <c r="G13" s="10">
        <v>5.1000000000000004E-3</v>
      </c>
      <c r="H13" s="10">
        <v>5.1999999999999998E-3</v>
      </c>
      <c r="I13" s="10">
        <v>32.138598000000002</v>
      </c>
      <c r="J13" t="s">
        <v>22</v>
      </c>
      <c r="K13" s="10">
        <v>5.3E-3</v>
      </c>
      <c r="L13" s="10">
        <v>5.3E-3</v>
      </c>
      <c r="M13" s="10">
        <v>27.328700000000001</v>
      </c>
      <c r="N13" t="s">
        <v>22</v>
      </c>
      <c r="O13" s="10">
        <v>5.4000000000000003E-3</v>
      </c>
      <c r="P13" s="10">
        <v>5.4000000000000003E-3</v>
      </c>
      <c r="Q13" s="10">
        <v>27.660691</v>
      </c>
      <c r="S13" s="22"/>
      <c r="T13" t="s">
        <v>22</v>
      </c>
      <c r="U13">
        <v>4.5999999999999999E-3</v>
      </c>
      <c r="V13">
        <v>4.7000000000000002E-3</v>
      </c>
      <c r="W13">
        <v>363.600661</v>
      </c>
      <c r="X13" t="s">
        <v>22</v>
      </c>
      <c r="Y13">
        <v>4.7000000000000002E-3</v>
      </c>
      <c r="Z13">
        <v>4.8999999999999998E-3</v>
      </c>
      <c r="AA13">
        <v>360.96637199999998</v>
      </c>
      <c r="AB13" t="s">
        <v>22</v>
      </c>
      <c r="AC13">
        <v>4.7999999999999996E-3</v>
      </c>
      <c r="AD13">
        <v>5.0000000000000001E-3</v>
      </c>
      <c r="AE13">
        <v>365.97183899999999</v>
      </c>
      <c r="AF13" t="s">
        <v>22</v>
      </c>
      <c r="AG13">
        <v>4.8999999999999998E-3</v>
      </c>
      <c r="AH13">
        <v>5.1000000000000004E-3</v>
      </c>
      <c r="AI13">
        <v>366.11028499999998</v>
      </c>
    </row>
    <row r="16" spans="1:35" x14ac:dyDescent="0.25">
      <c r="A16" s="18" t="s">
        <v>23</v>
      </c>
      <c r="B16" s="16" t="s">
        <v>13</v>
      </c>
      <c r="C16" s="16"/>
      <c r="D16" s="16"/>
      <c r="E16" s="16"/>
      <c r="F16" s="16" t="s">
        <v>14</v>
      </c>
      <c r="G16" s="16"/>
      <c r="H16" s="16"/>
      <c r="I16" s="16"/>
      <c r="J16" s="16" t="s">
        <v>15</v>
      </c>
      <c r="K16" s="16"/>
      <c r="L16" s="16"/>
      <c r="M16" s="16"/>
      <c r="N16" s="16" t="s">
        <v>16</v>
      </c>
      <c r="O16" s="16"/>
      <c r="P16" s="16"/>
      <c r="Q16" s="16"/>
      <c r="S16" s="18" t="s">
        <v>23</v>
      </c>
      <c r="T16" s="16" t="s">
        <v>13</v>
      </c>
      <c r="U16" s="16"/>
      <c r="V16" s="16"/>
      <c r="W16" s="16"/>
      <c r="X16" s="16" t="s">
        <v>14</v>
      </c>
      <c r="Y16" s="16"/>
      <c r="Z16" s="16"/>
      <c r="AA16" s="16"/>
      <c r="AB16" s="16" t="s">
        <v>15</v>
      </c>
      <c r="AC16" s="16"/>
      <c r="AD16" s="16"/>
      <c r="AE16" s="16"/>
      <c r="AF16" s="16" t="s">
        <v>16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13</v>
      </c>
      <c r="C23" s="16"/>
      <c r="D23" s="16"/>
      <c r="E23" s="16"/>
      <c r="F23" s="16" t="s">
        <v>14</v>
      </c>
      <c r="G23" s="16"/>
      <c r="H23" s="16"/>
      <c r="I23" s="16"/>
      <c r="J23" s="16" t="s">
        <v>15</v>
      </c>
      <c r="K23" s="16"/>
      <c r="L23" s="16"/>
      <c r="M23" s="16"/>
      <c r="N23" s="16" t="s">
        <v>16</v>
      </c>
      <c r="O23" s="16"/>
      <c r="P23" s="16"/>
      <c r="Q23" s="16"/>
      <c r="S23" s="23" t="s">
        <v>24</v>
      </c>
      <c r="T23" s="16" t="s">
        <v>13</v>
      </c>
      <c r="U23" s="16"/>
      <c r="V23" s="16"/>
      <c r="W23" s="16"/>
      <c r="X23" s="16" t="s">
        <v>14</v>
      </c>
      <c r="Y23" s="16"/>
      <c r="Z23" s="16"/>
      <c r="AA23" s="16"/>
      <c r="AB23" s="16" t="s">
        <v>15</v>
      </c>
      <c r="AC23" s="16"/>
      <c r="AD23" s="16"/>
      <c r="AE23" s="16"/>
      <c r="AF23" s="16" t="s">
        <v>16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5.0000000000000001E-3</v>
      </c>
      <c r="C25" s="6"/>
      <c r="D25" s="6"/>
      <c r="E25">
        <v>43.156647</v>
      </c>
      <c r="F25">
        <v>5.1000000000000004E-3</v>
      </c>
      <c r="G25" s="6"/>
      <c r="H25" s="6"/>
      <c r="I25">
        <v>22.735087</v>
      </c>
      <c r="J25" s="9">
        <v>5.3E-3</v>
      </c>
      <c r="K25" s="6"/>
      <c r="L25" s="6"/>
      <c r="M25" s="8">
        <v>17.510964999999999</v>
      </c>
      <c r="N25" s="6">
        <v>5.4000000000000003E-3</v>
      </c>
      <c r="O25" s="6"/>
      <c r="P25" s="6"/>
      <c r="Q25">
        <v>19.729949000000001</v>
      </c>
      <c r="S25" s="23"/>
      <c r="T25" s="6">
        <v>4.7000000000000002E-3</v>
      </c>
      <c r="U25" s="6"/>
      <c r="V25" s="6"/>
      <c r="W25" s="8">
        <v>26.186619</v>
      </c>
      <c r="X25" s="6">
        <v>4.7999999999999996E-3</v>
      </c>
      <c r="Y25" s="6"/>
      <c r="Z25" s="6"/>
      <c r="AA25">
        <v>22.443197999999999</v>
      </c>
      <c r="AB25" s="6">
        <v>4.8999999999999998E-3</v>
      </c>
      <c r="AC25" s="6"/>
      <c r="AD25" s="6"/>
      <c r="AE25">
        <v>20.781904999999998</v>
      </c>
      <c r="AF25" s="6">
        <v>5.0000000000000001E-3</v>
      </c>
      <c r="AG25" s="6"/>
      <c r="AH25" s="6"/>
      <c r="AI25">
        <v>22.273122000000001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13</v>
      </c>
      <c r="C30" s="16"/>
      <c r="D30" s="16"/>
      <c r="E30" s="16"/>
      <c r="F30" s="16" t="s">
        <v>14</v>
      </c>
      <c r="G30" s="16"/>
      <c r="H30" s="16"/>
      <c r="I30" s="16"/>
      <c r="J30" s="16" t="s">
        <v>15</v>
      </c>
      <c r="K30" s="16"/>
      <c r="L30" s="16"/>
      <c r="M30" s="16"/>
      <c r="N30" s="16" t="s">
        <v>16</v>
      </c>
      <c r="O30" s="16"/>
      <c r="P30" s="16"/>
      <c r="Q30" s="16"/>
      <c r="S30" s="22" t="s">
        <v>12</v>
      </c>
      <c r="T30" s="16" t="s">
        <v>13</v>
      </c>
      <c r="U30" s="16"/>
      <c r="V30" s="16"/>
      <c r="W30" s="16"/>
      <c r="X30" s="16" t="s">
        <v>14</v>
      </c>
      <c r="Y30" s="16"/>
      <c r="Z30" s="16"/>
      <c r="AA30" s="16"/>
      <c r="AB30" s="16" t="s">
        <v>15</v>
      </c>
      <c r="AC30" s="16"/>
      <c r="AD30" s="16"/>
      <c r="AE30" s="16"/>
      <c r="AF30" s="16" t="s">
        <v>16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2.5999999999999999E-3</v>
      </c>
      <c r="D34">
        <v>4.3E-3</v>
      </c>
      <c r="E34">
        <v>384.04431199999999</v>
      </c>
      <c r="F34" t="s">
        <v>22</v>
      </c>
      <c r="G34">
        <v>2.5999999999999999E-3</v>
      </c>
      <c r="H34">
        <v>4.4000000000000003E-3</v>
      </c>
      <c r="I34">
        <v>370.97022199999998</v>
      </c>
      <c r="J34" t="s">
        <v>22</v>
      </c>
      <c r="K34" s="8">
        <v>2.7000000000000001E-3</v>
      </c>
      <c r="L34" s="8">
        <v>4.4999999999999997E-3</v>
      </c>
      <c r="M34">
        <v>367.56866400000001</v>
      </c>
      <c r="N34" t="s">
        <v>22</v>
      </c>
      <c r="O34">
        <v>2.7000000000000001E-3</v>
      </c>
      <c r="P34">
        <v>4.5999999999999999E-3</v>
      </c>
      <c r="Q34">
        <v>385.51076499999999</v>
      </c>
      <c r="S34" s="22"/>
      <c r="T34" t="s">
        <v>22</v>
      </c>
      <c r="U34">
        <v>1.1000000000000001E-3</v>
      </c>
      <c r="V34">
        <v>3.5000000000000001E-3</v>
      </c>
      <c r="W34">
        <v>369.46171399999997</v>
      </c>
      <c r="X34" t="s">
        <v>22</v>
      </c>
      <c r="Y34">
        <v>1.1000000000000001E-3</v>
      </c>
      <c r="Z34">
        <v>3.5999999999999999E-3</v>
      </c>
      <c r="AA34">
        <v>335.48263400000002</v>
      </c>
      <c r="AB34" t="s">
        <v>22</v>
      </c>
      <c r="AC34">
        <v>1.1999999999999999E-3</v>
      </c>
      <c r="AD34">
        <v>3.7000000000000002E-3</v>
      </c>
      <c r="AE34">
        <v>336.431286</v>
      </c>
      <c r="AF34" t="s">
        <v>22</v>
      </c>
      <c r="AG34">
        <v>1.1999999999999999E-3</v>
      </c>
      <c r="AH34">
        <v>3.8E-3</v>
      </c>
      <c r="AI34">
        <v>339.13750900000002</v>
      </c>
    </row>
    <row r="37" spans="1:35" x14ac:dyDescent="0.25">
      <c r="A37" s="18" t="s">
        <v>23</v>
      </c>
      <c r="B37" s="16" t="s">
        <v>13</v>
      </c>
      <c r="C37" s="16"/>
      <c r="D37" s="16"/>
      <c r="E37" s="16"/>
      <c r="F37" s="16" t="s">
        <v>14</v>
      </c>
      <c r="G37" s="16"/>
      <c r="H37" s="16"/>
      <c r="I37" s="16"/>
      <c r="J37" s="16" t="s">
        <v>15</v>
      </c>
      <c r="K37" s="16"/>
      <c r="L37" s="16"/>
      <c r="M37" s="16"/>
      <c r="N37" s="16" t="s">
        <v>16</v>
      </c>
      <c r="O37" s="16"/>
      <c r="P37" s="16"/>
      <c r="Q37" s="16"/>
      <c r="S37" s="18" t="s">
        <v>23</v>
      </c>
      <c r="T37" s="16" t="s">
        <v>13</v>
      </c>
      <c r="U37" s="16"/>
      <c r="V37" s="16"/>
      <c r="W37" s="16"/>
      <c r="X37" s="16" t="s">
        <v>14</v>
      </c>
      <c r="Y37" s="16"/>
      <c r="Z37" s="16"/>
      <c r="AA37" s="16"/>
      <c r="AB37" s="16" t="s">
        <v>15</v>
      </c>
      <c r="AC37" s="16"/>
      <c r="AD37" s="16"/>
      <c r="AE37" s="16"/>
      <c r="AF37" s="16" t="s">
        <v>16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13</v>
      </c>
      <c r="C44" s="16"/>
      <c r="D44" s="16"/>
      <c r="E44" s="16"/>
      <c r="F44" s="16" t="s">
        <v>14</v>
      </c>
      <c r="G44" s="16"/>
      <c r="H44" s="16"/>
      <c r="I44" s="16"/>
      <c r="J44" s="16" t="s">
        <v>15</v>
      </c>
      <c r="K44" s="16"/>
      <c r="L44" s="16"/>
      <c r="M44" s="16"/>
      <c r="N44" s="16" t="s">
        <v>16</v>
      </c>
      <c r="O44" s="16"/>
      <c r="P44" s="16"/>
      <c r="Q44" s="16"/>
      <c r="S44" s="23" t="s">
        <v>24</v>
      </c>
      <c r="T44" s="16" t="s">
        <v>13</v>
      </c>
      <c r="U44" s="16"/>
      <c r="V44" s="16"/>
      <c r="W44" s="16"/>
      <c r="X44" s="16" t="s">
        <v>14</v>
      </c>
      <c r="Y44" s="16"/>
      <c r="Z44" s="16"/>
      <c r="AA44" s="16"/>
      <c r="AB44" s="16" t="s">
        <v>15</v>
      </c>
      <c r="AC44" s="16"/>
      <c r="AD44" s="16"/>
      <c r="AE44" s="16"/>
      <c r="AF44" s="16" t="s">
        <v>16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3.8E-3</v>
      </c>
      <c r="C46" s="6"/>
      <c r="D46" s="6"/>
      <c r="E46">
        <v>23.681272</v>
      </c>
      <c r="F46" s="6">
        <v>3.8999999999999998E-3</v>
      </c>
      <c r="G46" s="6"/>
      <c r="H46" s="6"/>
      <c r="I46">
        <v>26.020302000000001</v>
      </c>
      <c r="J46" s="6">
        <v>4.1000000000000003E-3</v>
      </c>
      <c r="K46" s="6"/>
      <c r="L46" s="6"/>
      <c r="M46">
        <v>31.810801000000001</v>
      </c>
      <c r="N46" s="6">
        <v>4.0000000000000001E-3</v>
      </c>
      <c r="O46" s="6"/>
      <c r="P46" s="6"/>
      <c r="Q46">
        <v>27.996801000000001</v>
      </c>
      <c r="S46" s="23"/>
      <c r="T46" s="6">
        <v>2.3999999999999998E-3</v>
      </c>
      <c r="U46" s="6"/>
      <c r="V46" s="6"/>
      <c r="W46">
        <v>37.443880999999998</v>
      </c>
      <c r="X46" s="6">
        <v>2.5000000000000001E-3</v>
      </c>
      <c r="Y46" s="6"/>
      <c r="Z46" s="6"/>
      <c r="AA46">
        <v>26.127548000000001</v>
      </c>
      <c r="AB46" s="6">
        <v>2.5999999999999999E-3</v>
      </c>
      <c r="AC46" s="6"/>
      <c r="AD46" s="6"/>
      <c r="AE46">
        <v>23.103539000000001</v>
      </c>
      <c r="AF46" s="6">
        <v>2.5999999999999999E-3</v>
      </c>
      <c r="AG46" s="6"/>
      <c r="AH46" s="6"/>
      <c r="AI46">
        <v>24.215235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13</v>
      </c>
      <c r="C50" s="16"/>
      <c r="D50" s="16"/>
      <c r="E50" s="16"/>
      <c r="F50" s="16" t="s">
        <v>14</v>
      </c>
      <c r="G50" s="16"/>
      <c r="H50" s="16"/>
      <c r="I50" s="16"/>
      <c r="J50" s="16" t="s">
        <v>15</v>
      </c>
      <c r="K50" s="16"/>
      <c r="L50" s="16"/>
      <c r="M50" s="16"/>
      <c r="N50" s="16" t="s">
        <v>16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2.0999999999999999E-3</v>
      </c>
      <c r="E54">
        <v>311.519363</v>
      </c>
      <c r="F54" t="s">
        <v>22</v>
      </c>
      <c r="G54">
        <v>4.0000000000000002E-4</v>
      </c>
      <c r="H54">
        <v>2.2000000000000001E-3</v>
      </c>
      <c r="I54">
        <v>314.05332800000002</v>
      </c>
      <c r="J54" t="s">
        <v>22</v>
      </c>
      <c r="K54">
        <v>4.0000000000000002E-4</v>
      </c>
      <c r="L54">
        <v>2.2000000000000001E-3</v>
      </c>
      <c r="M54">
        <v>312.376418</v>
      </c>
      <c r="N54" t="s">
        <v>22</v>
      </c>
      <c r="O54">
        <v>4.0000000000000002E-4</v>
      </c>
      <c r="P54">
        <v>2.3E-3</v>
      </c>
      <c r="Q54">
        <v>303.19827500000002</v>
      </c>
    </row>
    <row r="57" spans="1:17" x14ac:dyDescent="0.25">
      <c r="A57" s="18" t="s">
        <v>23</v>
      </c>
      <c r="B57" s="16" t="s">
        <v>13</v>
      </c>
      <c r="C57" s="16"/>
      <c r="D57" s="16"/>
      <c r="E57" s="16"/>
      <c r="F57" s="16" t="s">
        <v>14</v>
      </c>
      <c r="G57" s="16"/>
      <c r="H57" s="16"/>
      <c r="I57" s="16"/>
      <c r="J57" s="16" t="s">
        <v>15</v>
      </c>
      <c r="K57" s="16"/>
      <c r="L57" s="16"/>
      <c r="M57" s="16"/>
      <c r="N57" s="16" t="s">
        <v>16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13</v>
      </c>
      <c r="C64" s="16"/>
      <c r="D64" s="16"/>
      <c r="E64" s="16"/>
      <c r="F64" s="16" t="s">
        <v>14</v>
      </c>
      <c r="G64" s="16"/>
      <c r="H64" s="16"/>
      <c r="I64" s="16"/>
      <c r="J64" s="16" t="s">
        <v>15</v>
      </c>
      <c r="K64" s="16"/>
      <c r="L64" s="16"/>
      <c r="M64" s="16"/>
      <c r="N64" s="16" t="s">
        <v>16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9.012E-4</v>
      </c>
      <c r="C66" s="6"/>
      <c r="D66" s="6"/>
      <c r="E66">
        <v>23.135960000000001</v>
      </c>
      <c r="F66" s="3">
        <v>9.3179999999999999E-4</v>
      </c>
      <c r="G66" s="6"/>
      <c r="H66" s="6"/>
      <c r="I66">
        <v>24.520294</v>
      </c>
      <c r="J66" s="3">
        <v>9.7119999999999997E-4</v>
      </c>
      <c r="K66" s="6"/>
      <c r="L66" s="6"/>
      <c r="M66">
        <v>24.160128</v>
      </c>
      <c r="N66" s="3">
        <v>1E-3</v>
      </c>
      <c r="O66" s="6"/>
      <c r="P66" s="6"/>
      <c r="Q66">
        <v>21.541630000000001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5.0049999999999999E-3</v>
      </c>
      <c r="G75">
        <f t="shared" si="1"/>
        <v>5.1050000000000002E-3</v>
      </c>
      <c r="H75">
        <f t="shared" si="2"/>
        <v>59.024717000000003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5.0049999999999999E-3</v>
      </c>
      <c r="M75">
        <f>I25+E25</f>
        <v>65.891734</v>
      </c>
      <c r="P75" s="21"/>
      <c r="Q75" t="s">
        <v>37</v>
      </c>
      <c r="R75">
        <f t="shared" si="6"/>
        <v>5.0100000000000006E-3</v>
      </c>
      <c r="S75">
        <f t="shared" si="7"/>
        <v>5.11E-3</v>
      </c>
      <c r="U75">
        <f t="shared" si="8"/>
        <v>1.9819999999999997E-2</v>
      </c>
      <c r="V75">
        <f t="shared" si="9"/>
        <v>1.9910000000000004E-2</v>
      </c>
      <c r="X75">
        <f>0.1*F25+(1-0.1)*B25</f>
        <v>5.0100000000000006E-3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5.0200000000000002E-3</v>
      </c>
      <c r="G81">
        <f t="shared" si="11"/>
        <v>5.1200000000000004E-3</v>
      </c>
      <c r="I81">
        <f t="shared" si="12"/>
        <v>1.9939999999999999E-2</v>
      </c>
      <c r="J81">
        <f t="shared" si="13"/>
        <v>2.0020000000000003E-2</v>
      </c>
      <c r="L81">
        <f>0.2*F25+(1-0.2)*B25</f>
        <v>5.0200000000000002E-3</v>
      </c>
      <c r="P81" s="21"/>
      <c r="Q81" t="s">
        <v>37</v>
      </c>
      <c r="R81">
        <f t="shared" si="14"/>
        <v>5.0299999999999997E-3</v>
      </c>
      <c r="S81">
        <f t="shared" si="15"/>
        <v>5.13E-3</v>
      </c>
      <c r="U81">
        <f t="shared" si="16"/>
        <v>2.0059999999999998E-2</v>
      </c>
      <c r="V81">
        <f t="shared" si="17"/>
        <v>2.0130000000000002E-2</v>
      </c>
      <c r="X81">
        <f>0.3*F25+(1-0.3)*B25</f>
        <v>5.0299999999999997E-3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5.0102500000000008E-3</v>
      </c>
      <c r="G88">
        <f t="shared" si="19"/>
        <v>5.1100000000000008E-3</v>
      </c>
      <c r="H88">
        <f t="shared" si="20"/>
        <v>86.353417000000007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5.0102500000000008E-3</v>
      </c>
      <c r="M88">
        <f>M25+I25+E25</f>
        <v>83.402698999999998</v>
      </c>
      <c r="O88" s="20"/>
      <c r="P88" s="21"/>
      <c r="Q88" t="s">
        <v>37</v>
      </c>
      <c r="R88">
        <f t="shared" si="24"/>
        <v>5.0210000000000012E-3</v>
      </c>
      <c r="S88">
        <f t="shared" si="25"/>
        <v>5.1200000000000013E-3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5.0210000000000012E-3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5.0439999999999999E-3</v>
      </c>
      <c r="G94">
        <f t="shared" si="29"/>
        <v>5.1399999999999996E-3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5.0439999999999999E-3</v>
      </c>
      <c r="O94" s="20"/>
      <c r="P94" s="21"/>
      <c r="Q94" t="s">
        <v>37</v>
      </c>
      <c r="R94">
        <f t="shared" si="32"/>
        <v>5.0690000000000006E-3</v>
      </c>
      <c r="S94">
        <f t="shared" si="33"/>
        <v>5.1600000000000005E-3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5.0690000000000006E-3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5.0157249999999995E-3</v>
      </c>
      <c r="G101">
        <f t="shared" si="37"/>
        <v>5.1149999999999998E-3</v>
      </c>
      <c r="H101">
        <f t="shared" si="38"/>
        <v>114.01410799999999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5.0157249999999995E-3</v>
      </c>
      <c r="M101">
        <f>Q25+M25+I25+E25</f>
        <v>103.132648</v>
      </c>
      <c r="N101" s="24"/>
      <c r="O101" s="20"/>
      <c r="P101" s="21"/>
      <c r="Q101" t="s">
        <v>37</v>
      </c>
      <c r="R101">
        <f t="shared" si="42"/>
        <v>5.0327999999999996E-3</v>
      </c>
      <c r="S101">
        <f t="shared" si="43"/>
        <v>5.13E-3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5.0327999999999996E-3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5.0704000000000001E-3</v>
      </c>
      <c r="G107">
        <f t="shared" si="47"/>
        <v>5.1599999999999997E-3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5.0704000000000001E-3</v>
      </c>
      <c r="N107" s="24"/>
      <c r="O107" s="20"/>
      <c r="P107" s="21"/>
      <c r="Q107" t="s">
        <v>37</v>
      </c>
      <c r="R107">
        <f t="shared" si="50"/>
        <v>5.1116000000000009E-3</v>
      </c>
      <c r="S107">
        <f t="shared" si="51"/>
        <v>5.1900000000000002E-3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5.1116000000000009E-3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4.6049999999999997E-3</v>
      </c>
      <c r="G114">
        <f t="shared" si="55"/>
        <v>4.7100000000000006E-3</v>
      </c>
      <c r="H114">
        <f t="shared" si="56"/>
        <v>724.56703300000004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4.705E-3</v>
      </c>
      <c r="M114">
        <f>AA25+W25</f>
        <v>48.629817000000003</v>
      </c>
      <c r="P114" s="21"/>
      <c r="Q114" t="s">
        <v>37</v>
      </c>
      <c r="R114">
        <f t="shared" si="60"/>
        <v>4.6100000000000004E-3</v>
      </c>
      <c r="S114">
        <f t="shared" si="61"/>
        <v>4.7200000000000002E-3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4.7100000000000006E-3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4.62E-3</v>
      </c>
      <c r="G120">
        <f t="shared" si="65"/>
        <v>4.7400000000000003E-3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4.7200000000000002E-3</v>
      </c>
      <c r="P120" s="21"/>
      <c r="Q120" t="s">
        <v>37</v>
      </c>
      <c r="R120">
        <f t="shared" si="68"/>
        <v>4.6299999999999996E-3</v>
      </c>
      <c r="S120">
        <f t="shared" si="69"/>
        <v>4.7600000000000003E-3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4.7299999999999998E-3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4.6100000000000004E-3</v>
      </c>
      <c r="G127">
        <f t="shared" si="73"/>
        <v>4.7197500000000009E-3</v>
      </c>
      <c r="H127">
        <f t="shared" si="74"/>
        <v>1090.5388719999999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4.7100000000000006E-3</v>
      </c>
      <c r="M127">
        <f>AE25+AA25+W25</f>
        <v>69.411721999999997</v>
      </c>
      <c r="O127" s="20"/>
      <c r="P127" s="21"/>
      <c r="Q127" t="s">
        <v>37</v>
      </c>
      <c r="R127">
        <f t="shared" si="78"/>
        <v>4.62E-3</v>
      </c>
      <c r="S127">
        <f t="shared" si="79"/>
        <v>4.7390000000000002E-3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4.7200000000000002E-3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4.64E-3</v>
      </c>
      <c r="G133">
        <f t="shared" si="83"/>
        <v>4.7759999999999999E-3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4.7400000000000003E-3</v>
      </c>
      <c r="O133" s="20"/>
      <c r="P133" s="21"/>
      <c r="Q133" t="s">
        <v>37</v>
      </c>
      <c r="R133">
        <f t="shared" si="86"/>
        <v>4.6600000000000009E-3</v>
      </c>
      <c r="S133">
        <f t="shared" si="87"/>
        <v>4.8110000000000002E-3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4.7600000000000003E-3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4.6149999999999993E-3</v>
      </c>
      <c r="G140">
        <f t="shared" si="91"/>
        <v>4.7292624999999994E-3</v>
      </c>
      <c r="H140">
        <f t="shared" si="92"/>
        <v>1456.6491569999998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4.7149999999999996E-3</v>
      </c>
      <c r="M140">
        <f>AI25+AE25+AA25+W25</f>
        <v>91.684843999999998</v>
      </c>
      <c r="N140" s="24"/>
      <c r="O140" s="20"/>
      <c r="P140" s="21"/>
      <c r="Q140" t="s">
        <v>37</v>
      </c>
      <c r="R140">
        <f t="shared" si="96"/>
        <v>4.6300000000000004E-3</v>
      </c>
      <c r="S140">
        <f t="shared" si="97"/>
        <v>4.7571000000000002E-3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4.7299999999999998E-3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4.6600000000000001E-3</v>
      </c>
      <c r="G146">
        <f t="shared" si="101"/>
        <v>4.8088000000000002E-3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4.7599999999999995E-3</v>
      </c>
      <c r="N146" s="24"/>
      <c r="O146" s="20"/>
      <c r="P146" s="21"/>
      <c r="Q146" t="s">
        <v>37</v>
      </c>
      <c r="R146">
        <f t="shared" si="104"/>
        <v>4.6900000000000006E-3</v>
      </c>
      <c r="S146">
        <f t="shared" si="105"/>
        <v>4.8557000000000001E-3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4.7900000000000009E-3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2.5999999999999999E-3</v>
      </c>
      <c r="G153">
        <f t="shared" si="109"/>
        <v>4.3049999999999998E-3</v>
      </c>
      <c r="H153">
        <f t="shared" si="110"/>
        <v>755.01453399999991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3.8049999999999998E-3</v>
      </c>
      <c r="M153">
        <f>I46+E46</f>
        <v>49.701574000000001</v>
      </c>
      <c r="P153" s="21"/>
      <c r="Q153" t="s">
        <v>37</v>
      </c>
      <c r="R153">
        <f t="shared" si="114"/>
        <v>2.5999999999999999E-3</v>
      </c>
      <c r="S153">
        <f t="shared" si="115"/>
        <v>4.3100000000000005E-3</v>
      </c>
      <c r="U153">
        <f t="shared" si="116"/>
        <v>1.311E-2</v>
      </c>
      <c r="V153">
        <f t="shared" si="117"/>
        <v>1.6389999999999998E-2</v>
      </c>
      <c r="X153">
        <f>0.1*F46+(1-0.1)*B46</f>
        <v>3.81E-3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2.5999999999999999E-3</v>
      </c>
      <c r="G159">
        <f t="shared" si="119"/>
        <v>4.3200000000000009E-3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3.82E-3</v>
      </c>
      <c r="P159" s="21"/>
      <c r="Q159" t="s">
        <v>37</v>
      </c>
      <c r="R159">
        <f t="shared" si="122"/>
        <v>2.5999999999999999E-3</v>
      </c>
      <c r="S159">
        <f t="shared" si="123"/>
        <v>4.3299999999999996E-3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3.8300000000000001E-3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2.6002500000000001E-3</v>
      </c>
      <c r="G166">
        <f t="shared" si="127"/>
        <v>4.3100000000000005E-3</v>
      </c>
      <c r="H166">
        <f t="shared" si="128"/>
        <v>1122.583198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3.8102500000000003E-3</v>
      </c>
      <c r="M166">
        <f>M46+I46+E46</f>
        <v>81.512374999999992</v>
      </c>
      <c r="O166" s="20"/>
      <c r="P166" s="21"/>
      <c r="Q166" t="s">
        <v>37</v>
      </c>
      <c r="R166">
        <f t="shared" si="132"/>
        <v>2.601E-3</v>
      </c>
      <c r="S166">
        <f t="shared" si="133"/>
        <v>4.3200000000000009E-3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3.8210000000000002E-3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2.604E-3</v>
      </c>
      <c r="G172">
        <f t="shared" si="137"/>
        <v>4.3400000000000001E-3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3.8440000000000002E-3</v>
      </c>
      <c r="O172" s="20"/>
      <c r="P172" s="21"/>
      <c r="Q172" t="s">
        <v>37</v>
      </c>
      <c r="R172">
        <f t="shared" si="140"/>
        <v>2.6090000000000002E-3</v>
      </c>
      <c r="S172">
        <f t="shared" si="141"/>
        <v>4.3600000000000002E-3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3.8690000000000005E-3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2.6007249999999995E-3</v>
      </c>
      <c r="G179">
        <f t="shared" si="145"/>
        <v>4.3149999999999994E-3</v>
      </c>
      <c r="H179">
        <f t="shared" si="146"/>
        <v>1508.093963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3.8156999999999991E-3</v>
      </c>
      <c r="M179">
        <f>Q46+M46+I46+E46</f>
        <v>109.509176</v>
      </c>
      <c r="N179" s="24"/>
      <c r="O179" s="20"/>
      <c r="P179" s="21"/>
      <c r="Q179" t="s">
        <v>37</v>
      </c>
      <c r="R179">
        <f t="shared" si="150"/>
        <v>2.6027999999999997E-3</v>
      </c>
      <c r="S179">
        <f t="shared" si="151"/>
        <v>4.3299999999999996E-3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3.8325999999999998E-3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2.6103999999999997E-3</v>
      </c>
      <c r="G185">
        <f t="shared" si="155"/>
        <v>4.3599999999999993E-3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3.8687999999999995E-3</v>
      </c>
      <c r="N185" s="24"/>
      <c r="O185" s="20"/>
      <c r="P185" s="21"/>
      <c r="Q185" t="s">
        <v>37</v>
      </c>
      <c r="R185">
        <f t="shared" si="158"/>
        <v>2.6216E-3</v>
      </c>
      <c r="S185">
        <f t="shared" si="159"/>
        <v>4.3899999999999998E-3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3.9062000000000003E-3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3.5049999999999999E-3</v>
      </c>
      <c r="H192">
        <f t="shared" si="164"/>
        <v>704.94434799999999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2.405E-3</v>
      </c>
      <c r="M192">
        <f>AA46+W46</f>
        <v>63.571428999999995</v>
      </c>
      <c r="P192" s="21"/>
      <c r="Q192" t="s">
        <v>37</v>
      </c>
      <c r="R192">
        <f t="shared" si="168"/>
        <v>1.1000000000000001E-3</v>
      </c>
      <c r="S192">
        <f t="shared" si="169"/>
        <v>3.5100000000000001E-3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2.4099999999999998E-3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3.5200000000000006E-3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2.4199999999999998E-3</v>
      </c>
      <c r="P198" s="21"/>
      <c r="Q198" t="s">
        <v>37</v>
      </c>
      <c r="R198">
        <f t="shared" si="176"/>
        <v>1.0999999999999998E-3</v>
      </c>
      <c r="S198">
        <f t="shared" si="177"/>
        <v>3.5300000000000002E-3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2.4299999999999999E-3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1.1002500000000001E-3</v>
      </c>
      <c r="G205">
        <f t="shared" si="181"/>
        <v>3.5100000000000005E-3</v>
      </c>
      <c r="H205">
        <f t="shared" si="182"/>
        <v>1041.375634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2.4099999999999998E-3</v>
      </c>
      <c r="M205">
        <f>AE46+AA46+W46</f>
        <v>86.674968000000007</v>
      </c>
      <c r="O205" s="20"/>
      <c r="P205" s="21"/>
      <c r="Q205" t="s">
        <v>37</v>
      </c>
      <c r="R205">
        <f t="shared" si="186"/>
        <v>1.1010000000000002E-3</v>
      </c>
      <c r="S205">
        <f t="shared" si="187"/>
        <v>3.5200000000000006E-3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2.4199999999999998E-3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1.1040000000000002E-3</v>
      </c>
      <c r="G211">
        <f t="shared" si="191"/>
        <v>3.5400000000000002E-3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2.4399999999999999E-3</v>
      </c>
      <c r="O211" s="20"/>
      <c r="P211" s="21"/>
      <c r="Q211" t="s">
        <v>37</v>
      </c>
      <c r="R211">
        <f t="shared" si="194"/>
        <v>1.1090000000000002E-3</v>
      </c>
      <c r="S211">
        <f t="shared" si="195"/>
        <v>3.5600000000000002E-3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2.4600000000000004E-3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1.1007249999999999E-3</v>
      </c>
      <c r="G218">
        <f t="shared" si="199"/>
        <v>3.5149999999999995E-3</v>
      </c>
      <c r="H218">
        <f t="shared" si="200"/>
        <v>1380.5131430000001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2.4149874999999997E-3</v>
      </c>
      <c r="M218">
        <f>AI46+AE46+AA46+W46</f>
        <v>110.89020300000001</v>
      </c>
      <c r="N218" s="24"/>
      <c r="O218" s="20"/>
      <c r="P218" s="21"/>
      <c r="Q218" t="s">
        <v>37</v>
      </c>
      <c r="R218">
        <f t="shared" si="204"/>
        <v>1.1028000000000001E-3</v>
      </c>
      <c r="S218">
        <f t="shared" si="205"/>
        <v>3.5299999999999997E-3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2.4298999999999996E-3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1.1104000000000001E-3</v>
      </c>
      <c r="G224">
        <f t="shared" si="209"/>
        <v>3.5599999999999998E-3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2.4591999999999999E-3</v>
      </c>
      <c r="N224" s="24"/>
      <c r="O224" s="20"/>
      <c r="P224" s="21"/>
      <c r="Q224" t="s">
        <v>37</v>
      </c>
      <c r="R224">
        <f t="shared" si="212"/>
        <v>1.1216000000000002E-3</v>
      </c>
      <c r="S224">
        <f t="shared" si="213"/>
        <v>3.5900000000000003E-3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2.4873E-3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2.1049999999999997E-3</v>
      </c>
      <c r="H231">
        <f t="shared" si="218"/>
        <v>625.57269100000008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8.5613999999999992E-4</v>
      </c>
      <c r="M231">
        <f>I66+E66</f>
        <v>47.656254000000004</v>
      </c>
      <c r="P231" s="21"/>
      <c r="Q231" t="s">
        <v>37</v>
      </c>
      <c r="R231">
        <f t="shared" si="222"/>
        <v>4.0000000000000002E-4</v>
      </c>
      <c r="S231">
        <f t="shared" si="223"/>
        <v>2.1099999999999999E-3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8.1108000000000005E-4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2.1200000000000004E-3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7.2096000000000009E-4</v>
      </c>
      <c r="P237" s="21"/>
      <c r="Q237" t="s">
        <v>37</v>
      </c>
      <c r="R237">
        <f t="shared" si="230"/>
        <v>3.9999999999999996E-4</v>
      </c>
      <c r="S237">
        <f t="shared" si="231"/>
        <v>2.1299999999999999E-3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6.3083999999999992E-4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2.1097500000000001E-3</v>
      </c>
      <c r="H244">
        <f t="shared" si="236"/>
        <v>937.94910900000002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8.1576100000000003E-4</v>
      </c>
      <c r="M244">
        <f>M66+I66+E66</f>
        <v>71.816382000000004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2.1190000000000002E-3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7.3968400000000011E-4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2.1359999999999999E-3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6.1561599999999993E-4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2.1510000000000001E-3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5.2899600000000011E-4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2.1142749999999997E-3</v>
      </c>
      <c r="H257">
        <f t="shared" si="254"/>
        <v>1241.1473839999999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7.7971114999999993E-4</v>
      </c>
      <c r="M257">
        <f>Q66+M66+I66+E66</f>
        <v>93.358011999999988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2.1271999999999997E-3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6.8419719999999996E-4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2.1495999999999998E-3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5.626495999999998E-4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2.1684E-3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5.1966840000000018E-4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48</v>
      </c>
      <c r="C9" s="16"/>
      <c r="D9" s="16"/>
      <c r="E9" s="16"/>
      <c r="F9" s="16" t="s">
        <v>49</v>
      </c>
      <c r="G9" s="16"/>
      <c r="H9" s="16"/>
      <c r="I9" s="16"/>
      <c r="J9" s="16" t="s">
        <v>50</v>
      </c>
      <c r="K9" s="16"/>
      <c r="L9" s="16"/>
      <c r="M9" s="16"/>
      <c r="N9" s="16" t="s">
        <v>51</v>
      </c>
      <c r="O9" s="16"/>
      <c r="P9" s="16"/>
      <c r="Q9" s="16"/>
      <c r="S9" s="22" t="s">
        <v>12</v>
      </c>
      <c r="T9" s="16" t="s">
        <v>48</v>
      </c>
      <c r="U9" s="16"/>
      <c r="V9" s="16"/>
      <c r="W9" s="16"/>
      <c r="X9" s="16" t="s">
        <v>49</v>
      </c>
      <c r="Y9" s="16"/>
      <c r="Z9" s="16"/>
      <c r="AA9" s="16"/>
      <c r="AB9" s="16" t="s">
        <v>50</v>
      </c>
      <c r="AC9" s="16"/>
      <c r="AD9" s="16"/>
      <c r="AE9" s="16"/>
      <c r="AF9" s="16" t="s">
        <v>51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4.7999999999999996E-3</v>
      </c>
      <c r="D13" s="10">
        <v>4.7999999999999996E-3</v>
      </c>
      <c r="E13" s="10">
        <v>22.574234000000001</v>
      </c>
      <c r="F13" t="s">
        <v>22</v>
      </c>
      <c r="G13" s="10">
        <v>4.8999999999999998E-3</v>
      </c>
      <c r="H13" s="10">
        <v>5.0000000000000001E-3</v>
      </c>
      <c r="I13" s="10">
        <v>23.305572000000002</v>
      </c>
      <c r="J13" t="s">
        <v>22</v>
      </c>
      <c r="K13" s="10">
        <v>5.0000000000000001E-3</v>
      </c>
      <c r="L13" s="10">
        <v>5.1000000000000004E-3</v>
      </c>
      <c r="M13" s="10">
        <v>23.416951999999998</v>
      </c>
      <c r="N13" t="s">
        <v>22</v>
      </c>
      <c r="O13" s="10">
        <v>5.1999999999999998E-3</v>
      </c>
      <c r="P13" s="10">
        <v>5.1999999999999998E-3</v>
      </c>
      <c r="Q13" s="10">
        <v>24.169414</v>
      </c>
      <c r="S13" s="22"/>
      <c r="T13" t="s">
        <v>22</v>
      </c>
      <c r="U13">
        <v>4.4000000000000003E-3</v>
      </c>
      <c r="V13">
        <v>4.4999999999999997E-3</v>
      </c>
      <c r="W13">
        <v>132.87535700000001</v>
      </c>
      <c r="X13" t="s">
        <v>22</v>
      </c>
      <c r="Y13">
        <v>4.4999999999999997E-3</v>
      </c>
      <c r="Z13">
        <v>4.7000000000000002E-3</v>
      </c>
      <c r="AA13">
        <v>301.205603</v>
      </c>
      <c r="AB13" t="s">
        <v>22</v>
      </c>
      <c r="AC13">
        <v>4.5999999999999999E-3</v>
      </c>
      <c r="AD13">
        <v>4.7999999999999996E-3</v>
      </c>
      <c r="AE13">
        <v>292.78452199999998</v>
      </c>
      <c r="AF13" t="s">
        <v>22</v>
      </c>
      <c r="AG13">
        <v>4.7000000000000002E-3</v>
      </c>
      <c r="AH13">
        <v>4.8999999999999998E-3</v>
      </c>
      <c r="AI13">
        <v>291.80992900000001</v>
      </c>
    </row>
    <row r="16" spans="1:35" x14ac:dyDescent="0.25">
      <c r="A16" s="18" t="s">
        <v>23</v>
      </c>
      <c r="B16" s="16" t="s">
        <v>48</v>
      </c>
      <c r="C16" s="16"/>
      <c r="D16" s="16"/>
      <c r="E16" s="16"/>
      <c r="F16" s="16" t="s">
        <v>49</v>
      </c>
      <c r="G16" s="16"/>
      <c r="H16" s="16"/>
      <c r="I16" s="16"/>
      <c r="J16" s="16" t="s">
        <v>50</v>
      </c>
      <c r="K16" s="16"/>
      <c r="L16" s="16"/>
      <c r="M16" s="16"/>
      <c r="N16" s="16" t="s">
        <v>51</v>
      </c>
      <c r="O16" s="16"/>
      <c r="P16" s="16"/>
      <c r="Q16" s="16"/>
      <c r="S16" s="18" t="s">
        <v>23</v>
      </c>
      <c r="T16" s="16" t="s">
        <v>48</v>
      </c>
      <c r="U16" s="16"/>
      <c r="V16" s="16"/>
      <c r="W16" s="16"/>
      <c r="X16" s="16" t="s">
        <v>49</v>
      </c>
      <c r="Y16" s="16"/>
      <c r="Z16" s="16"/>
      <c r="AA16" s="16"/>
      <c r="AB16" s="16" t="s">
        <v>50</v>
      </c>
      <c r="AC16" s="16"/>
      <c r="AD16" s="16"/>
      <c r="AE16" s="16"/>
      <c r="AF16" s="16" t="s">
        <v>51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48</v>
      </c>
      <c r="C23" s="16"/>
      <c r="D23" s="16"/>
      <c r="E23" s="16"/>
      <c r="F23" s="16" t="s">
        <v>49</v>
      </c>
      <c r="G23" s="16"/>
      <c r="H23" s="16"/>
      <c r="I23" s="16"/>
      <c r="J23" s="16" t="s">
        <v>50</v>
      </c>
      <c r="K23" s="16"/>
      <c r="L23" s="16"/>
      <c r="M23" s="16"/>
      <c r="N23" s="16" t="s">
        <v>51</v>
      </c>
      <c r="O23" s="16"/>
      <c r="P23" s="16"/>
      <c r="Q23" s="16"/>
      <c r="S23" s="23" t="s">
        <v>24</v>
      </c>
      <c r="T23" s="16" t="s">
        <v>48</v>
      </c>
      <c r="U23" s="16"/>
      <c r="V23" s="16"/>
      <c r="W23" s="16"/>
      <c r="X23" s="16" t="s">
        <v>49</v>
      </c>
      <c r="Y23" s="16"/>
      <c r="Z23" s="16"/>
      <c r="AA23" s="16"/>
      <c r="AB23" s="16" t="s">
        <v>50</v>
      </c>
      <c r="AC23" s="16"/>
      <c r="AD23" s="16"/>
      <c r="AE23" s="16"/>
      <c r="AF23" s="16" t="s">
        <v>51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4.7999999999999996E-3</v>
      </c>
      <c r="C25" s="6"/>
      <c r="D25" s="6"/>
      <c r="E25">
        <v>22.513318000000002</v>
      </c>
      <c r="F25">
        <v>4.8999999999999998E-3</v>
      </c>
      <c r="G25" s="6"/>
      <c r="H25" s="6"/>
      <c r="I25">
        <v>18.395325</v>
      </c>
      <c r="J25" s="9">
        <v>5.0000000000000001E-3</v>
      </c>
      <c r="K25" s="6"/>
      <c r="L25" s="6"/>
      <c r="M25" s="8">
        <v>22.716576</v>
      </c>
      <c r="N25" s="6">
        <v>5.1999999999999998E-3</v>
      </c>
      <c r="O25" s="6"/>
      <c r="P25" s="6"/>
      <c r="Q25">
        <v>17.906271</v>
      </c>
      <c r="S25" s="23"/>
      <c r="T25" s="6">
        <v>4.4999999999999997E-3</v>
      </c>
      <c r="U25" s="6"/>
      <c r="V25" s="6"/>
      <c r="W25">
        <v>21.719861000000002</v>
      </c>
      <c r="X25" s="6">
        <v>4.5999999999999999E-3</v>
      </c>
      <c r="Y25" s="6"/>
      <c r="Z25" s="6"/>
      <c r="AA25">
        <v>23.082329999999999</v>
      </c>
      <c r="AB25" s="6">
        <v>4.7000000000000002E-3</v>
      </c>
      <c r="AC25" s="6"/>
      <c r="AD25" s="6"/>
      <c r="AE25">
        <v>17.695354999999999</v>
      </c>
      <c r="AF25" s="6">
        <v>4.7999999999999996E-3</v>
      </c>
      <c r="AG25" s="6"/>
      <c r="AH25" s="6"/>
      <c r="AI25">
        <v>19.2653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48</v>
      </c>
      <c r="C30" s="16"/>
      <c r="D30" s="16"/>
      <c r="E30" s="16"/>
      <c r="F30" s="16" t="s">
        <v>49</v>
      </c>
      <c r="G30" s="16"/>
      <c r="H30" s="16"/>
      <c r="I30" s="16"/>
      <c r="J30" s="16" t="s">
        <v>50</v>
      </c>
      <c r="K30" s="16"/>
      <c r="L30" s="16"/>
      <c r="M30" s="16"/>
      <c r="N30" s="16" t="s">
        <v>51</v>
      </c>
      <c r="O30" s="16"/>
      <c r="P30" s="16"/>
      <c r="Q30" s="16"/>
      <c r="S30" s="22" t="s">
        <v>12</v>
      </c>
      <c r="T30" s="16" t="s">
        <v>48</v>
      </c>
      <c r="U30" s="16"/>
      <c r="V30" s="16"/>
      <c r="W30" s="16"/>
      <c r="X30" s="16" t="s">
        <v>49</v>
      </c>
      <c r="Y30" s="16"/>
      <c r="Z30" s="16"/>
      <c r="AA30" s="16"/>
      <c r="AB30" s="16" t="s">
        <v>50</v>
      </c>
      <c r="AC30" s="16"/>
      <c r="AD30" s="16"/>
      <c r="AE30" s="16"/>
      <c r="AF30" s="16" t="s">
        <v>51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2.5999999999999999E-3</v>
      </c>
      <c r="D34">
        <v>4.1000000000000003E-3</v>
      </c>
      <c r="E34">
        <v>293.11607800000002</v>
      </c>
      <c r="F34" t="s">
        <v>22</v>
      </c>
      <c r="G34">
        <v>2.5999999999999999E-3</v>
      </c>
      <c r="H34">
        <v>4.1999999999999997E-3</v>
      </c>
      <c r="I34">
        <v>295.494733</v>
      </c>
      <c r="J34" t="s">
        <v>22</v>
      </c>
      <c r="K34" s="8">
        <v>2.5999999999999999E-3</v>
      </c>
      <c r="L34" s="8">
        <v>4.1999999999999997E-3</v>
      </c>
      <c r="M34">
        <v>296.25386900000001</v>
      </c>
      <c r="N34" t="s">
        <v>22</v>
      </c>
      <c r="O34">
        <v>2.5999999999999999E-3</v>
      </c>
      <c r="P34">
        <v>4.1999999999999997E-3</v>
      </c>
      <c r="Q34">
        <v>292.73526500000003</v>
      </c>
      <c r="S34" s="22"/>
      <c r="T34" t="s">
        <v>22</v>
      </c>
      <c r="U34">
        <v>1.1000000000000001E-3</v>
      </c>
      <c r="V34">
        <v>3.3999999999999998E-3</v>
      </c>
      <c r="W34">
        <v>277.244753</v>
      </c>
      <c r="X34" t="s">
        <v>22</v>
      </c>
      <c r="Y34">
        <v>1.1000000000000001E-3</v>
      </c>
      <c r="Z34">
        <v>3.5000000000000001E-3</v>
      </c>
      <c r="AA34">
        <v>281.00039500000003</v>
      </c>
      <c r="AB34" t="s">
        <v>22</v>
      </c>
      <c r="AC34">
        <v>1.1999999999999999E-3</v>
      </c>
      <c r="AD34">
        <v>3.5000000000000001E-3</v>
      </c>
      <c r="AE34">
        <v>277.11264699999998</v>
      </c>
      <c r="AF34" t="s">
        <v>22</v>
      </c>
      <c r="AG34">
        <v>1.1999999999999999E-3</v>
      </c>
      <c r="AH34">
        <v>3.5999999999999999E-3</v>
      </c>
      <c r="AI34">
        <v>278.599987</v>
      </c>
    </row>
    <row r="37" spans="1:35" x14ac:dyDescent="0.25">
      <c r="A37" s="18" t="s">
        <v>23</v>
      </c>
      <c r="B37" s="16" t="s">
        <v>48</v>
      </c>
      <c r="C37" s="16"/>
      <c r="D37" s="16"/>
      <c r="E37" s="16"/>
      <c r="F37" s="16" t="s">
        <v>49</v>
      </c>
      <c r="G37" s="16"/>
      <c r="H37" s="16"/>
      <c r="I37" s="16"/>
      <c r="J37" s="16" t="s">
        <v>50</v>
      </c>
      <c r="K37" s="16"/>
      <c r="L37" s="16"/>
      <c r="M37" s="16"/>
      <c r="N37" s="16" t="s">
        <v>51</v>
      </c>
      <c r="O37" s="16"/>
      <c r="P37" s="16"/>
      <c r="Q37" s="16"/>
      <c r="S37" s="18" t="s">
        <v>23</v>
      </c>
      <c r="T37" s="16" t="s">
        <v>48</v>
      </c>
      <c r="U37" s="16"/>
      <c r="V37" s="16"/>
      <c r="W37" s="16"/>
      <c r="X37" s="16" t="s">
        <v>49</v>
      </c>
      <c r="Y37" s="16"/>
      <c r="Z37" s="16"/>
      <c r="AA37" s="16"/>
      <c r="AB37" s="16" t="s">
        <v>50</v>
      </c>
      <c r="AC37" s="16"/>
      <c r="AD37" s="16"/>
      <c r="AE37" s="16"/>
      <c r="AF37" s="16" t="s">
        <v>51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48</v>
      </c>
      <c r="C44" s="16"/>
      <c r="D44" s="16"/>
      <c r="E44" s="16"/>
      <c r="F44" s="16" t="s">
        <v>49</v>
      </c>
      <c r="G44" s="16"/>
      <c r="H44" s="16"/>
      <c r="I44" s="16"/>
      <c r="J44" s="16" t="s">
        <v>50</v>
      </c>
      <c r="K44" s="16"/>
      <c r="L44" s="16"/>
      <c r="M44" s="16"/>
      <c r="N44" s="16" t="s">
        <v>51</v>
      </c>
      <c r="O44" s="16"/>
      <c r="P44" s="16"/>
      <c r="Q44" s="16"/>
      <c r="S44" s="23" t="s">
        <v>24</v>
      </c>
      <c r="T44" s="16" t="s">
        <v>48</v>
      </c>
      <c r="U44" s="16"/>
      <c r="V44" s="16"/>
      <c r="W44" s="16"/>
      <c r="X44" s="16" t="s">
        <v>49</v>
      </c>
      <c r="Y44" s="16"/>
      <c r="Z44" s="16"/>
      <c r="AA44" s="16"/>
      <c r="AB44" s="16" t="s">
        <v>50</v>
      </c>
      <c r="AC44" s="16"/>
      <c r="AD44" s="16"/>
      <c r="AE44" s="16"/>
      <c r="AF44" s="16" t="s">
        <v>51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3.7000000000000002E-3</v>
      </c>
      <c r="C46" s="6"/>
      <c r="D46" s="6"/>
      <c r="E46">
        <v>20.447548999999999</v>
      </c>
      <c r="F46" s="6">
        <v>3.8E-3</v>
      </c>
      <c r="G46" s="6"/>
      <c r="H46" s="6"/>
      <c r="I46">
        <v>18.087344000000002</v>
      </c>
      <c r="J46" s="6">
        <v>3.8E-3</v>
      </c>
      <c r="K46" s="6"/>
      <c r="L46" s="6"/>
      <c r="M46">
        <v>18.427201</v>
      </c>
      <c r="N46" s="6">
        <v>3.8999999999999998E-3</v>
      </c>
      <c r="O46" s="6"/>
      <c r="P46" s="6"/>
      <c r="Q46">
        <v>19.371002000000001</v>
      </c>
      <c r="S46" s="23"/>
      <c r="T46" s="6">
        <v>2.3999999999999998E-3</v>
      </c>
      <c r="U46" s="6"/>
      <c r="V46" s="6"/>
      <c r="W46">
        <v>18.531551</v>
      </c>
      <c r="X46" s="6">
        <v>2.3999999999999998E-3</v>
      </c>
      <c r="Y46" s="6"/>
      <c r="Z46" s="6"/>
      <c r="AA46">
        <v>20.691094</v>
      </c>
      <c r="AB46" s="6">
        <v>2.5000000000000001E-3</v>
      </c>
      <c r="AC46" s="6"/>
      <c r="AD46" s="6"/>
      <c r="AE46">
        <v>19.395226999999998</v>
      </c>
      <c r="AF46" s="6">
        <v>2.5999999999999999E-3</v>
      </c>
      <c r="AG46" s="6"/>
      <c r="AH46" s="6"/>
      <c r="AI46">
        <v>17.734542999999999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48</v>
      </c>
      <c r="C50" s="16"/>
      <c r="D50" s="16"/>
      <c r="E50" s="16"/>
      <c r="F50" s="16" t="s">
        <v>49</v>
      </c>
      <c r="G50" s="16"/>
      <c r="H50" s="16"/>
      <c r="I50" s="16"/>
      <c r="J50" s="16" t="s">
        <v>50</v>
      </c>
      <c r="K50" s="16"/>
      <c r="L50" s="16"/>
      <c r="M50" s="16"/>
      <c r="N50" s="16" t="s">
        <v>51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2E-3</v>
      </c>
      <c r="E54">
        <v>251.162609</v>
      </c>
      <c r="F54" t="s">
        <v>22</v>
      </c>
      <c r="G54">
        <v>4.0000000000000002E-4</v>
      </c>
      <c r="H54">
        <v>2.0999999999999999E-3</v>
      </c>
      <c r="I54">
        <v>253.31492399999999</v>
      </c>
      <c r="J54" t="s">
        <v>22</v>
      </c>
      <c r="K54">
        <v>4.0000000000000002E-4</v>
      </c>
      <c r="L54">
        <v>2.2000000000000001E-3</v>
      </c>
      <c r="M54">
        <v>260.441281</v>
      </c>
      <c r="N54" t="s">
        <v>22</v>
      </c>
      <c r="O54">
        <v>4.0000000000000002E-4</v>
      </c>
      <c r="P54">
        <v>2.2000000000000001E-3</v>
      </c>
      <c r="Q54">
        <v>248.19673299999999</v>
      </c>
    </row>
    <row r="57" spans="1:17" x14ac:dyDescent="0.25">
      <c r="A57" s="18" t="s">
        <v>23</v>
      </c>
      <c r="B57" s="16" t="s">
        <v>48</v>
      </c>
      <c r="C57" s="16"/>
      <c r="D57" s="16"/>
      <c r="E57" s="16"/>
      <c r="F57" s="16" t="s">
        <v>49</v>
      </c>
      <c r="G57" s="16"/>
      <c r="H57" s="16"/>
      <c r="I57" s="16"/>
      <c r="J57" s="16" t="s">
        <v>50</v>
      </c>
      <c r="K57" s="16"/>
      <c r="L57" s="16"/>
      <c r="M57" s="16"/>
      <c r="N57" s="16" t="s">
        <v>51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48</v>
      </c>
      <c r="C64" s="16"/>
      <c r="D64" s="16"/>
      <c r="E64" s="16"/>
      <c r="F64" s="16" t="s">
        <v>49</v>
      </c>
      <c r="G64" s="16"/>
      <c r="H64" s="16"/>
      <c r="I64" s="16"/>
      <c r="J64" s="16" t="s">
        <v>50</v>
      </c>
      <c r="K64" s="16"/>
      <c r="L64" s="16"/>
      <c r="M64" s="16"/>
      <c r="N64" s="16" t="s">
        <v>51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8.8210000000000003E-4</v>
      </c>
      <c r="C66" s="6"/>
      <c r="D66" s="6"/>
      <c r="E66">
        <v>17.611488000000001</v>
      </c>
      <c r="F66" s="3">
        <v>9.1640000000000005E-4</v>
      </c>
      <c r="G66" s="6"/>
      <c r="H66" s="6"/>
      <c r="I66">
        <v>18.867930000000001</v>
      </c>
      <c r="J66" s="3">
        <v>9.5560000000000003E-4</v>
      </c>
      <c r="K66" s="6"/>
      <c r="L66" s="6"/>
      <c r="M66">
        <v>20.541739</v>
      </c>
      <c r="N66" s="3">
        <v>9.9120000000000002E-4</v>
      </c>
      <c r="O66" s="6"/>
      <c r="P66" s="6"/>
      <c r="Q66">
        <v>23.435417999999999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4.8050000000000002E-3</v>
      </c>
      <c r="G75">
        <f t="shared" si="1"/>
        <v>4.81E-3</v>
      </c>
      <c r="H75">
        <f t="shared" si="2"/>
        <v>45.879806000000002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4.8050000000000002E-3</v>
      </c>
      <c r="M75">
        <f>I25+E25</f>
        <v>40.908642999999998</v>
      </c>
      <c r="P75" s="21"/>
      <c r="Q75" t="s">
        <v>37</v>
      </c>
      <c r="R75">
        <f t="shared" si="6"/>
        <v>4.81E-3</v>
      </c>
      <c r="S75">
        <f t="shared" si="7"/>
        <v>4.8199999999999996E-3</v>
      </c>
      <c r="U75">
        <f t="shared" si="8"/>
        <v>1.9819999999999997E-2</v>
      </c>
      <c r="V75">
        <f t="shared" si="9"/>
        <v>1.9910000000000004E-2</v>
      </c>
      <c r="X75">
        <f>0.1*F25+(1-0.1)*B25</f>
        <v>4.81E-3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4.8199999999999996E-3</v>
      </c>
      <c r="G81">
        <f t="shared" si="11"/>
        <v>4.8399999999999997E-3</v>
      </c>
      <c r="I81">
        <f t="shared" si="12"/>
        <v>1.9939999999999999E-2</v>
      </c>
      <c r="J81">
        <f t="shared" si="13"/>
        <v>2.0020000000000003E-2</v>
      </c>
      <c r="L81">
        <f>0.2*F25+(1-0.2)*B25</f>
        <v>4.8199999999999996E-3</v>
      </c>
      <c r="P81" s="21"/>
      <c r="Q81" t="s">
        <v>37</v>
      </c>
      <c r="R81">
        <f t="shared" si="14"/>
        <v>4.8299999999999992E-3</v>
      </c>
      <c r="S81">
        <f t="shared" si="15"/>
        <v>4.8599999999999997E-3</v>
      </c>
      <c r="U81">
        <f t="shared" si="16"/>
        <v>2.0059999999999998E-2</v>
      </c>
      <c r="V81">
        <f t="shared" si="17"/>
        <v>2.0130000000000002E-2</v>
      </c>
      <c r="X81">
        <f>0.3*F25+(1-0.3)*B25</f>
        <v>4.8299999999999992E-3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4.81E-3</v>
      </c>
      <c r="G88">
        <f t="shared" si="19"/>
        <v>4.8197500000000002E-3</v>
      </c>
      <c r="H88">
        <f t="shared" si="20"/>
        <v>69.296757999999997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4.81E-3</v>
      </c>
      <c r="M88">
        <f>M25+I25+E25</f>
        <v>63.625219000000001</v>
      </c>
      <c r="O88" s="20"/>
      <c r="P88" s="21"/>
      <c r="Q88" t="s">
        <v>37</v>
      </c>
      <c r="R88">
        <f t="shared" si="24"/>
        <v>4.8199999999999996E-3</v>
      </c>
      <c r="S88">
        <f t="shared" si="25"/>
        <v>4.8390000000000004E-3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4.8199999999999996E-3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4.8399999999999997E-3</v>
      </c>
      <c r="G94">
        <f t="shared" si="29"/>
        <v>4.8759999999999993E-3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4.8399999999999997E-3</v>
      </c>
      <c r="O94" s="20"/>
      <c r="P94" s="21"/>
      <c r="Q94" t="s">
        <v>37</v>
      </c>
      <c r="R94">
        <f t="shared" si="32"/>
        <v>4.8599999999999997E-3</v>
      </c>
      <c r="S94">
        <f t="shared" si="33"/>
        <v>4.9110000000000004E-3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4.8599999999999997E-3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4.8150124999999993E-3</v>
      </c>
      <c r="G101">
        <f t="shared" si="37"/>
        <v>4.8292624999999988E-3</v>
      </c>
      <c r="H101">
        <f t="shared" si="38"/>
        <v>93.466172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4.8150124999999993E-3</v>
      </c>
      <c r="M101">
        <f>Q25+M25+I25+E25</f>
        <v>81.531490000000005</v>
      </c>
      <c r="N101" s="24"/>
      <c r="O101" s="20"/>
      <c r="P101" s="21"/>
      <c r="Q101" t="s">
        <v>37</v>
      </c>
      <c r="R101">
        <f t="shared" si="42"/>
        <v>4.8300999999999995E-3</v>
      </c>
      <c r="S101">
        <f t="shared" si="43"/>
        <v>4.8570999999999996E-3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4.8300999999999995E-3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4.8607999999999993E-3</v>
      </c>
      <c r="G107">
        <f t="shared" si="47"/>
        <v>4.9087999999999996E-3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4.8607999999999993E-3</v>
      </c>
      <c r="N107" s="24"/>
      <c r="O107" s="20"/>
      <c r="P107" s="21"/>
      <c r="Q107" t="s">
        <v>37</v>
      </c>
      <c r="R107">
        <f t="shared" si="50"/>
        <v>4.8926999999999998E-3</v>
      </c>
      <c r="S107">
        <f t="shared" si="51"/>
        <v>4.9557000000000004E-3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4.8926999999999998E-3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4.4050000000000001E-3</v>
      </c>
      <c r="G114">
        <f t="shared" si="55"/>
        <v>4.5099999999999993E-3</v>
      </c>
      <c r="H114">
        <f t="shared" si="56"/>
        <v>434.08096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4.5049999999999995E-3</v>
      </c>
      <c r="M114">
        <f>AA25+W25</f>
        <v>44.802191000000001</v>
      </c>
      <c r="P114" s="21"/>
      <c r="Q114" t="s">
        <v>37</v>
      </c>
      <c r="R114">
        <f t="shared" si="60"/>
        <v>4.4099999999999999E-3</v>
      </c>
      <c r="S114">
        <f t="shared" si="61"/>
        <v>4.5199999999999997E-3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4.5100000000000001E-3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4.4200000000000003E-3</v>
      </c>
      <c r="G120">
        <f t="shared" si="65"/>
        <v>4.5399999999999998E-3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4.5199999999999997E-3</v>
      </c>
      <c r="P120" s="21"/>
      <c r="Q120" t="s">
        <v>37</v>
      </c>
      <c r="R120">
        <f t="shared" si="68"/>
        <v>4.4299999999999999E-3</v>
      </c>
      <c r="S120">
        <f t="shared" si="69"/>
        <v>4.5599999999999998E-3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4.5299999999999993E-3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4.4100000000000007E-3</v>
      </c>
      <c r="G127">
        <f t="shared" si="73"/>
        <v>4.5197499999999995E-3</v>
      </c>
      <c r="H127">
        <f t="shared" si="74"/>
        <v>726.86548200000004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4.5100000000000001E-3</v>
      </c>
      <c r="M127">
        <f>AE25+AA25+W25</f>
        <v>62.497546</v>
      </c>
      <c r="O127" s="20"/>
      <c r="P127" s="21"/>
      <c r="Q127" t="s">
        <v>37</v>
      </c>
      <c r="R127">
        <f t="shared" si="78"/>
        <v>4.4200000000000003E-3</v>
      </c>
      <c r="S127">
        <f t="shared" si="79"/>
        <v>4.5389999999999996E-3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4.5199999999999997E-3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4.4399999999999995E-3</v>
      </c>
      <c r="G133">
        <f t="shared" si="83"/>
        <v>4.5760000000000002E-3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4.5399999999999998E-3</v>
      </c>
      <c r="O133" s="20"/>
      <c r="P133" s="21"/>
      <c r="Q133" t="s">
        <v>37</v>
      </c>
      <c r="R133">
        <f t="shared" si="86"/>
        <v>4.4600000000000004E-3</v>
      </c>
      <c r="S133">
        <f t="shared" si="87"/>
        <v>4.6110000000000005E-3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4.5599999999999998E-3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4.4149999999999997E-3</v>
      </c>
      <c r="G140">
        <f t="shared" si="91"/>
        <v>4.5292624999999989E-3</v>
      </c>
      <c r="H140">
        <f t="shared" si="92"/>
        <v>1018.6754109999999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4.514999999999999E-3</v>
      </c>
      <c r="M140">
        <f>AI25+AE25+AA25+W25</f>
        <v>81.762845999999996</v>
      </c>
      <c r="N140" s="24"/>
      <c r="O140" s="20"/>
      <c r="P140" s="21"/>
      <c r="Q140" t="s">
        <v>37</v>
      </c>
      <c r="R140">
        <f t="shared" si="96"/>
        <v>4.4299999999999999E-3</v>
      </c>
      <c r="S140">
        <f t="shared" si="97"/>
        <v>4.5570999999999997E-3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4.5299999999999993E-3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4.4600000000000004E-3</v>
      </c>
      <c r="G146">
        <f t="shared" si="101"/>
        <v>4.6087999999999997E-3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4.5599999999999998E-3</v>
      </c>
      <c r="N146" s="24"/>
      <c r="O146" s="20"/>
      <c r="P146" s="21"/>
      <c r="Q146" t="s">
        <v>37</v>
      </c>
      <c r="R146">
        <f t="shared" si="104"/>
        <v>4.4900000000000001E-3</v>
      </c>
      <c r="S146">
        <f t="shared" si="105"/>
        <v>4.6557000000000005E-3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4.5900000000000003E-3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2.5999999999999999E-3</v>
      </c>
      <c r="G153">
        <f t="shared" si="109"/>
        <v>4.1050000000000001E-3</v>
      </c>
      <c r="H153">
        <f t="shared" si="110"/>
        <v>588.61081100000001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3.705E-3</v>
      </c>
      <c r="M153">
        <f>I46+E46</f>
        <v>38.534892999999997</v>
      </c>
      <c r="P153" s="21"/>
      <c r="Q153" t="s">
        <v>37</v>
      </c>
      <c r="R153">
        <f t="shared" si="114"/>
        <v>2.5999999999999999E-3</v>
      </c>
      <c r="S153">
        <f t="shared" si="115"/>
        <v>4.1100000000000008E-3</v>
      </c>
      <c r="U153">
        <f t="shared" si="116"/>
        <v>1.311E-2</v>
      </c>
      <c r="V153">
        <f t="shared" si="117"/>
        <v>1.6389999999999998E-2</v>
      </c>
      <c r="X153">
        <f>0.1*F46+(1-0.1)*B46</f>
        <v>3.7100000000000002E-3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2.5999999999999999E-3</v>
      </c>
      <c r="G159">
        <f t="shared" si="119"/>
        <v>4.1200000000000004E-3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3.7200000000000002E-3</v>
      </c>
      <c r="P159" s="21"/>
      <c r="Q159" t="s">
        <v>37</v>
      </c>
      <c r="R159">
        <f t="shared" si="122"/>
        <v>2.5999999999999999E-3</v>
      </c>
      <c r="S159">
        <f t="shared" si="123"/>
        <v>4.13E-3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3.7299999999999998E-3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2.5999999999999999E-3</v>
      </c>
      <c r="G166">
        <f t="shared" si="127"/>
        <v>4.1097500000000006E-3</v>
      </c>
      <c r="H166">
        <f t="shared" si="128"/>
        <v>884.86468000000002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3.7097500000000008E-3</v>
      </c>
      <c r="M166">
        <f>M46+I46+E46</f>
        <v>56.962093999999993</v>
      </c>
      <c r="O166" s="20"/>
      <c r="P166" s="21"/>
      <c r="Q166" t="s">
        <v>37</v>
      </c>
      <c r="R166">
        <f t="shared" si="132"/>
        <v>2.6000000000000003E-3</v>
      </c>
      <c r="S166">
        <f t="shared" si="133"/>
        <v>4.1190000000000011E-3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3.7190000000000005E-3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2.5999999999999999E-3</v>
      </c>
      <c r="G172">
        <f t="shared" si="137"/>
        <v>4.1359999999999999E-3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3.7360000000000002E-3</v>
      </c>
      <c r="O172" s="20"/>
      <c r="P172" s="21"/>
      <c r="Q172" t="s">
        <v>37</v>
      </c>
      <c r="R172">
        <f t="shared" si="140"/>
        <v>2.5999999999999999E-3</v>
      </c>
      <c r="S172">
        <f t="shared" si="141"/>
        <v>4.1510000000000002E-3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3.7510000000000004E-3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2.5999999999999994E-3</v>
      </c>
      <c r="G179">
        <f t="shared" si="145"/>
        <v>4.1142625000000002E-3</v>
      </c>
      <c r="H179">
        <f t="shared" si="146"/>
        <v>1177.5999449999999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3.714275E-3</v>
      </c>
      <c r="M179">
        <f>Q46+M46+I46+E46</f>
        <v>76.333095999999998</v>
      </c>
      <c r="N179" s="24"/>
      <c r="O179" s="20"/>
      <c r="P179" s="21"/>
      <c r="Q179" t="s">
        <v>37</v>
      </c>
      <c r="R179">
        <f t="shared" si="150"/>
        <v>2.5999999999999999E-3</v>
      </c>
      <c r="S179">
        <f t="shared" si="151"/>
        <v>4.1270999999999999E-3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3.7272E-3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2.5999999999999999E-3</v>
      </c>
      <c r="G185">
        <f t="shared" si="155"/>
        <v>4.1487999999999994E-3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3.7496000000000001E-3</v>
      </c>
      <c r="N185" s="24"/>
      <c r="O185" s="20"/>
      <c r="P185" s="21"/>
      <c r="Q185" t="s">
        <v>37</v>
      </c>
      <c r="R185">
        <f t="shared" si="158"/>
        <v>2.5999999999999999E-3</v>
      </c>
      <c r="S185">
        <f t="shared" si="159"/>
        <v>4.1656999999999996E-3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3.7684000000000003E-3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3.405E-3</v>
      </c>
      <c r="H192">
        <f t="shared" si="164"/>
        <v>558.24514799999997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2.3999999999999998E-3</v>
      </c>
      <c r="M192">
        <f>AA46+W46</f>
        <v>39.222645</v>
      </c>
      <c r="P192" s="21"/>
      <c r="Q192" t="s">
        <v>37</v>
      </c>
      <c r="R192">
        <f t="shared" si="168"/>
        <v>1.1000000000000001E-3</v>
      </c>
      <c r="S192">
        <f t="shared" si="169"/>
        <v>3.4099999999999998E-3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2.4000000000000002E-3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3.4200000000000003E-3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2.3999999999999998E-3</v>
      </c>
      <c r="P198" s="21"/>
      <c r="Q198" t="s">
        <v>37</v>
      </c>
      <c r="R198">
        <f t="shared" si="176"/>
        <v>1.0999999999999998E-3</v>
      </c>
      <c r="S198">
        <f t="shared" si="177"/>
        <v>3.4299999999999999E-3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2.3999999999999998E-3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1.1002500000000001E-3</v>
      </c>
      <c r="G205">
        <f t="shared" si="181"/>
        <v>3.40975E-3</v>
      </c>
      <c r="H205">
        <f t="shared" si="182"/>
        <v>835.3577949999999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2.40025E-3</v>
      </c>
      <c r="M205">
        <f>AE46+AA46+W46</f>
        <v>58.617871999999998</v>
      </c>
      <c r="O205" s="20"/>
      <c r="P205" s="21"/>
      <c r="Q205" t="s">
        <v>37</v>
      </c>
      <c r="R205">
        <f t="shared" si="185"/>
        <v>1.1010000000000002E-3</v>
      </c>
      <c r="S205">
        <f t="shared" si="186"/>
        <v>3.4190000000000002E-3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2.4009999999999999E-3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1.1040000000000002E-3</v>
      </c>
      <c r="G211">
        <f t="shared" si="190"/>
        <v>3.4359999999999998E-3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2.4039999999999999E-3</v>
      </c>
      <c r="O211" s="20"/>
      <c r="P211" s="21"/>
      <c r="Q211" t="s">
        <v>37</v>
      </c>
      <c r="R211">
        <f t="shared" si="193"/>
        <v>1.1090000000000002E-3</v>
      </c>
      <c r="S211">
        <f t="shared" si="194"/>
        <v>3.4510000000000001E-3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2.4089999999999997E-3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1.1007249999999999E-3</v>
      </c>
      <c r="G218">
        <f t="shared" si="198"/>
        <v>3.4142749999999996E-3</v>
      </c>
      <c r="H218">
        <f t="shared" si="199"/>
        <v>1113.957782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2.4007374999999997E-3</v>
      </c>
      <c r="M218">
        <f>AI46+AE46+AA46+W46</f>
        <v>76.352414999999993</v>
      </c>
      <c r="N218" s="24"/>
      <c r="O218" s="20"/>
      <c r="P218" s="21"/>
      <c r="Q218" t="s">
        <v>37</v>
      </c>
      <c r="R218">
        <f t="shared" si="203"/>
        <v>1.1028000000000001E-3</v>
      </c>
      <c r="S218">
        <f t="shared" si="204"/>
        <v>3.4271999999999996E-3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2.4028999999999995E-3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1.1104000000000001E-3</v>
      </c>
      <c r="G224">
        <f t="shared" si="208"/>
        <v>3.4495999999999997E-3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2.4111999999999996E-3</v>
      </c>
      <c r="N224" s="24"/>
      <c r="O224" s="20"/>
      <c r="P224" s="21"/>
      <c r="Q224" t="s">
        <v>37</v>
      </c>
      <c r="R224">
        <f t="shared" si="211"/>
        <v>1.1216000000000002E-3</v>
      </c>
      <c r="S224">
        <f t="shared" si="212"/>
        <v>3.4684E-3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2.4242999999999999E-3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2.0049999999999998E-3</v>
      </c>
      <c r="H231">
        <f t="shared" si="217"/>
        <v>504.47753299999999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8.3799500000000002E-4</v>
      </c>
      <c r="M231">
        <f>I66+E66</f>
        <v>36.479418000000003</v>
      </c>
      <c r="P231" s="21"/>
      <c r="Q231" t="s">
        <v>37</v>
      </c>
      <c r="R231">
        <f t="shared" si="221"/>
        <v>4.0000000000000002E-4</v>
      </c>
      <c r="S231">
        <f t="shared" si="222"/>
        <v>2.0100000000000001E-3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7.9389E-4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2.0200000000000001E-3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7.0568000000000009E-4</v>
      </c>
      <c r="P237" s="21"/>
      <c r="Q237" t="s">
        <v>37</v>
      </c>
      <c r="R237">
        <f t="shared" si="229"/>
        <v>3.9999999999999996E-4</v>
      </c>
      <c r="S237">
        <f t="shared" si="230"/>
        <v>2.0299999999999997E-3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6.1746999999999995E-4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2.0100000000000001E-3</v>
      </c>
      <c r="H244">
        <f t="shared" si="235"/>
        <v>764.918814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7.9848425000000011E-4</v>
      </c>
      <c r="M244">
        <f>M66+I66+E66</f>
        <v>57.021157000000002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2.0200000000000001E-3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7.2405700000000006E-4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2.0400000000000001E-3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6.0276799999999995E-4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2.0600000000000002E-3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5.1823300000000011E-4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2.0149874999999999E-3</v>
      </c>
      <c r="H257">
        <f t="shared" si="253"/>
        <v>1013.115547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7.6322303750000001E-4</v>
      </c>
      <c r="M257">
        <f>Q66+M66+I66+E66</f>
        <v>80.456575000000001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2.0299000000000003E-3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6.6984329999999993E-4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2.0591999999999997E-3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5.5130239999999985E-4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2.0873000000000003E-3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5.0993110000000018E-4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52</v>
      </c>
      <c r="C9" s="16"/>
      <c r="D9" s="16"/>
      <c r="E9" s="16"/>
      <c r="F9" s="16" t="s">
        <v>53</v>
      </c>
      <c r="G9" s="16"/>
      <c r="H9" s="16"/>
      <c r="I9" s="16"/>
      <c r="J9" s="16" t="s">
        <v>54</v>
      </c>
      <c r="K9" s="16"/>
      <c r="L9" s="16"/>
      <c r="M9" s="16"/>
      <c r="N9" s="16" t="s">
        <v>55</v>
      </c>
      <c r="O9" s="16"/>
      <c r="P9" s="16"/>
      <c r="Q9" s="16"/>
      <c r="S9" s="22" t="s">
        <v>12</v>
      </c>
      <c r="T9" s="16" t="s">
        <v>52</v>
      </c>
      <c r="U9" s="16"/>
      <c r="V9" s="16"/>
      <c r="W9" s="16"/>
      <c r="X9" s="16" t="s">
        <v>53</v>
      </c>
      <c r="Y9" s="16"/>
      <c r="Z9" s="16"/>
      <c r="AA9" s="16"/>
      <c r="AB9" s="16" t="s">
        <v>54</v>
      </c>
      <c r="AC9" s="16"/>
      <c r="AD9" s="16"/>
      <c r="AE9" s="16"/>
      <c r="AF9" s="16" t="s">
        <v>55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4.5999999999999999E-3</v>
      </c>
      <c r="D13" s="10">
        <v>4.5999999999999999E-3</v>
      </c>
      <c r="E13" s="10">
        <v>19.97993</v>
      </c>
      <c r="F13" t="s">
        <v>22</v>
      </c>
      <c r="G13" s="10">
        <v>4.7000000000000002E-3</v>
      </c>
      <c r="H13" s="10">
        <v>4.7999999999999996E-3</v>
      </c>
      <c r="I13" s="10">
        <v>17.947825999999999</v>
      </c>
      <c r="J13" t="s">
        <v>22</v>
      </c>
      <c r="K13" s="10">
        <v>4.7999999999999996E-3</v>
      </c>
      <c r="L13" s="10">
        <v>4.8999999999999998E-3</v>
      </c>
      <c r="M13" s="10">
        <v>18.982817000000001</v>
      </c>
      <c r="N13" t="s">
        <v>22</v>
      </c>
      <c r="O13" s="10">
        <v>5.0000000000000001E-3</v>
      </c>
      <c r="P13" s="10">
        <v>5.0000000000000001E-3</v>
      </c>
      <c r="Q13" s="10">
        <v>19.090676999999999</v>
      </c>
      <c r="S13" s="22"/>
      <c r="T13" t="s">
        <v>22</v>
      </c>
      <c r="U13">
        <v>4.1999999999999997E-3</v>
      </c>
      <c r="V13">
        <v>4.4000000000000003E-3</v>
      </c>
      <c r="W13">
        <v>196.38216399999999</v>
      </c>
      <c r="X13" t="s">
        <v>22</v>
      </c>
      <c r="Y13">
        <v>4.3E-3</v>
      </c>
      <c r="Z13">
        <v>4.4999999999999997E-3</v>
      </c>
      <c r="AA13">
        <v>193.42659800000001</v>
      </c>
      <c r="AB13" t="s">
        <v>22</v>
      </c>
      <c r="AC13">
        <v>4.4999999999999997E-3</v>
      </c>
      <c r="AD13">
        <v>4.5999999999999999E-3</v>
      </c>
      <c r="AE13">
        <v>193.023561</v>
      </c>
      <c r="AF13" t="s">
        <v>22</v>
      </c>
      <c r="AG13">
        <v>4.5999999999999999E-3</v>
      </c>
      <c r="AH13">
        <v>4.7000000000000002E-3</v>
      </c>
      <c r="AI13">
        <v>193.53524400000001</v>
      </c>
    </row>
    <row r="16" spans="1:35" x14ac:dyDescent="0.25">
      <c r="A16" s="18" t="s">
        <v>23</v>
      </c>
      <c r="B16" s="16" t="s">
        <v>52</v>
      </c>
      <c r="C16" s="16"/>
      <c r="D16" s="16"/>
      <c r="E16" s="16"/>
      <c r="F16" s="16" t="s">
        <v>53</v>
      </c>
      <c r="G16" s="16"/>
      <c r="H16" s="16"/>
      <c r="I16" s="16"/>
      <c r="J16" s="16" t="s">
        <v>54</v>
      </c>
      <c r="K16" s="16"/>
      <c r="L16" s="16"/>
      <c r="M16" s="16"/>
      <c r="N16" s="16" t="s">
        <v>55</v>
      </c>
      <c r="O16" s="16"/>
      <c r="P16" s="16"/>
      <c r="Q16" s="16"/>
      <c r="S16" s="18" t="s">
        <v>23</v>
      </c>
      <c r="T16" s="16" t="s">
        <v>52</v>
      </c>
      <c r="U16" s="16"/>
      <c r="V16" s="16"/>
      <c r="W16" s="16"/>
      <c r="X16" s="16" t="s">
        <v>53</v>
      </c>
      <c r="Y16" s="16"/>
      <c r="Z16" s="16"/>
      <c r="AA16" s="16"/>
      <c r="AB16" s="16" t="s">
        <v>54</v>
      </c>
      <c r="AC16" s="16"/>
      <c r="AD16" s="16"/>
      <c r="AE16" s="16"/>
      <c r="AF16" s="16" t="s">
        <v>55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52</v>
      </c>
      <c r="C23" s="16"/>
      <c r="D23" s="16"/>
      <c r="E23" s="16"/>
      <c r="F23" s="16" t="s">
        <v>53</v>
      </c>
      <c r="G23" s="16"/>
      <c r="H23" s="16"/>
      <c r="I23" s="16"/>
      <c r="J23" s="16" t="s">
        <v>54</v>
      </c>
      <c r="K23" s="16"/>
      <c r="L23" s="16"/>
      <c r="M23" s="16"/>
      <c r="N23" s="16" t="s">
        <v>55</v>
      </c>
      <c r="O23" s="16"/>
      <c r="P23" s="16"/>
      <c r="Q23" s="16"/>
      <c r="S23" s="23" t="s">
        <v>24</v>
      </c>
      <c r="T23" s="16" t="s">
        <v>52</v>
      </c>
      <c r="U23" s="16"/>
      <c r="V23" s="16"/>
      <c r="W23" s="16"/>
      <c r="X23" s="16" t="s">
        <v>53</v>
      </c>
      <c r="Y23" s="16"/>
      <c r="Z23" s="16"/>
      <c r="AA23" s="16"/>
      <c r="AB23" s="16" t="s">
        <v>54</v>
      </c>
      <c r="AC23" s="16"/>
      <c r="AD23" s="16"/>
      <c r="AE23" s="16"/>
      <c r="AF23" s="16" t="s">
        <v>55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4.5999999999999999E-3</v>
      </c>
      <c r="C25" s="6"/>
      <c r="D25" s="6"/>
      <c r="E25">
        <v>19.536693</v>
      </c>
      <c r="F25">
        <v>4.7000000000000002E-3</v>
      </c>
      <c r="G25" s="6"/>
      <c r="H25" s="6"/>
      <c r="I25">
        <v>22.348064000000001</v>
      </c>
      <c r="J25" s="9">
        <v>4.7999999999999996E-3</v>
      </c>
      <c r="K25" s="6"/>
      <c r="L25" s="6"/>
      <c r="M25" s="8">
        <v>13.641218</v>
      </c>
      <c r="N25" s="6">
        <v>5.0000000000000001E-3</v>
      </c>
      <c r="O25" s="6"/>
      <c r="P25" s="6"/>
      <c r="Q25">
        <v>20.448581999999998</v>
      </c>
      <c r="S25" s="23"/>
      <c r="T25" s="6">
        <v>4.3E-3</v>
      </c>
      <c r="U25" s="6"/>
      <c r="V25" s="6"/>
      <c r="W25">
        <v>18.942215999999998</v>
      </c>
      <c r="X25" s="6">
        <v>4.4000000000000003E-3</v>
      </c>
      <c r="Y25" s="6"/>
      <c r="Z25" s="6"/>
      <c r="AA25">
        <v>20.087669000000002</v>
      </c>
      <c r="AB25" s="6">
        <v>4.4999999999999997E-3</v>
      </c>
      <c r="AC25" s="6"/>
      <c r="AD25" s="6"/>
      <c r="AE25">
        <v>17.763732999999998</v>
      </c>
      <c r="AF25" s="6">
        <v>4.5999999999999999E-3</v>
      </c>
      <c r="AG25" s="6"/>
      <c r="AH25" s="6"/>
      <c r="AI25">
        <v>18.390965999999999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52</v>
      </c>
      <c r="C30" s="16"/>
      <c r="D30" s="16"/>
      <c r="E30" s="16"/>
      <c r="F30" s="16" t="s">
        <v>53</v>
      </c>
      <c r="G30" s="16"/>
      <c r="H30" s="16"/>
      <c r="I30" s="16"/>
      <c r="J30" s="16" t="s">
        <v>54</v>
      </c>
      <c r="K30" s="16"/>
      <c r="L30" s="16"/>
      <c r="M30" s="16"/>
      <c r="N30" s="16" t="s">
        <v>55</v>
      </c>
      <c r="O30" s="16"/>
      <c r="P30" s="16"/>
      <c r="Q30" s="16"/>
      <c r="S30" s="22" t="s">
        <v>12</v>
      </c>
      <c r="T30" s="16" t="s">
        <v>52</v>
      </c>
      <c r="U30" s="16"/>
      <c r="V30" s="16"/>
      <c r="W30" s="16"/>
      <c r="X30" s="16" t="s">
        <v>53</v>
      </c>
      <c r="Y30" s="16"/>
      <c r="Z30" s="16"/>
      <c r="AA30" s="16"/>
      <c r="AB30" s="16" t="s">
        <v>54</v>
      </c>
      <c r="AC30" s="16"/>
      <c r="AD30" s="16"/>
      <c r="AE30" s="16"/>
      <c r="AF30" s="16" t="s">
        <v>55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2.5999999999999999E-3</v>
      </c>
      <c r="D34">
        <v>3.8999999999999998E-3</v>
      </c>
      <c r="E34">
        <v>193.016018</v>
      </c>
      <c r="F34" t="s">
        <v>22</v>
      </c>
      <c r="G34">
        <v>2.5999999999999999E-3</v>
      </c>
      <c r="H34">
        <v>4.0000000000000001E-3</v>
      </c>
      <c r="I34">
        <v>194.73286999999999</v>
      </c>
      <c r="J34" t="s">
        <v>22</v>
      </c>
      <c r="K34" s="8">
        <v>2.7000000000000001E-3</v>
      </c>
      <c r="L34" s="8">
        <v>4.1000000000000003E-3</v>
      </c>
      <c r="M34">
        <v>196.83652000000001</v>
      </c>
      <c r="N34" t="s">
        <v>22</v>
      </c>
      <c r="O34">
        <v>2.7000000000000001E-3</v>
      </c>
      <c r="P34">
        <v>4.1999999999999997E-3</v>
      </c>
      <c r="Q34">
        <v>194.133242</v>
      </c>
      <c r="S34" s="22"/>
      <c r="T34" t="s">
        <v>22</v>
      </c>
      <c r="U34">
        <v>1.1000000000000001E-3</v>
      </c>
      <c r="V34">
        <v>3.2000000000000002E-3</v>
      </c>
      <c r="W34">
        <v>186.553967</v>
      </c>
      <c r="X34" t="s">
        <v>22</v>
      </c>
      <c r="Y34">
        <v>1.1000000000000001E-3</v>
      </c>
      <c r="Z34">
        <v>3.3E-3</v>
      </c>
      <c r="AA34">
        <v>184.36957200000001</v>
      </c>
      <c r="AB34" t="s">
        <v>22</v>
      </c>
      <c r="AC34">
        <v>1.1000000000000001E-3</v>
      </c>
      <c r="AD34">
        <v>3.3999999999999998E-3</v>
      </c>
      <c r="AE34">
        <v>182.077744</v>
      </c>
      <c r="AF34" t="s">
        <v>22</v>
      </c>
      <c r="AG34">
        <v>1.1999999999999999E-3</v>
      </c>
      <c r="AH34">
        <v>3.5000000000000001E-3</v>
      </c>
      <c r="AI34">
        <v>186.94700399999999</v>
      </c>
    </row>
    <row r="37" spans="1:35" x14ac:dyDescent="0.25">
      <c r="A37" s="18" t="s">
        <v>23</v>
      </c>
      <c r="B37" s="16" t="s">
        <v>52</v>
      </c>
      <c r="C37" s="16"/>
      <c r="D37" s="16"/>
      <c r="E37" s="16"/>
      <c r="F37" s="16" t="s">
        <v>53</v>
      </c>
      <c r="G37" s="16"/>
      <c r="H37" s="16"/>
      <c r="I37" s="16"/>
      <c r="J37" s="16" t="s">
        <v>54</v>
      </c>
      <c r="K37" s="16"/>
      <c r="L37" s="16"/>
      <c r="M37" s="16"/>
      <c r="N37" s="16" t="s">
        <v>55</v>
      </c>
      <c r="O37" s="16"/>
      <c r="P37" s="16"/>
      <c r="Q37" s="16"/>
      <c r="S37" s="18" t="s">
        <v>23</v>
      </c>
      <c r="T37" s="16" t="s">
        <v>52</v>
      </c>
      <c r="U37" s="16"/>
      <c r="V37" s="16"/>
      <c r="W37" s="16"/>
      <c r="X37" s="16" t="s">
        <v>53</v>
      </c>
      <c r="Y37" s="16"/>
      <c r="Z37" s="16"/>
      <c r="AA37" s="16"/>
      <c r="AB37" s="16" t="s">
        <v>54</v>
      </c>
      <c r="AC37" s="16"/>
      <c r="AD37" s="16"/>
      <c r="AE37" s="16"/>
      <c r="AF37" s="16" t="s">
        <v>55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52</v>
      </c>
      <c r="C44" s="16"/>
      <c r="D44" s="16"/>
      <c r="E44" s="16"/>
      <c r="F44" s="16" t="s">
        <v>53</v>
      </c>
      <c r="G44" s="16"/>
      <c r="H44" s="16"/>
      <c r="I44" s="16"/>
      <c r="J44" s="16" t="s">
        <v>54</v>
      </c>
      <c r="K44" s="16"/>
      <c r="L44" s="16"/>
      <c r="M44" s="16"/>
      <c r="N44" s="16" t="s">
        <v>55</v>
      </c>
      <c r="O44" s="16"/>
      <c r="P44" s="16"/>
      <c r="Q44" s="16"/>
      <c r="S44" s="23" t="s">
        <v>24</v>
      </c>
      <c r="T44" s="16" t="s">
        <v>52</v>
      </c>
      <c r="U44" s="16"/>
      <c r="V44" s="16"/>
      <c r="W44" s="16"/>
      <c r="X44" s="16" t="s">
        <v>53</v>
      </c>
      <c r="Y44" s="16"/>
      <c r="Z44" s="16"/>
      <c r="AA44" s="16"/>
      <c r="AB44" s="16" t="s">
        <v>54</v>
      </c>
      <c r="AC44" s="16"/>
      <c r="AD44" s="16"/>
      <c r="AE44" s="16"/>
      <c r="AF44" s="16" t="s">
        <v>55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3.5000000000000001E-3</v>
      </c>
      <c r="C46" s="6"/>
      <c r="D46" s="6"/>
      <c r="E46">
        <v>15.607478</v>
      </c>
      <c r="F46" s="6">
        <v>3.5999999999999999E-3</v>
      </c>
      <c r="G46" s="6"/>
      <c r="H46" s="6"/>
      <c r="I46">
        <v>18.390492999999999</v>
      </c>
      <c r="J46" s="6">
        <v>3.7000000000000002E-3</v>
      </c>
      <c r="K46" s="6"/>
      <c r="L46" s="6"/>
      <c r="M46">
        <v>19.673403</v>
      </c>
      <c r="N46" s="6">
        <v>3.8E-3</v>
      </c>
      <c r="O46" s="6"/>
      <c r="P46" s="6"/>
      <c r="Q46">
        <v>17.229018</v>
      </c>
      <c r="S46" s="23"/>
      <c r="T46" s="6">
        <v>2.3E-3</v>
      </c>
      <c r="U46" s="6"/>
      <c r="V46" s="6"/>
      <c r="W46">
        <v>19.753382999999999</v>
      </c>
      <c r="X46" s="6">
        <v>2.3999999999999998E-3</v>
      </c>
      <c r="Y46" s="6"/>
      <c r="Z46" s="6"/>
      <c r="AA46">
        <v>20.305689000000001</v>
      </c>
      <c r="AB46" s="6">
        <v>2.3999999999999998E-3</v>
      </c>
      <c r="AC46" s="6"/>
      <c r="AD46" s="6"/>
      <c r="AE46">
        <v>22.112597999999998</v>
      </c>
      <c r="AF46" s="6">
        <v>2.5000000000000001E-3</v>
      </c>
      <c r="AG46" s="6"/>
      <c r="AH46" s="6"/>
      <c r="AI46">
        <v>19.734819999999999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52</v>
      </c>
      <c r="C50" s="16"/>
      <c r="D50" s="16"/>
      <c r="E50" s="16"/>
      <c r="F50" s="16" t="s">
        <v>53</v>
      </c>
      <c r="G50" s="16"/>
      <c r="H50" s="16"/>
      <c r="I50" s="16"/>
      <c r="J50" s="16" t="s">
        <v>54</v>
      </c>
      <c r="K50" s="16"/>
      <c r="L50" s="16"/>
      <c r="M50" s="16"/>
      <c r="N50" s="16" t="s">
        <v>55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2E-3</v>
      </c>
      <c r="E54">
        <v>166.05226400000001</v>
      </c>
      <c r="F54" t="s">
        <v>22</v>
      </c>
      <c r="G54">
        <v>4.0000000000000002E-4</v>
      </c>
      <c r="H54">
        <v>2E-3</v>
      </c>
      <c r="I54">
        <v>165.60118600000001</v>
      </c>
      <c r="J54" t="s">
        <v>22</v>
      </c>
      <c r="K54">
        <v>4.0000000000000002E-4</v>
      </c>
      <c r="L54">
        <v>2.0999999999999999E-3</v>
      </c>
      <c r="M54">
        <v>165.37808000000001</v>
      </c>
      <c r="N54" t="s">
        <v>22</v>
      </c>
      <c r="O54">
        <v>4.0000000000000002E-4</v>
      </c>
      <c r="P54">
        <v>2.0999999999999999E-3</v>
      </c>
      <c r="Q54">
        <v>166.572598</v>
      </c>
    </row>
    <row r="57" spans="1:17" x14ac:dyDescent="0.25">
      <c r="A57" s="18" t="s">
        <v>23</v>
      </c>
      <c r="B57" s="16" t="s">
        <v>52</v>
      </c>
      <c r="C57" s="16"/>
      <c r="D57" s="16"/>
      <c r="E57" s="16"/>
      <c r="F57" s="16" t="s">
        <v>53</v>
      </c>
      <c r="G57" s="16"/>
      <c r="H57" s="16"/>
      <c r="I57" s="16"/>
      <c r="J57" s="16" t="s">
        <v>54</v>
      </c>
      <c r="K57" s="16"/>
      <c r="L57" s="16"/>
      <c r="M57" s="16"/>
      <c r="N57" s="16" t="s">
        <v>55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52</v>
      </c>
      <c r="C64" s="16"/>
      <c r="D64" s="16"/>
      <c r="E64" s="16"/>
      <c r="F64" s="16" t="s">
        <v>53</v>
      </c>
      <c r="G64" s="16"/>
      <c r="H64" s="16"/>
      <c r="I64" s="16"/>
      <c r="J64" s="16" t="s">
        <v>54</v>
      </c>
      <c r="K64" s="16"/>
      <c r="L64" s="16"/>
      <c r="M64" s="16"/>
      <c r="N64" s="16" t="s">
        <v>55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8.966E-4</v>
      </c>
      <c r="C66" s="6"/>
      <c r="D66" s="6"/>
      <c r="E66">
        <v>24.34064</v>
      </c>
      <c r="F66" s="3">
        <v>9.1299999999999997E-4</v>
      </c>
      <c r="G66" s="6"/>
      <c r="H66" s="6"/>
      <c r="I66">
        <v>19.270412</v>
      </c>
      <c r="J66" s="3">
        <v>9.4959999999999999E-4</v>
      </c>
      <c r="K66" s="6"/>
      <c r="L66" s="6"/>
      <c r="M66">
        <v>20.591244</v>
      </c>
      <c r="N66" s="3">
        <v>9.8010000000000002E-4</v>
      </c>
      <c r="O66" s="6"/>
      <c r="P66" s="6"/>
      <c r="Q66">
        <v>19.434104000000001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4.6049999999999997E-3</v>
      </c>
      <c r="G75">
        <f t="shared" si="1"/>
        <v>4.6099999999999995E-3</v>
      </c>
      <c r="H75">
        <f t="shared" si="2"/>
        <v>37.927756000000002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4.6049999999999997E-3</v>
      </c>
      <c r="M75">
        <f>I25+E25</f>
        <v>41.884757</v>
      </c>
      <c r="P75" s="21"/>
      <c r="Q75" t="s">
        <v>37</v>
      </c>
      <c r="R75">
        <f t="shared" si="6"/>
        <v>4.6100000000000004E-3</v>
      </c>
      <c r="S75">
        <f t="shared" si="7"/>
        <v>4.6200000000000008E-3</v>
      </c>
      <c r="U75">
        <f t="shared" si="8"/>
        <v>1.9819999999999997E-2</v>
      </c>
      <c r="V75">
        <f t="shared" si="9"/>
        <v>1.9910000000000004E-2</v>
      </c>
      <c r="X75">
        <f>0.1*F25+(1-0.1)*B25</f>
        <v>4.6100000000000004E-3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4.62E-3</v>
      </c>
      <c r="G81">
        <f t="shared" si="11"/>
        <v>4.64E-3</v>
      </c>
      <c r="I81">
        <f t="shared" si="12"/>
        <v>1.9939999999999999E-2</v>
      </c>
      <c r="J81">
        <f t="shared" si="13"/>
        <v>2.0020000000000003E-2</v>
      </c>
      <c r="L81">
        <f>0.2*F25+(1-0.2)*B25</f>
        <v>4.62E-3</v>
      </c>
      <c r="P81" s="21"/>
      <c r="Q81" t="s">
        <v>37</v>
      </c>
      <c r="R81">
        <f t="shared" si="14"/>
        <v>4.6299999999999996E-3</v>
      </c>
      <c r="S81">
        <f t="shared" si="15"/>
        <v>4.6599999999999992E-3</v>
      </c>
      <c r="U81">
        <f t="shared" si="16"/>
        <v>2.0059999999999998E-2</v>
      </c>
      <c r="V81">
        <f t="shared" si="17"/>
        <v>2.0130000000000002E-2</v>
      </c>
      <c r="X81">
        <f>0.3*F25+(1-0.3)*B25</f>
        <v>4.6299999999999996E-3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4.6100000000000004E-3</v>
      </c>
      <c r="G88">
        <f t="shared" si="19"/>
        <v>4.6197500000000006E-3</v>
      </c>
      <c r="H88">
        <f t="shared" si="20"/>
        <v>56.910572999999999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4.6100000000000004E-3</v>
      </c>
      <c r="M88">
        <f>M25+I25+E25</f>
        <v>55.525975000000003</v>
      </c>
      <c r="O88" s="20"/>
      <c r="P88" s="21"/>
      <c r="Q88" t="s">
        <v>37</v>
      </c>
      <c r="R88">
        <f t="shared" si="24"/>
        <v>4.62E-3</v>
      </c>
      <c r="S88">
        <f t="shared" si="25"/>
        <v>4.6389999999999999E-3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4.62E-3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4.64E-3</v>
      </c>
      <c r="G94">
        <f t="shared" si="29"/>
        <v>4.6759999999999996E-3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4.64E-3</v>
      </c>
      <c r="O94" s="20"/>
      <c r="P94" s="21"/>
      <c r="Q94" t="s">
        <v>37</v>
      </c>
      <c r="R94">
        <f t="shared" si="32"/>
        <v>4.6600000000000009E-3</v>
      </c>
      <c r="S94">
        <f t="shared" si="33"/>
        <v>4.7109999999999999E-3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4.6600000000000009E-3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4.6150124999999988E-3</v>
      </c>
      <c r="G101">
        <f t="shared" si="37"/>
        <v>4.6292624999999992E-3</v>
      </c>
      <c r="H101">
        <f t="shared" si="38"/>
        <v>76.001249999999999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4.6150124999999988E-3</v>
      </c>
      <c r="M101">
        <f>Q25+M25+I25+E25</f>
        <v>75.974557000000004</v>
      </c>
      <c r="N101" s="24"/>
      <c r="O101" s="20"/>
      <c r="P101" s="21"/>
      <c r="Q101" t="s">
        <v>37</v>
      </c>
      <c r="R101">
        <f t="shared" si="42"/>
        <v>4.6300999999999998E-3</v>
      </c>
      <c r="S101">
        <f t="shared" si="43"/>
        <v>4.6571E-3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4.6300999999999998E-3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4.6607999999999997E-3</v>
      </c>
      <c r="G107">
        <f t="shared" si="47"/>
        <v>4.7087999999999991E-3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4.6607999999999997E-3</v>
      </c>
      <c r="N107" s="24"/>
      <c r="O107" s="20"/>
      <c r="P107" s="21"/>
      <c r="Q107" t="s">
        <v>37</v>
      </c>
      <c r="R107">
        <f t="shared" si="50"/>
        <v>4.6927000000000002E-3</v>
      </c>
      <c r="S107">
        <f t="shared" si="51"/>
        <v>4.7557000000000007E-3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4.6927000000000002E-3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4.2049999999999995E-3</v>
      </c>
      <c r="G114">
        <f t="shared" si="55"/>
        <v>4.4050000000000001E-3</v>
      </c>
      <c r="H114">
        <f t="shared" si="56"/>
        <v>389.808762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4.3049999999999998E-3</v>
      </c>
      <c r="M114">
        <f>AA25+W25</f>
        <v>39.029885</v>
      </c>
      <c r="P114" s="21"/>
      <c r="Q114" t="s">
        <v>37</v>
      </c>
      <c r="R114">
        <f t="shared" si="60"/>
        <v>4.2100000000000002E-3</v>
      </c>
      <c r="S114">
        <f t="shared" si="61"/>
        <v>4.4099999999999999E-3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4.3100000000000005E-3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4.2199999999999998E-3</v>
      </c>
      <c r="G120">
        <f t="shared" si="65"/>
        <v>4.4200000000000003E-3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4.3200000000000009E-3</v>
      </c>
      <c r="P120" s="21"/>
      <c r="Q120" t="s">
        <v>37</v>
      </c>
      <c r="R120">
        <f t="shared" si="68"/>
        <v>4.2299999999999994E-3</v>
      </c>
      <c r="S120">
        <f t="shared" si="69"/>
        <v>4.4299999999999999E-3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4.3299999999999996E-3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4.2102500000000005E-3</v>
      </c>
      <c r="G127">
        <f t="shared" si="73"/>
        <v>4.4100000000000007E-3</v>
      </c>
      <c r="H127">
        <f t="shared" si="74"/>
        <v>582.83232299999997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4.3100000000000005E-3</v>
      </c>
      <c r="M127">
        <f>AE25+AA25+W25</f>
        <v>56.793617999999995</v>
      </c>
      <c r="O127" s="20"/>
      <c r="P127" s="21"/>
      <c r="Q127" t="s">
        <v>37</v>
      </c>
      <c r="R127">
        <f t="shared" si="78"/>
        <v>4.2209999999999999E-3</v>
      </c>
      <c r="S127">
        <f t="shared" si="79"/>
        <v>4.4200000000000003E-3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4.3200000000000009E-3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4.2439999999999995E-3</v>
      </c>
      <c r="G133">
        <f t="shared" si="83"/>
        <v>4.4399999999999995E-3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4.3400000000000001E-3</v>
      </c>
      <c r="O133" s="20"/>
      <c r="P133" s="21"/>
      <c r="Q133" t="s">
        <v>37</v>
      </c>
      <c r="R133">
        <f t="shared" si="86"/>
        <v>4.2690000000000002E-3</v>
      </c>
      <c r="S133">
        <f t="shared" si="87"/>
        <v>4.4600000000000004E-3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4.3600000000000002E-3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4.2157249999999992E-3</v>
      </c>
      <c r="G140">
        <f t="shared" si="91"/>
        <v>4.4149999999999997E-3</v>
      </c>
      <c r="H140">
        <f t="shared" si="92"/>
        <v>776.36756700000001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4.3149999999999994E-3</v>
      </c>
      <c r="M140">
        <f>AI25+AE25+AA25+W25</f>
        <v>75.184584000000001</v>
      </c>
      <c r="N140" s="24"/>
      <c r="O140" s="20"/>
      <c r="P140" s="21"/>
      <c r="Q140" t="s">
        <v>37</v>
      </c>
      <c r="R140">
        <f t="shared" si="96"/>
        <v>4.2327999999999992E-3</v>
      </c>
      <c r="S140">
        <f t="shared" si="97"/>
        <v>4.4299999999999999E-3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4.3299999999999996E-3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4.2703999999999988E-3</v>
      </c>
      <c r="G146">
        <f t="shared" si="101"/>
        <v>4.4600000000000004E-3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4.3599999999999993E-3</v>
      </c>
      <c r="N146" s="24"/>
      <c r="O146" s="20"/>
      <c r="P146" s="21"/>
      <c r="Q146" t="s">
        <v>37</v>
      </c>
      <c r="R146">
        <f t="shared" si="104"/>
        <v>4.3116000000000005E-3</v>
      </c>
      <c r="S146">
        <f t="shared" si="105"/>
        <v>4.4900000000000001E-3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4.3899999999999998E-3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2.5999999999999999E-3</v>
      </c>
      <c r="G153">
        <f t="shared" si="109"/>
        <v>3.9049999999999996E-3</v>
      </c>
      <c r="H153">
        <f t="shared" si="110"/>
        <v>387.74888799999997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3.5049999999999999E-3</v>
      </c>
      <c r="M153">
        <f>I46+E46</f>
        <v>33.997971</v>
      </c>
      <c r="P153" s="21"/>
      <c r="Q153" t="s">
        <v>37</v>
      </c>
      <c r="R153">
        <f t="shared" si="114"/>
        <v>2.5999999999999999E-3</v>
      </c>
      <c r="S153">
        <f t="shared" si="115"/>
        <v>3.9100000000000003E-3</v>
      </c>
      <c r="U153">
        <f t="shared" si="116"/>
        <v>1.311E-2</v>
      </c>
      <c r="V153">
        <f t="shared" si="117"/>
        <v>1.6389999999999998E-2</v>
      </c>
      <c r="X153">
        <f>0.1*F46+(1-0.1)*B46</f>
        <v>3.5100000000000001E-3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2.5999999999999999E-3</v>
      </c>
      <c r="G159">
        <f t="shared" si="119"/>
        <v>3.9199999999999999E-3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3.5200000000000006E-3</v>
      </c>
      <c r="P159" s="21"/>
      <c r="Q159" t="s">
        <v>37</v>
      </c>
      <c r="R159">
        <f t="shared" si="122"/>
        <v>2.5999999999999999E-3</v>
      </c>
      <c r="S159">
        <f t="shared" si="123"/>
        <v>3.9299999999999995E-3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3.5300000000000002E-3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2.6002500000000001E-3</v>
      </c>
      <c r="G166">
        <f t="shared" si="127"/>
        <v>3.9100000000000003E-3</v>
      </c>
      <c r="H166">
        <f t="shared" si="128"/>
        <v>584.58540800000003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3.5100000000000005E-3</v>
      </c>
      <c r="M166">
        <f>M46+I46+E46</f>
        <v>53.671374</v>
      </c>
      <c r="O166" s="20"/>
      <c r="P166" s="21"/>
      <c r="Q166" t="s">
        <v>37</v>
      </c>
      <c r="R166">
        <f t="shared" si="132"/>
        <v>2.601E-3</v>
      </c>
      <c r="S166">
        <f t="shared" si="133"/>
        <v>3.9199999999999999E-3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3.5200000000000006E-3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2.604E-3</v>
      </c>
      <c r="G172">
        <f t="shared" si="137"/>
        <v>3.9399999999999999E-3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3.5400000000000002E-3</v>
      </c>
      <c r="O172" s="20"/>
      <c r="P172" s="21"/>
      <c r="Q172" t="s">
        <v>37</v>
      </c>
      <c r="R172">
        <f t="shared" si="140"/>
        <v>2.6090000000000002E-3</v>
      </c>
      <c r="S172">
        <f t="shared" si="141"/>
        <v>3.96E-3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3.5600000000000002E-3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2.6007249999999995E-3</v>
      </c>
      <c r="G179">
        <f t="shared" si="145"/>
        <v>3.9149999999999992E-3</v>
      </c>
      <c r="H179">
        <f t="shared" si="146"/>
        <v>778.71865000000003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3.5149999999999995E-3</v>
      </c>
      <c r="M179">
        <f>Q46+M46+I46+E46</f>
        <v>70.900392000000011</v>
      </c>
      <c r="N179" s="24"/>
      <c r="O179" s="20"/>
      <c r="P179" s="21"/>
      <c r="Q179" t="s">
        <v>37</v>
      </c>
      <c r="R179">
        <f t="shared" si="150"/>
        <v>2.6027999999999997E-3</v>
      </c>
      <c r="S179">
        <f t="shared" si="151"/>
        <v>3.9299999999999995E-3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3.5299999999999997E-3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2.6103999999999997E-3</v>
      </c>
      <c r="G185">
        <f t="shared" si="155"/>
        <v>3.96E-3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3.5599999999999998E-3</v>
      </c>
      <c r="N185" s="24"/>
      <c r="O185" s="20"/>
      <c r="P185" s="21"/>
      <c r="Q185" t="s">
        <v>37</v>
      </c>
      <c r="R185">
        <f t="shared" si="158"/>
        <v>2.6216E-3</v>
      </c>
      <c r="S185">
        <f t="shared" si="159"/>
        <v>3.9900000000000005E-3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3.5900000000000003E-3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3.2050000000000004E-3</v>
      </c>
      <c r="H192">
        <f t="shared" si="164"/>
        <v>370.92353900000001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2.3049999999999998E-3</v>
      </c>
      <c r="M192">
        <f>AA46+W46</f>
        <v>40.059072</v>
      </c>
      <c r="P192" s="21"/>
      <c r="Q192" t="s">
        <v>37</v>
      </c>
      <c r="R192">
        <f t="shared" si="168"/>
        <v>1.1000000000000001E-3</v>
      </c>
      <c r="S192">
        <f t="shared" si="169"/>
        <v>3.2100000000000002E-3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2.3100000000000004E-3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3.2200000000000002E-3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2.32E-3</v>
      </c>
      <c r="P198" s="21"/>
      <c r="Q198" t="s">
        <v>37</v>
      </c>
      <c r="R198">
        <f t="shared" si="176"/>
        <v>1.0999999999999998E-3</v>
      </c>
      <c r="S198">
        <f t="shared" si="177"/>
        <v>3.2299999999999998E-3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2.3299999999999996E-3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1.1000000000000001E-3</v>
      </c>
      <c r="G205">
        <f t="shared" si="181"/>
        <v>3.2100000000000002E-3</v>
      </c>
      <c r="H205">
        <f t="shared" si="182"/>
        <v>553.00128300000006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2.3097500000000002E-3</v>
      </c>
      <c r="M205">
        <f>AE46+AA46+W46</f>
        <v>62.171669999999999</v>
      </c>
      <c r="O205" s="20"/>
      <c r="P205" s="21"/>
      <c r="Q205" t="s">
        <v>37</v>
      </c>
      <c r="R205">
        <f t="shared" si="186"/>
        <v>1.1000000000000001E-3</v>
      </c>
      <c r="S205">
        <f t="shared" si="187"/>
        <v>3.2200000000000002E-3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2.3189999999999999E-3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1.1000000000000001E-3</v>
      </c>
      <c r="G211">
        <f t="shared" si="191"/>
        <v>3.2400000000000003E-3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2.336E-3</v>
      </c>
      <c r="O211" s="20"/>
      <c r="P211" s="21"/>
      <c r="Q211" t="s">
        <v>37</v>
      </c>
      <c r="R211">
        <f t="shared" si="194"/>
        <v>1.1000000000000001E-3</v>
      </c>
      <c r="S211">
        <f t="shared" si="195"/>
        <v>3.2600000000000003E-3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2.3509999999999998E-3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1.1000125E-3</v>
      </c>
      <c r="G218">
        <f t="shared" si="199"/>
        <v>3.2149999999999995E-3</v>
      </c>
      <c r="H218">
        <f t="shared" si="200"/>
        <v>739.94828699999994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2.3142749999999993E-3</v>
      </c>
      <c r="M218">
        <f>AI46+AE46+AA46+W46</f>
        <v>81.906489999999991</v>
      </c>
      <c r="N218" s="24"/>
      <c r="O218" s="20"/>
      <c r="P218" s="21"/>
      <c r="Q218" t="s">
        <v>37</v>
      </c>
      <c r="R218">
        <f t="shared" si="204"/>
        <v>1.1001000000000001E-3</v>
      </c>
      <c r="S218">
        <f t="shared" si="205"/>
        <v>3.2300000000000002E-3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2.3271999999999998E-3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1.1007999999999999E-3</v>
      </c>
      <c r="G224">
        <f t="shared" si="209"/>
        <v>3.2599999999999999E-3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2.3495999999999999E-3</v>
      </c>
      <c r="N224" s="24"/>
      <c r="O224" s="20"/>
      <c r="P224" s="21"/>
      <c r="Q224" t="s">
        <v>37</v>
      </c>
      <c r="R224">
        <f t="shared" si="212"/>
        <v>1.1027000000000003E-3</v>
      </c>
      <c r="S224">
        <f t="shared" si="213"/>
        <v>3.2900000000000004E-3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2.3684000000000001E-3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2E-3</v>
      </c>
      <c r="H231">
        <f t="shared" si="218"/>
        <v>331.65345000000002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8.5176999999999996E-4</v>
      </c>
      <c r="M231">
        <f>I66+E66</f>
        <v>43.611052000000001</v>
      </c>
      <c r="P231" s="21"/>
      <c r="Q231" t="s">
        <v>37</v>
      </c>
      <c r="R231">
        <f t="shared" si="222"/>
        <v>4.0000000000000002E-4</v>
      </c>
      <c r="S231">
        <f t="shared" si="223"/>
        <v>2E-3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8.0694000000000002E-4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2E-3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7.1728000000000004E-4</v>
      </c>
      <c r="P237" s="21"/>
      <c r="Q237" t="s">
        <v>37</v>
      </c>
      <c r="R237">
        <f t="shared" si="230"/>
        <v>3.9999999999999996E-4</v>
      </c>
      <c r="S237">
        <f t="shared" si="231"/>
        <v>2E-3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6.2761999999999996E-4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2.0002500000000003E-3</v>
      </c>
      <c r="H244">
        <f t="shared" si="236"/>
        <v>497.03153000000009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8.115555E-4</v>
      </c>
      <c r="M244">
        <f>M66+I66+E66</f>
        <v>64.20229599999999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2.0010000000000002E-3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7.3574200000000006E-4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2.0040000000000001E-3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6.1180799999999993E-4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2.0090000000000004E-3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5.2479800000000015E-4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2.0007250000000001E-3</v>
      </c>
      <c r="H257">
        <f t="shared" si="254"/>
        <v>663.60412800000006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7.7561083749999994E-4</v>
      </c>
      <c r="M257">
        <f>Q66+M66+I66+E66</f>
        <v>83.636400000000009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2.0027999999999999E-3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6.8024069999999984E-4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2.0103999999999999E-3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5.5806159999999987E-4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2.0216000000000001E-3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5.1347090000000012E-4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52</v>
      </c>
      <c r="C9" s="16"/>
      <c r="D9" s="16"/>
      <c r="E9" s="16"/>
      <c r="F9" s="16" t="s">
        <v>53</v>
      </c>
      <c r="G9" s="16"/>
      <c r="H9" s="16"/>
      <c r="I9" s="16"/>
      <c r="J9" s="16" t="s">
        <v>54</v>
      </c>
      <c r="K9" s="16"/>
      <c r="L9" s="16"/>
      <c r="M9" s="16"/>
      <c r="N9" s="16" t="s">
        <v>55</v>
      </c>
      <c r="O9" s="16"/>
      <c r="P9" s="16"/>
      <c r="Q9" s="16"/>
      <c r="S9" s="22" t="s">
        <v>12</v>
      </c>
      <c r="T9" s="16" t="s">
        <v>52</v>
      </c>
      <c r="U9" s="16"/>
      <c r="V9" s="16"/>
      <c r="W9" s="16"/>
      <c r="X9" s="16" t="s">
        <v>53</v>
      </c>
      <c r="Y9" s="16"/>
      <c r="Z9" s="16"/>
      <c r="AA9" s="16"/>
      <c r="AB9" s="16" t="s">
        <v>54</v>
      </c>
      <c r="AC9" s="16"/>
      <c r="AD9" s="16"/>
      <c r="AE9" s="16"/>
      <c r="AF9" s="16" t="s">
        <v>55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4.3E-3</v>
      </c>
      <c r="D13" s="10">
        <v>4.3E-3</v>
      </c>
      <c r="E13" s="10">
        <v>11.786440000000001</v>
      </c>
      <c r="F13" t="s">
        <v>22</v>
      </c>
      <c r="G13" s="10">
        <v>4.4000000000000003E-3</v>
      </c>
      <c r="H13" s="10">
        <v>4.4000000000000003E-3</v>
      </c>
      <c r="I13" s="10">
        <v>12.643627</v>
      </c>
      <c r="J13" t="s">
        <v>22</v>
      </c>
      <c r="K13" s="10">
        <v>4.4999999999999997E-3</v>
      </c>
      <c r="L13" s="10">
        <v>4.5999999999999999E-3</v>
      </c>
      <c r="M13" s="10">
        <v>13.128031999999999</v>
      </c>
      <c r="N13" t="s">
        <v>22</v>
      </c>
      <c r="O13" s="10">
        <v>4.5999999999999999E-3</v>
      </c>
      <c r="P13" s="10">
        <v>4.7000000000000002E-3</v>
      </c>
      <c r="Q13" s="10">
        <v>12.247201</v>
      </c>
      <c r="S13" s="22"/>
      <c r="T13" t="s">
        <v>22</v>
      </c>
      <c r="U13">
        <v>4.0000000000000001E-3</v>
      </c>
      <c r="V13">
        <v>4.1000000000000003E-3</v>
      </c>
      <c r="W13">
        <v>132.87535700000001</v>
      </c>
      <c r="X13" t="s">
        <v>22</v>
      </c>
      <c r="Y13">
        <v>4.1000000000000003E-3</v>
      </c>
      <c r="Z13">
        <v>4.1999999999999997E-3</v>
      </c>
      <c r="AA13">
        <v>134.10157599999999</v>
      </c>
      <c r="AB13" t="s">
        <v>22</v>
      </c>
      <c r="AC13">
        <v>4.1999999999999997E-3</v>
      </c>
      <c r="AD13">
        <v>4.3E-3</v>
      </c>
      <c r="AE13">
        <v>133.30860699999999</v>
      </c>
      <c r="AF13" t="s">
        <v>22</v>
      </c>
      <c r="AG13">
        <v>4.3E-3</v>
      </c>
      <c r="AH13">
        <v>4.4000000000000003E-3</v>
      </c>
      <c r="AI13">
        <v>132.26657399999999</v>
      </c>
    </row>
    <row r="16" spans="1:35" x14ac:dyDescent="0.25">
      <c r="A16" s="18" t="s">
        <v>23</v>
      </c>
      <c r="B16" s="16" t="s">
        <v>52</v>
      </c>
      <c r="C16" s="16"/>
      <c r="D16" s="16"/>
      <c r="E16" s="16"/>
      <c r="F16" s="16" t="s">
        <v>53</v>
      </c>
      <c r="G16" s="16"/>
      <c r="H16" s="16"/>
      <c r="I16" s="16"/>
      <c r="J16" s="16" t="s">
        <v>54</v>
      </c>
      <c r="K16" s="16"/>
      <c r="L16" s="16"/>
      <c r="M16" s="16"/>
      <c r="N16" s="16" t="s">
        <v>55</v>
      </c>
      <c r="O16" s="16"/>
      <c r="P16" s="16"/>
      <c r="Q16" s="16"/>
      <c r="S16" s="18" t="s">
        <v>23</v>
      </c>
      <c r="T16" s="16" t="s">
        <v>52</v>
      </c>
      <c r="U16" s="16"/>
      <c r="V16" s="16"/>
      <c r="W16" s="16"/>
      <c r="X16" s="16" t="s">
        <v>53</v>
      </c>
      <c r="Y16" s="16"/>
      <c r="Z16" s="16"/>
      <c r="AA16" s="16"/>
      <c r="AB16" s="16" t="s">
        <v>54</v>
      </c>
      <c r="AC16" s="16"/>
      <c r="AD16" s="16"/>
      <c r="AE16" s="16"/>
      <c r="AF16" s="16" t="s">
        <v>55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52</v>
      </c>
      <c r="C23" s="16"/>
      <c r="D23" s="16"/>
      <c r="E23" s="16"/>
      <c r="F23" s="16" t="s">
        <v>53</v>
      </c>
      <c r="G23" s="16"/>
      <c r="H23" s="16"/>
      <c r="I23" s="16"/>
      <c r="J23" s="16" t="s">
        <v>54</v>
      </c>
      <c r="K23" s="16"/>
      <c r="L23" s="16"/>
      <c r="M23" s="16"/>
      <c r="N23" s="16" t="s">
        <v>55</v>
      </c>
      <c r="O23" s="16"/>
      <c r="P23" s="16"/>
      <c r="Q23" s="16"/>
      <c r="S23" s="23" t="s">
        <v>24</v>
      </c>
      <c r="T23" s="16" t="s">
        <v>52</v>
      </c>
      <c r="U23" s="16"/>
      <c r="V23" s="16"/>
      <c r="W23" s="16"/>
      <c r="X23" s="16" t="s">
        <v>53</v>
      </c>
      <c r="Y23" s="16"/>
      <c r="Z23" s="16"/>
      <c r="AA23" s="16"/>
      <c r="AB23" s="16" t="s">
        <v>54</v>
      </c>
      <c r="AC23" s="16"/>
      <c r="AD23" s="16"/>
      <c r="AE23" s="16"/>
      <c r="AF23" s="16" t="s">
        <v>55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4.3E-3</v>
      </c>
      <c r="C25" s="6"/>
      <c r="D25" s="6"/>
      <c r="E25">
        <v>14.015898999999999</v>
      </c>
      <c r="F25">
        <v>4.4000000000000003E-3</v>
      </c>
      <c r="G25" s="6"/>
      <c r="H25" s="6"/>
      <c r="I25">
        <v>18.724544999999999</v>
      </c>
      <c r="J25" s="9">
        <v>4.4999999999999997E-3</v>
      </c>
      <c r="K25" s="6"/>
      <c r="L25" s="6"/>
      <c r="M25" s="8">
        <v>13.15807</v>
      </c>
      <c r="N25" s="6">
        <v>4.7000000000000002E-3</v>
      </c>
      <c r="O25" s="6"/>
      <c r="P25" s="6"/>
      <c r="Q25">
        <v>16.265222999999999</v>
      </c>
      <c r="S25" s="23"/>
      <c r="T25" s="6">
        <v>4.0000000000000001E-3</v>
      </c>
      <c r="U25" s="6"/>
      <c r="V25" s="6"/>
      <c r="W25">
        <v>16.712547000000001</v>
      </c>
      <c r="X25" s="6">
        <v>4.1000000000000003E-3</v>
      </c>
      <c r="Y25" s="6"/>
      <c r="Z25" s="6"/>
      <c r="AA25">
        <v>13.190872000000001</v>
      </c>
      <c r="AB25" s="6">
        <v>4.3E-3</v>
      </c>
      <c r="AC25" s="6"/>
      <c r="AD25" s="6"/>
      <c r="AE25">
        <v>13.878197</v>
      </c>
      <c r="AF25" s="6">
        <v>4.3E-3</v>
      </c>
      <c r="AG25" s="6"/>
      <c r="AH25" s="6"/>
      <c r="AI25">
        <v>12.515195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52</v>
      </c>
      <c r="C30" s="16"/>
      <c r="D30" s="16"/>
      <c r="E30" s="16"/>
      <c r="F30" s="16" t="s">
        <v>53</v>
      </c>
      <c r="G30" s="16"/>
      <c r="H30" s="16"/>
      <c r="I30" s="16"/>
      <c r="J30" s="16" t="s">
        <v>54</v>
      </c>
      <c r="K30" s="16"/>
      <c r="L30" s="16"/>
      <c r="M30" s="16"/>
      <c r="N30" s="16" t="s">
        <v>55</v>
      </c>
      <c r="O30" s="16"/>
      <c r="P30" s="16"/>
      <c r="Q30" s="16"/>
      <c r="S30" s="22" t="s">
        <v>12</v>
      </c>
      <c r="T30" s="16" t="s">
        <v>52</v>
      </c>
      <c r="U30" s="16"/>
      <c r="V30" s="16"/>
      <c r="W30" s="16"/>
      <c r="X30" s="16" t="s">
        <v>53</v>
      </c>
      <c r="Y30" s="16"/>
      <c r="Z30" s="16"/>
      <c r="AA30" s="16"/>
      <c r="AB30" s="16" t="s">
        <v>54</v>
      </c>
      <c r="AC30" s="16"/>
      <c r="AD30" s="16"/>
      <c r="AE30" s="16"/>
      <c r="AF30" s="16" t="s">
        <v>55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2.5000000000000001E-3</v>
      </c>
      <c r="D34">
        <v>3.7000000000000002E-3</v>
      </c>
      <c r="E34">
        <v>131.06799599999999</v>
      </c>
      <c r="F34" t="s">
        <v>22</v>
      </c>
      <c r="G34">
        <v>2.5999999999999999E-3</v>
      </c>
      <c r="H34">
        <v>3.8E-3</v>
      </c>
      <c r="I34">
        <v>47.238723</v>
      </c>
      <c r="J34" t="s">
        <v>22</v>
      </c>
      <c r="K34" s="8">
        <v>2.5999999999999999E-3</v>
      </c>
      <c r="L34" s="8">
        <v>3.8999999999999998E-3</v>
      </c>
      <c r="M34">
        <v>131.95417800000001</v>
      </c>
      <c r="N34" t="s">
        <v>22</v>
      </c>
      <c r="O34">
        <v>2.7000000000000001E-3</v>
      </c>
      <c r="P34">
        <v>4.0000000000000001E-3</v>
      </c>
      <c r="Q34">
        <v>130.43572800000001</v>
      </c>
      <c r="S34" s="22"/>
      <c r="T34" t="s">
        <v>22</v>
      </c>
      <c r="U34">
        <v>1.1000000000000001E-3</v>
      </c>
      <c r="V34">
        <v>3.0000000000000001E-3</v>
      </c>
      <c r="W34">
        <v>123.848817</v>
      </c>
      <c r="X34" t="s">
        <v>22</v>
      </c>
      <c r="Y34">
        <v>1.1000000000000001E-3</v>
      </c>
      <c r="Z34">
        <v>3.0999999999999999E-3</v>
      </c>
      <c r="AA34">
        <v>123.121101</v>
      </c>
      <c r="AB34" t="s">
        <v>22</v>
      </c>
      <c r="AC34">
        <v>1.1000000000000001E-3</v>
      </c>
      <c r="AD34">
        <v>3.2000000000000002E-3</v>
      </c>
      <c r="AE34">
        <v>124.804866</v>
      </c>
      <c r="AF34" t="s">
        <v>22</v>
      </c>
      <c r="AG34">
        <v>1.1999999999999999E-3</v>
      </c>
      <c r="AH34">
        <v>3.3E-3</v>
      </c>
      <c r="AI34">
        <v>122.393483</v>
      </c>
    </row>
    <row r="37" spans="1:35" x14ac:dyDescent="0.25">
      <c r="A37" s="18" t="s">
        <v>23</v>
      </c>
      <c r="B37" s="16" t="s">
        <v>52</v>
      </c>
      <c r="C37" s="16"/>
      <c r="D37" s="16"/>
      <c r="E37" s="16"/>
      <c r="F37" s="16" t="s">
        <v>53</v>
      </c>
      <c r="G37" s="16"/>
      <c r="H37" s="16"/>
      <c r="I37" s="16"/>
      <c r="J37" s="16" t="s">
        <v>54</v>
      </c>
      <c r="K37" s="16"/>
      <c r="L37" s="16"/>
      <c r="M37" s="16"/>
      <c r="N37" s="16" t="s">
        <v>55</v>
      </c>
      <c r="O37" s="16"/>
      <c r="P37" s="16"/>
      <c r="Q37" s="16"/>
      <c r="S37" s="18" t="s">
        <v>23</v>
      </c>
      <c r="T37" s="16" t="s">
        <v>52</v>
      </c>
      <c r="U37" s="16"/>
      <c r="V37" s="16"/>
      <c r="W37" s="16"/>
      <c r="X37" s="16" t="s">
        <v>53</v>
      </c>
      <c r="Y37" s="16"/>
      <c r="Z37" s="16"/>
      <c r="AA37" s="16"/>
      <c r="AB37" s="16" t="s">
        <v>54</v>
      </c>
      <c r="AC37" s="16"/>
      <c r="AD37" s="16"/>
      <c r="AE37" s="16"/>
      <c r="AF37" s="16" t="s">
        <v>55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52</v>
      </c>
      <c r="C44" s="16"/>
      <c r="D44" s="16"/>
      <c r="E44" s="16"/>
      <c r="F44" s="16" t="s">
        <v>53</v>
      </c>
      <c r="G44" s="16"/>
      <c r="H44" s="16"/>
      <c r="I44" s="16"/>
      <c r="J44" s="16" t="s">
        <v>54</v>
      </c>
      <c r="K44" s="16"/>
      <c r="L44" s="16"/>
      <c r="M44" s="16"/>
      <c r="N44" s="16" t="s">
        <v>55</v>
      </c>
      <c r="O44" s="16"/>
      <c r="P44" s="16"/>
      <c r="Q44" s="16"/>
      <c r="S44" s="23" t="s">
        <v>24</v>
      </c>
      <c r="T44" s="16" t="s">
        <v>52</v>
      </c>
      <c r="U44" s="16"/>
      <c r="V44" s="16"/>
      <c r="W44" s="16"/>
      <c r="X44" s="16" t="s">
        <v>53</v>
      </c>
      <c r="Y44" s="16"/>
      <c r="Z44" s="16"/>
      <c r="AA44" s="16"/>
      <c r="AB44" s="16" t="s">
        <v>54</v>
      </c>
      <c r="AC44" s="16"/>
      <c r="AD44" s="16"/>
      <c r="AE44" s="16"/>
      <c r="AF44" s="16" t="s">
        <v>55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3.3999999999999998E-3</v>
      </c>
      <c r="C46" s="6"/>
      <c r="D46" s="6"/>
      <c r="E46">
        <v>13.338642999999999</v>
      </c>
      <c r="F46" s="6">
        <v>3.3999999999999998E-3</v>
      </c>
      <c r="G46" s="6"/>
      <c r="H46" s="6"/>
      <c r="I46">
        <v>14.965475</v>
      </c>
      <c r="J46" s="6">
        <v>3.5000000000000001E-3</v>
      </c>
      <c r="K46" s="6"/>
      <c r="L46" s="6"/>
      <c r="M46">
        <v>13.636609</v>
      </c>
      <c r="N46" s="6">
        <v>3.5999999999999999E-3</v>
      </c>
      <c r="O46" s="6"/>
      <c r="P46" s="6"/>
      <c r="Q46">
        <v>16.329246999999999</v>
      </c>
      <c r="S46" s="23"/>
      <c r="T46" s="6">
        <v>2.2000000000000001E-3</v>
      </c>
      <c r="U46" s="6"/>
      <c r="V46" s="6"/>
      <c r="W46">
        <v>20.993987000000001</v>
      </c>
      <c r="X46" s="6">
        <v>2.3E-3</v>
      </c>
      <c r="Y46" s="6"/>
      <c r="Z46" s="6"/>
      <c r="AA46">
        <v>22.544595000000001</v>
      </c>
      <c r="AB46" s="6">
        <v>2.3E-3</v>
      </c>
      <c r="AC46" s="6"/>
      <c r="AD46" s="6"/>
      <c r="AE46">
        <v>15.986314999999999</v>
      </c>
      <c r="AF46" s="6">
        <v>2.3E-3</v>
      </c>
      <c r="AG46" s="6"/>
      <c r="AH46" s="6"/>
      <c r="AI46">
        <v>14.586219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52</v>
      </c>
      <c r="C50" s="16"/>
      <c r="D50" s="16"/>
      <c r="E50" s="16"/>
      <c r="F50" s="16" t="s">
        <v>53</v>
      </c>
      <c r="G50" s="16"/>
      <c r="H50" s="16"/>
      <c r="I50" s="16"/>
      <c r="J50" s="16" t="s">
        <v>54</v>
      </c>
      <c r="K50" s="16"/>
      <c r="L50" s="16"/>
      <c r="M50" s="16"/>
      <c r="N50" s="16" t="s">
        <v>55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1.8E-3</v>
      </c>
      <c r="E54">
        <v>114.568804</v>
      </c>
      <c r="F54" t="s">
        <v>22</v>
      </c>
      <c r="G54">
        <v>4.0000000000000002E-4</v>
      </c>
      <c r="H54">
        <v>1.9E-3</v>
      </c>
      <c r="I54">
        <v>114.076499</v>
      </c>
      <c r="J54" t="s">
        <v>22</v>
      </c>
      <c r="K54">
        <v>4.0000000000000002E-4</v>
      </c>
      <c r="L54">
        <v>1.9E-3</v>
      </c>
      <c r="M54">
        <v>113.28238</v>
      </c>
      <c r="N54" t="s">
        <v>22</v>
      </c>
      <c r="O54">
        <v>4.0000000000000002E-4</v>
      </c>
      <c r="P54">
        <v>2E-3</v>
      </c>
      <c r="Q54">
        <v>119.06253700000001</v>
      </c>
    </row>
    <row r="57" spans="1:17" x14ac:dyDescent="0.25">
      <c r="A57" s="18" t="s">
        <v>23</v>
      </c>
      <c r="B57" s="16" t="s">
        <v>52</v>
      </c>
      <c r="C57" s="16"/>
      <c r="D57" s="16"/>
      <c r="E57" s="16"/>
      <c r="F57" s="16" t="s">
        <v>53</v>
      </c>
      <c r="G57" s="16"/>
      <c r="H57" s="16"/>
      <c r="I57" s="16"/>
      <c r="J57" s="16" t="s">
        <v>54</v>
      </c>
      <c r="K57" s="16"/>
      <c r="L57" s="16"/>
      <c r="M57" s="16"/>
      <c r="N57" s="16" t="s">
        <v>55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52</v>
      </c>
      <c r="C64" s="16"/>
      <c r="D64" s="16"/>
      <c r="E64" s="16"/>
      <c r="F64" s="16" t="s">
        <v>53</v>
      </c>
      <c r="G64" s="16"/>
      <c r="H64" s="16"/>
      <c r="I64" s="16"/>
      <c r="J64" s="16" t="s">
        <v>54</v>
      </c>
      <c r="K64" s="16"/>
      <c r="L64" s="16"/>
      <c r="M64" s="16"/>
      <c r="N64" s="16" t="s">
        <v>55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8.5479999999999996E-4</v>
      </c>
      <c r="C66" s="6"/>
      <c r="D66" s="6"/>
      <c r="E66">
        <v>13.100059999999999</v>
      </c>
      <c r="F66" s="3">
        <v>8.8940000000000004E-4</v>
      </c>
      <c r="G66" s="6"/>
      <c r="H66" s="6"/>
      <c r="I66">
        <v>14.106297</v>
      </c>
      <c r="J66" s="3">
        <v>9.2049999999999999E-4</v>
      </c>
      <c r="K66" s="6"/>
      <c r="L66" s="6"/>
      <c r="M66">
        <v>17.268371999999999</v>
      </c>
      <c r="N66" s="3">
        <v>9.6759999999999999E-4</v>
      </c>
      <c r="O66" s="6"/>
      <c r="P66" s="6"/>
      <c r="Q66">
        <v>24.605667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4.3049999999999998E-3</v>
      </c>
      <c r="G75">
        <f t="shared" si="1"/>
        <v>4.3049999999999998E-3</v>
      </c>
      <c r="H75">
        <f t="shared" si="2"/>
        <v>24.430067000000001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4.3049999999999998E-3</v>
      </c>
      <c r="M75">
        <f>I25+E25</f>
        <v>32.740443999999997</v>
      </c>
      <c r="P75" s="21"/>
      <c r="Q75" t="s">
        <v>37</v>
      </c>
      <c r="R75">
        <f t="shared" si="6"/>
        <v>4.3100000000000005E-3</v>
      </c>
      <c r="S75">
        <f t="shared" si="7"/>
        <v>4.3100000000000005E-3</v>
      </c>
      <c r="U75">
        <f t="shared" si="8"/>
        <v>1.9819999999999997E-2</v>
      </c>
      <c r="V75">
        <f t="shared" si="9"/>
        <v>1.9910000000000004E-2</v>
      </c>
      <c r="X75">
        <f>0.1*F25+(1-0.1)*B25</f>
        <v>4.3100000000000005E-3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4.3200000000000009E-3</v>
      </c>
      <c r="G81">
        <f t="shared" si="11"/>
        <v>4.3200000000000009E-3</v>
      </c>
      <c r="I81">
        <f t="shared" si="12"/>
        <v>1.9939999999999999E-2</v>
      </c>
      <c r="J81">
        <f t="shared" si="13"/>
        <v>2.0020000000000003E-2</v>
      </c>
      <c r="L81">
        <f>0.2*F25+(1-0.2)*B25</f>
        <v>4.3200000000000009E-3</v>
      </c>
      <c r="P81" s="21"/>
      <c r="Q81" t="s">
        <v>37</v>
      </c>
      <c r="R81">
        <f t="shared" si="14"/>
        <v>4.3299999999999996E-3</v>
      </c>
      <c r="S81">
        <f t="shared" si="15"/>
        <v>4.3299999999999996E-3</v>
      </c>
      <c r="U81">
        <f t="shared" si="16"/>
        <v>2.0059999999999998E-2</v>
      </c>
      <c r="V81">
        <f t="shared" si="17"/>
        <v>2.0130000000000002E-2</v>
      </c>
      <c r="X81">
        <f>0.3*F25+(1-0.3)*B25</f>
        <v>4.3299999999999996E-3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4.3100000000000005E-3</v>
      </c>
      <c r="G88">
        <f t="shared" si="19"/>
        <v>4.3102500000000007E-3</v>
      </c>
      <c r="H88">
        <f t="shared" si="20"/>
        <v>37.558098999999999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4.3100000000000005E-3</v>
      </c>
      <c r="M88">
        <f>M25+I25+E25</f>
        <v>45.898513999999999</v>
      </c>
      <c r="O88" s="20"/>
      <c r="P88" s="21"/>
      <c r="Q88" t="s">
        <v>37</v>
      </c>
      <c r="R88">
        <f t="shared" si="24"/>
        <v>4.3200000000000009E-3</v>
      </c>
      <c r="S88">
        <f t="shared" si="25"/>
        <v>4.3210000000000002E-3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4.3200000000000009E-3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4.3400000000000001E-3</v>
      </c>
      <c r="G94">
        <f t="shared" si="29"/>
        <v>4.3440000000000006E-3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4.3400000000000001E-3</v>
      </c>
      <c r="O94" s="20"/>
      <c r="P94" s="21"/>
      <c r="Q94" t="s">
        <v>37</v>
      </c>
      <c r="R94">
        <f t="shared" si="32"/>
        <v>4.3600000000000002E-3</v>
      </c>
      <c r="S94">
        <f t="shared" si="33"/>
        <v>4.3690000000000005E-3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4.3600000000000002E-3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4.3149999999999994E-3</v>
      </c>
      <c r="G101">
        <f t="shared" si="37"/>
        <v>4.3157249999999994E-3</v>
      </c>
      <c r="H101">
        <f t="shared" si="38"/>
        <v>49.805300000000003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4.3150124999999998E-3</v>
      </c>
      <c r="M101">
        <f>Q25+M25+I25+E25</f>
        <v>62.163736999999998</v>
      </c>
      <c r="N101" s="24"/>
      <c r="O101" s="20"/>
      <c r="P101" s="21"/>
      <c r="Q101" t="s">
        <v>37</v>
      </c>
      <c r="R101">
        <f t="shared" si="42"/>
        <v>4.3299999999999996E-3</v>
      </c>
      <c r="S101">
        <f t="shared" si="43"/>
        <v>4.3327999999999995E-3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4.3300999999999999E-3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4.3599999999999993E-3</v>
      </c>
      <c r="G107">
        <f t="shared" si="47"/>
        <v>4.3704E-3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4.3607999999999997E-3</v>
      </c>
      <c r="N107" s="24"/>
      <c r="O107" s="20"/>
      <c r="P107" s="21"/>
      <c r="Q107" t="s">
        <v>37</v>
      </c>
      <c r="R107">
        <f t="shared" si="50"/>
        <v>4.3899999999999998E-3</v>
      </c>
      <c r="S107">
        <f t="shared" si="51"/>
        <v>4.4115999999999999E-3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4.3927000000000003E-3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4.0049999999999999E-3</v>
      </c>
      <c r="G114">
        <f t="shared" si="55"/>
        <v>4.1050000000000001E-3</v>
      </c>
      <c r="H114">
        <f t="shared" si="56"/>
        <v>266.97693300000003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4.0049999999999999E-3</v>
      </c>
      <c r="M114">
        <f>AA25+W25</f>
        <v>29.903419</v>
      </c>
      <c r="P114" s="21"/>
      <c r="Q114" t="s">
        <v>37</v>
      </c>
      <c r="R114">
        <f t="shared" si="60"/>
        <v>4.0100000000000005E-3</v>
      </c>
      <c r="S114">
        <f t="shared" si="61"/>
        <v>4.1100000000000008E-3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4.0100000000000005E-3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4.0200000000000001E-3</v>
      </c>
      <c r="G120">
        <f t="shared" si="65"/>
        <v>4.1200000000000004E-3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4.0200000000000001E-3</v>
      </c>
      <c r="P120" s="21"/>
      <c r="Q120" t="s">
        <v>37</v>
      </c>
      <c r="R120">
        <f t="shared" si="68"/>
        <v>4.0299999999999997E-3</v>
      </c>
      <c r="S120">
        <f t="shared" si="69"/>
        <v>4.13E-3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4.0299999999999997E-3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4.0100000000000005E-3</v>
      </c>
      <c r="G127">
        <f t="shared" si="73"/>
        <v>4.1100000000000008E-3</v>
      </c>
      <c r="H127">
        <f t="shared" si="74"/>
        <v>400.28553999999997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4.0102500000000008E-3</v>
      </c>
      <c r="M127">
        <f>AE25+AA25+W25</f>
        <v>43.781616</v>
      </c>
      <c r="O127" s="20"/>
      <c r="P127" s="21"/>
      <c r="Q127" t="s">
        <v>37</v>
      </c>
      <c r="R127">
        <f t="shared" si="78"/>
        <v>4.0200000000000001E-3</v>
      </c>
      <c r="S127">
        <f t="shared" si="79"/>
        <v>4.1200000000000004E-3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4.0210000000000003E-3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4.0400000000000002E-3</v>
      </c>
      <c r="G133">
        <f t="shared" si="83"/>
        <v>4.1400000000000005E-3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4.0440000000000007E-3</v>
      </c>
      <c r="O133" s="20"/>
      <c r="P133" s="21"/>
      <c r="Q133" t="s">
        <v>37</v>
      </c>
      <c r="R133">
        <f t="shared" si="86"/>
        <v>4.0600000000000002E-3</v>
      </c>
      <c r="S133">
        <f t="shared" si="87"/>
        <v>4.1600000000000005E-3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4.0689999999999997E-3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4.0149999999999995E-3</v>
      </c>
      <c r="G140">
        <f t="shared" si="91"/>
        <v>4.1149999999999997E-3</v>
      </c>
      <c r="H140">
        <f t="shared" si="92"/>
        <v>532.55211399999996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4.0157125E-3</v>
      </c>
      <c r="M140">
        <f>AI25+AE25+AA25+W25</f>
        <v>56.296810999999998</v>
      </c>
      <c r="N140" s="24"/>
      <c r="O140" s="20"/>
      <c r="P140" s="21"/>
      <c r="Q140" t="s">
        <v>37</v>
      </c>
      <c r="R140">
        <f t="shared" si="96"/>
        <v>4.0300000000000006E-3</v>
      </c>
      <c r="S140">
        <f t="shared" si="97"/>
        <v>4.13E-3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4.0327000000000002E-3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4.0599999999999994E-3</v>
      </c>
      <c r="G146">
        <f t="shared" si="101"/>
        <v>4.1600000000000005E-3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4.0695999999999996E-3</v>
      </c>
      <c r="N146" s="24"/>
      <c r="O146" s="20"/>
      <c r="P146" s="21"/>
      <c r="Q146" t="s">
        <v>37</v>
      </c>
      <c r="R146">
        <f t="shared" si="104"/>
        <v>4.0900000000000008E-3</v>
      </c>
      <c r="S146">
        <f t="shared" si="105"/>
        <v>4.1900000000000001E-3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4.1089000000000004E-3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2.5049999999999998E-3</v>
      </c>
      <c r="G153">
        <f t="shared" si="109"/>
        <v>3.705E-3</v>
      </c>
      <c r="H153">
        <f t="shared" si="110"/>
        <v>178.30671899999999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3.3999999999999998E-3</v>
      </c>
      <c r="M153">
        <f>I46+E46</f>
        <v>28.304117999999999</v>
      </c>
      <c r="P153" s="21"/>
      <c r="Q153" t="s">
        <v>37</v>
      </c>
      <c r="R153">
        <f t="shared" si="114"/>
        <v>2.5100000000000001E-3</v>
      </c>
      <c r="S153">
        <f t="shared" si="115"/>
        <v>3.7100000000000002E-3</v>
      </c>
      <c r="U153">
        <f t="shared" si="116"/>
        <v>1.311E-2</v>
      </c>
      <c r="V153">
        <f t="shared" si="117"/>
        <v>1.6389999999999998E-2</v>
      </c>
      <c r="X153">
        <f>0.1*F46+(1-0.1)*B46</f>
        <v>3.3999999999999998E-3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2.5200000000000001E-3</v>
      </c>
      <c r="G159">
        <f t="shared" si="119"/>
        <v>3.7200000000000002E-3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3.4000000000000002E-3</v>
      </c>
      <c r="P159" s="21"/>
      <c r="Q159" t="s">
        <v>37</v>
      </c>
      <c r="R159">
        <f t="shared" si="122"/>
        <v>2.5299999999999997E-3</v>
      </c>
      <c r="S159">
        <f t="shared" si="123"/>
        <v>3.7299999999999998E-3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3.3999999999999994E-3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2.5097500000000003E-3</v>
      </c>
      <c r="G166">
        <f t="shared" si="127"/>
        <v>3.7100000000000006E-3</v>
      </c>
      <c r="H166">
        <f t="shared" si="128"/>
        <v>310.260897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3.4002500000000001E-3</v>
      </c>
      <c r="M166">
        <f>M46+I46+E46</f>
        <v>41.940726999999995</v>
      </c>
      <c r="O166" s="20"/>
      <c r="P166" s="21"/>
      <c r="Q166" t="s">
        <v>37</v>
      </c>
      <c r="R166">
        <f t="shared" si="132"/>
        <v>2.5190000000000004E-3</v>
      </c>
      <c r="S166">
        <f t="shared" si="133"/>
        <v>3.7200000000000006E-3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3.4009999999999999E-3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2.5360000000000001E-3</v>
      </c>
      <c r="G172">
        <f t="shared" si="137"/>
        <v>3.7400000000000003E-3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3.4039999999999999E-3</v>
      </c>
      <c r="O172" s="20"/>
      <c r="P172" s="21"/>
      <c r="Q172" t="s">
        <v>37</v>
      </c>
      <c r="R172">
        <f t="shared" si="140"/>
        <v>2.5510000000000003E-3</v>
      </c>
      <c r="S172">
        <f t="shared" si="141"/>
        <v>3.7600000000000003E-3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3.4089999999999997E-3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2.5142749999999998E-3</v>
      </c>
      <c r="G179">
        <f t="shared" si="145"/>
        <v>3.715E-3</v>
      </c>
      <c r="H179">
        <f t="shared" si="146"/>
        <v>440.69662499999998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3.4007374999999998E-3</v>
      </c>
      <c r="M179">
        <f>Q46+M46+I46+E46</f>
        <v>58.269973999999998</v>
      </c>
      <c r="N179" s="24"/>
      <c r="O179" s="20"/>
      <c r="P179" s="21"/>
      <c r="Q179" t="s">
        <v>37</v>
      </c>
      <c r="R179">
        <f t="shared" si="150"/>
        <v>2.5271999999999998E-3</v>
      </c>
      <c r="S179">
        <f t="shared" si="151"/>
        <v>3.7300000000000002E-3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3.4028999999999995E-3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2.5496E-3</v>
      </c>
      <c r="G185">
        <f t="shared" si="155"/>
        <v>3.7599999999999999E-3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3.4111999999999996E-3</v>
      </c>
      <c r="N185" s="24"/>
      <c r="O185" s="20"/>
      <c r="P185" s="21"/>
      <c r="Q185" t="s">
        <v>37</v>
      </c>
      <c r="R185">
        <f t="shared" si="158"/>
        <v>2.5684000000000002E-3</v>
      </c>
      <c r="S185">
        <f t="shared" si="159"/>
        <v>3.7900000000000004E-3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3.4242999999999999E-3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3.0050000000000003E-3</v>
      </c>
      <c r="H192">
        <f t="shared" si="164"/>
        <v>246.96991800000001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2.2049999999999999E-3</v>
      </c>
      <c r="M192">
        <f>AA46+W46</f>
        <v>43.538582000000005</v>
      </c>
      <c r="P192" s="21"/>
      <c r="Q192" t="s">
        <v>37</v>
      </c>
      <c r="R192">
        <f t="shared" si="168"/>
        <v>1.1000000000000001E-3</v>
      </c>
      <c r="S192">
        <f t="shared" si="169"/>
        <v>3.0100000000000001E-3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2.2100000000000002E-3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3.0200000000000001E-3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2.2200000000000002E-3</v>
      </c>
      <c r="P198" s="21"/>
      <c r="Q198" t="s">
        <v>37</v>
      </c>
      <c r="R198">
        <f t="shared" si="176"/>
        <v>1.0999999999999998E-3</v>
      </c>
      <c r="S198">
        <f t="shared" si="177"/>
        <v>3.0299999999999997E-3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2.2299999999999998E-3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1.1000000000000001E-3</v>
      </c>
      <c r="G205">
        <f t="shared" si="181"/>
        <v>3.0100000000000001E-3</v>
      </c>
      <c r="H205">
        <f t="shared" si="182"/>
        <v>371.77478400000001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2.2097500000000003E-3</v>
      </c>
      <c r="M205">
        <f>AE46+AA46+W46</f>
        <v>59.524896999999996</v>
      </c>
      <c r="O205" s="20"/>
      <c r="P205" s="21"/>
      <c r="Q205" t="s">
        <v>37</v>
      </c>
      <c r="R205">
        <f t="shared" si="185"/>
        <v>1.1000000000000001E-3</v>
      </c>
      <c r="S205">
        <f t="shared" si="186"/>
        <v>3.0200000000000001E-3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2.2190000000000001E-3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1.1000000000000001E-3</v>
      </c>
      <c r="G211">
        <f t="shared" si="190"/>
        <v>3.0400000000000002E-3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2.2360000000000001E-3</v>
      </c>
      <c r="O211" s="20"/>
      <c r="P211" s="21"/>
      <c r="Q211" t="s">
        <v>37</v>
      </c>
      <c r="R211">
        <f t="shared" si="193"/>
        <v>1.1000000000000001E-3</v>
      </c>
      <c r="S211">
        <f t="shared" si="194"/>
        <v>3.0600000000000002E-3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2.2510000000000004E-3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1.1000125E-3</v>
      </c>
      <c r="G218">
        <f t="shared" si="198"/>
        <v>3.0149999999999999E-3</v>
      </c>
      <c r="H218">
        <f t="shared" si="199"/>
        <v>494.16826700000001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2.2142624999999996E-3</v>
      </c>
      <c r="M218">
        <f>AI46+AE46+AA46+W46</f>
        <v>74.111115999999996</v>
      </c>
      <c r="N218" s="24"/>
      <c r="O218" s="20"/>
      <c r="P218" s="21"/>
      <c r="Q218" t="s">
        <v>37</v>
      </c>
      <c r="R218">
        <f t="shared" si="203"/>
        <v>1.1001000000000001E-3</v>
      </c>
      <c r="S218">
        <f t="shared" si="204"/>
        <v>3.0300000000000001E-3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2.2271000000000001E-3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1.1007999999999999E-3</v>
      </c>
      <c r="G224">
        <f t="shared" si="208"/>
        <v>3.0599999999999998E-3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2.2488E-3</v>
      </c>
      <c r="N224" s="24"/>
      <c r="O224" s="20"/>
      <c r="P224" s="21"/>
      <c r="Q224" t="s">
        <v>37</v>
      </c>
      <c r="R224">
        <f t="shared" si="211"/>
        <v>1.1027000000000003E-3</v>
      </c>
      <c r="S224">
        <f t="shared" si="212"/>
        <v>3.0899999999999999E-3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2.2656999999999998E-3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1.805E-3</v>
      </c>
      <c r="H231">
        <f t="shared" si="217"/>
        <v>228.64530300000001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8.1205999999999997E-4</v>
      </c>
      <c r="M231">
        <f>I66+E66</f>
        <v>27.206356999999997</v>
      </c>
      <c r="P231" s="21"/>
      <c r="Q231" t="s">
        <v>37</v>
      </c>
      <c r="R231">
        <f t="shared" si="221"/>
        <v>4.0000000000000002E-4</v>
      </c>
      <c r="S231">
        <f t="shared" si="222"/>
        <v>1.81E-3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7.6931999999999999E-4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1.82E-3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6.8384000000000001E-4</v>
      </c>
      <c r="P237" s="21"/>
      <c r="Q237" t="s">
        <v>37</v>
      </c>
      <c r="R237">
        <f t="shared" si="229"/>
        <v>3.9999999999999996E-4</v>
      </c>
      <c r="S237">
        <f t="shared" si="230"/>
        <v>1.8299999999999998E-3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5.9835999999999993E-4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1.8097500000000002E-3</v>
      </c>
      <c r="H244">
        <f t="shared" si="235"/>
        <v>341.927683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7.7375825000000002E-4</v>
      </c>
      <c r="M244">
        <f>M66+I66+E66</f>
        <v>44.474728999999996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1.8190000000000001E-3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7.0159300000000003E-4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1.836E-3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5.8389199999999992E-4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1.8510000000000002E-3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5.0169700000000006E-4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1.8142749999999997E-3</v>
      </c>
      <c r="H257">
        <f t="shared" si="253"/>
        <v>460.99022000000002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7.3956366249999989E-4</v>
      </c>
      <c r="M257">
        <f>Q66+M66+I66+E66</f>
        <v>69.080395999999993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1.8272E-3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6.489702999999999E-4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1.8495999999999999E-3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5.3376639999999989E-4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1.8684000000000001E-3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4.9329610000000009E-4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2" customWidth="1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52</v>
      </c>
      <c r="C9" s="16"/>
      <c r="D9" s="16"/>
      <c r="E9" s="16"/>
      <c r="F9" s="16" t="s">
        <v>53</v>
      </c>
      <c r="G9" s="16"/>
      <c r="H9" s="16"/>
      <c r="I9" s="16"/>
      <c r="J9" s="16" t="s">
        <v>54</v>
      </c>
      <c r="K9" s="16"/>
      <c r="L9" s="16"/>
      <c r="M9" s="16"/>
      <c r="N9" s="16" t="s">
        <v>55</v>
      </c>
      <c r="O9" s="16"/>
      <c r="P9" s="16"/>
      <c r="Q9" s="16"/>
      <c r="S9" s="22" t="s">
        <v>12</v>
      </c>
      <c r="T9" s="16" t="s">
        <v>52</v>
      </c>
      <c r="U9" s="16"/>
      <c r="V9" s="16"/>
      <c r="W9" s="16"/>
      <c r="X9" s="16" t="s">
        <v>53</v>
      </c>
      <c r="Y9" s="16"/>
      <c r="Z9" s="16"/>
      <c r="AA9" s="16"/>
      <c r="AB9" s="16" t="s">
        <v>54</v>
      </c>
      <c r="AC9" s="16"/>
      <c r="AD9" s="16"/>
      <c r="AE9" s="16"/>
      <c r="AF9" s="16" t="s">
        <v>55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4.1999999999999997E-3</v>
      </c>
      <c r="D13" s="10">
        <v>4.1999999999999997E-3</v>
      </c>
      <c r="E13" s="10">
        <v>11.200234</v>
      </c>
      <c r="F13" t="s">
        <v>22</v>
      </c>
      <c r="G13" s="10">
        <v>4.3E-3</v>
      </c>
      <c r="H13" s="10">
        <v>4.3E-3</v>
      </c>
      <c r="I13" s="10">
        <v>9.9199079999999995</v>
      </c>
      <c r="J13" t="s">
        <v>22</v>
      </c>
      <c r="K13" s="10">
        <v>4.4000000000000003E-3</v>
      </c>
      <c r="L13" s="10">
        <v>4.4999999999999997E-3</v>
      </c>
      <c r="M13" s="10">
        <v>11.647919999999999</v>
      </c>
      <c r="N13" t="s">
        <v>22</v>
      </c>
      <c r="O13" s="10">
        <v>4.4999999999999997E-3</v>
      </c>
      <c r="P13" s="10">
        <v>4.5999999999999999E-3</v>
      </c>
      <c r="Q13" s="10">
        <v>11.081402000000001</v>
      </c>
      <c r="S13" s="22"/>
      <c r="T13" t="s">
        <v>22</v>
      </c>
      <c r="U13">
        <v>3.8999999999999998E-3</v>
      </c>
      <c r="V13">
        <v>4.0000000000000001E-3</v>
      </c>
      <c r="W13">
        <v>101.658365</v>
      </c>
      <c r="X13" t="s">
        <v>22</v>
      </c>
      <c r="Y13">
        <v>4.0000000000000001E-3</v>
      </c>
      <c r="Z13">
        <v>4.1000000000000003E-3</v>
      </c>
      <c r="AA13">
        <v>101.981021</v>
      </c>
      <c r="AB13" t="s">
        <v>22</v>
      </c>
      <c r="AC13">
        <v>4.1000000000000003E-3</v>
      </c>
      <c r="AD13">
        <v>4.1999999999999997E-3</v>
      </c>
      <c r="AE13">
        <v>105.23083200000001</v>
      </c>
      <c r="AF13" t="s">
        <v>22</v>
      </c>
      <c r="AG13">
        <v>4.1999999999999997E-3</v>
      </c>
      <c r="AH13">
        <v>4.3E-3</v>
      </c>
      <c r="AI13">
        <v>102.56536800000001</v>
      </c>
    </row>
    <row r="16" spans="1:35" x14ac:dyDescent="0.25">
      <c r="A16" s="18" t="s">
        <v>23</v>
      </c>
      <c r="B16" s="16" t="s">
        <v>52</v>
      </c>
      <c r="C16" s="16"/>
      <c r="D16" s="16"/>
      <c r="E16" s="16"/>
      <c r="F16" s="16" t="s">
        <v>53</v>
      </c>
      <c r="G16" s="16"/>
      <c r="H16" s="16"/>
      <c r="I16" s="16"/>
      <c r="J16" s="16" t="s">
        <v>54</v>
      </c>
      <c r="K16" s="16"/>
      <c r="L16" s="16"/>
      <c r="M16" s="16"/>
      <c r="N16" s="16" t="s">
        <v>55</v>
      </c>
      <c r="O16" s="16"/>
      <c r="P16" s="16"/>
      <c r="Q16" s="16"/>
      <c r="S16" s="18" t="s">
        <v>23</v>
      </c>
      <c r="T16" s="16" t="s">
        <v>52</v>
      </c>
      <c r="U16" s="16"/>
      <c r="V16" s="16"/>
      <c r="W16" s="16"/>
      <c r="X16" s="16" t="s">
        <v>53</v>
      </c>
      <c r="Y16" s="16"/>
      <c r="Z16" s="16"/>
      <c r="AA16" s="16"/>
      <c r="AB16" s="16" t="s">
        <v>54</v>
      </c>
      <c r="AC16" s="16"/>
      <c r="AD16" s="16"/>
      <c r="AE16" s="16"/>
      <c r="AF16" s="16" t="s">
        <v>55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52</v>
      </c>
      <c r="C23" s="16"/>
      <c r="D23" s="16"/>
      <c r="E23" s="16"/>
      <c r="F23" s="16" t="s">
        <v>53</v>
      </c>
      <c r="G23" s="16"/>
      <c r="H23" s="16"/>
      <c r="I23" s="16"/>
      <c r="J23" s="16" t="s">
        <v>54</v>
      </c>
      <c r="K23" s="16"/>
      <c r="L23" s="16"/>
      <c r="M23" s="16"/>
      <c r="N23" s="16" t="s">
        <v>55</v>
      </c>
      <c r="O23" s="16"/>
      <c r="P23" s="16"/>
      <c r="Q23" s="16"/>
      <c r="S23" s="23" t="s">
        <v>24</v>
      </c>
      <c r="T23" s="16" t="s">
        <v>52</v>
      </c>
      <c r="U23" s="16"/>
      <c r="V23" s="16"/>
      <c r="W23" s="16"/>
      <c r="X23" s="16" t="s">
        <v>53</v>
      </c>
      <c r="Y23" s="16"/>
      <c r="Z23" s="16"/>
      <c r="AA23" s="16"/>
      <c r="AB23" s="16" t="s">
        <v>54</v>
      </c>
      <c r="AC23" s="16"/>
      <c r="AD23" s="16"/>
      <c r="AE23" s="16"/>
      <c r="AF23" s="16" t="s">
        <v>55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4.1999999999999997E-3</v>
      </c>
      <c r="C25" s="6"/>
      <c r="D25" s="6"/>
      <c r="E25">
        <v>13.437246</v>
      </c>
      <c r="F25">
        <v>4.3E-3</v>
      </c>
      <c r="G25" s="6"/>
      <c r="H25" s="6"/>
      <c r="I25">
        <v>13.109923999999999</v>
      </c>
      <c r="J25" s="9">
        <v>4.4000000000000003E-3</v>
      </c>
      <c r="K25" s="6"/>
      <c r="L25" s="6"/>
      <c r="M25" s="8">
        <v>13.174322999999999</v>
      </c>
      <c r="N25" s="6">
        <v>4.4999999999999997E-3</v>
      </c>
      <c r="O25" s="6"/>
      <c r="P25" s="6"/>
      <c r="Q25">
        <v>12.41643</v>
      </c>
      <c r="S25" s="23"/>
      <c r="T25" s="6">
        <v>3.8999999999999998E-3</v>
      </c>
      <c r="U25" s="6"/>
      <c r="V25" s="6"/>
      <c r="W25">
        <v>13.726416</v>
      </c>
      <c r="X25" s="6">
        <v>4.0000000000000001E-3</v>
      </c>
      <c r="Y25" s="6"/>
      <c r="Z25" s="6"/>
      <c r="AA25">
        <v>11.893496000000001</v>
      </c>
      <c r="AB25" s="6">
        <v>4.1999999999999997E-3</v>
      </c>
      <c r="AC25" s="6"/>
      <c r="AD25" s="6"/>
      <c r="AE25">
        <v>13.560677</v>
      </c>
      <c r="AF25" s="6">
        <v>4.3E-3</v>
      </c>
      <c r="AG25" s="6"/>
      <c r="AH25" s="6"/>
      <c r="AI25">
        <v>12.186653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52</v>
      </c>
      <c r="C30" s="16"/>
      <c r="D30" s="16"/>
      <c r="E30" s="16"/>
      <c r="F30" s="16" t="s">
        <v>53</v>
      </c>
      <c r="G30" s="16"/>
      <c r="H30" s="16"/>
      <c r="I30" s="16"/>
      <c r="J30" s="16" t="s">
        <v>54</v>
      </c>
      <c r="K30" s="16"/>
      <c r="L30" s="16"/>
      <c r="M30" s="16"/>
      <c r="N30" s="16" t="s">
        <v>55</v>
      </c>
      <c r="O30" s="16"/>
      <c r="P30" s="16"/>
      <c r="Q30" s="16"/>
      <c r="S30" s="22" t="s">
        <v>12</v>
      </c>
      <c r="T30" s="16" t="s">
        <v>52</v>
      </c>
      <c r="U30" s="16"/>
      <c r="V30" s="16"/>
      <c r="W30" s="16"/>
      <c r="X30" s="16" t="s">
        <v>53</v>
      </c>
      <c r="Y30" s="16"/>
      <c r="Z30" s="16"/>
      <c r="AA30" s="16"/>
      <c r="AB30" s="16" t="s">
        <v>54</v>
      </c>
      <c r="AC30" s="16"/>
      <c r="AD30" s="16"/>
      <c r="AE30" s="16"/>
      <c r="AF30" s="16" t="s">
        <v>55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2.5000000000000001E-3</v>
      </c>
      <c r="D34">
        <v>3.5999999999999999E-3</v>
      </c>
      <c r="E34">
        <v>104.682241</v>
      </c>
      <c r="F34" t="s">
        <v>22</v>
      </c>
      <c r="G34">
        <v>2.5999999999999999E-3</v>
      </c>
      <c r="H34">
        <v>3.7000000000000002E-3</v>
      </c>
      <c r="I34">
        <v>104.18759</v>
      </c>
      <c r="J34" t="s">
        <v>22</v>
      </c>
      <c r="K34" s="8">
        <v>2.5999999999999999E-3</v>
      </c>
      <c r="L34" s="8">
        <v>3.8E-3</v>
      </c>
      <c r="M34">
        <v>101.119876</v>
      </c>
      <c r="N34" t="s">
        <v>22</v>
      </c>
      <c r="O34">
        <v>2.7000000000000001E-3</v>
      </c>
      <c r="P34">
        <v>3.8999999999999998E-3</v>
      </c>
      <c r="Q34">
        <v>104.865853</v>
      </c>
      <c r="S34" s="22"/>
      <c r="T34" t="s">
        <v>22</v>
      </c>
      <c r="U34">
        <v>1.1000000000000001E-3</v>
      </c>
      <c r="V34">
        <v>3.0000000000000001E-3</v>
      </c>
      <c r="W34">
        <v>107.45493</v>
      </c>
      <c r="X34" t="s">
        <v>22</v>
      </c>
      <c r="Y34">
        <v>1.1000000000000001E-3</v>
      </c>
      <c r="Z34">
        <v>3.0000000000000001E-3</v>
      </c>
      <c r="AA34">
        <v>99.494148999999993</v>
      </c>
      <c r="AB34" t="s">
        <v>22</v>
      </c>
      <c r="AC34">
        <v>1.1000000000000001E-3</v>
      </c>
      <c r="AD34">
        <v>3.0999999999999999E-3</v>
      </c>
      <c r="AE34">
        <v>102.765304</v>
      </c>
      <c r="AF34" t="s">
        <v>22</v>
      </c>
      <c r="AG34">
        <v>1.1999999999999999E-3</v>
      </c>
      <c r="AH34">
        <v>3.2000000000000002E-3</v>
      </c>
      <c r="AI34">
        <v>99.355845000000002</v>
      </c>
    </row>
    <row r="37" spans="1:35" x14ac:dyDescent="0.25">
      <c r="A37" s="18" t="s">
        <v>23</v>
      </c>
      <c r="B37" s="16" t="s">
        <v>52</v>
      </c>
      <c r="C37" s="16"/>
      <c r="D37" s="16"/>
      <c r="E37" s="16"/>
      <c r="F37" s="16" t="s">
        <v>53</v>
      </c>
      <c r="G37" s="16"/>
      <c r="H37" s="16"/>
      <c r="I37" s="16"/>
      <c r="J37" s="16" t="s">
        <v>54</v>
      </c>
      <c r="K37" s="16"/>
      <c r="L37" s="16"/>
      <c r="M37" s="16"/>
      <c r="N37" s="16" t="s">
        <v>55</v>
      </c>
      <c r="O37" s="16"/>
      <c r="P37" s="16"/>
      <c r="Q37" s="16"/>
      <c r="S37" s="18" t="s">
        <v>23</v>
      </c>
      <c r="T37" s="16" t="s">
        <v>52</v>
      </c>
      <c r="U37" s="16"/>
      <c r="V37" s="16"/>
      <c r="W37" s="16"/>
      <c r="X37" s="16" t="s">
        <v>53</v>
      </c>
      <c r="Y37" s="16"/>
      <c r="Z37" s="16"/>
      <c r="AA37" s="16"/>
      <c r="AB37" s="16" t="s">
        <v>54</v>
      </c>
      <c r="AC37" s="16"/>
      <c r="AD37" s="16"/>
      <c r="AE37" s="16"/>
      <c r="AF37" s="16" t="s">
        <v>55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52</v>
      </c>
      <c r="C44" s="16"/>
      <c r="D44" s="16"/>
      <c r="E44" s="16"/>
      <c r="F44" s="16" t="s">
        <v>53</v>
      </c>
      <c r="G44" s="16"/>
      <c r="H44" s="16"/>
      <c r="I44" s="16"/>
      <c r="J44" s="16" t="s">
        <v>54</v>
      </c>
      <c r="K44" s="16"/>
      <c r="L44" s="16"/>
      <c r="M44" s="16"/>
      <c r="N44" s="16" t="s">
        <v>55</v>
      </c>
      <c r="O44" s="16"/>
      <c r="P44" s="16"/>
      <c r="Q44" s="16"/>
      <c r="S44" s="23" t="s">
        <v>24</v>
      </c>
      <c r="T44" s="16" t="s">
        <v>52</v>
      </c>
      <c r="U44" s="16"/>
      <c r="V44" s="16"/>
      <c r="W44" s="16"/>
      <c r="X44" s="16" t="s">
        <v>53</v>
      </c>
      <c r="Y44" s="16"/>
      <c r="Z44" s="16"/>
      <c r="AA44" s="16"/>
      <c r="AB44" s="16" t="s">
        <v>54</v>
      </c>
      <c r="AC44" s="16"/>
      <c r="AD44" s="16"/>
      <c r="AE44" s="16"/>
      <c r="AF44" s="16" t="s">
        <v>55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3.2000000000000002E-3</v>
      </c>
      <c r="C46" s="6"/>
      <c r="D46" s="6"/>
      <c r="E46">
        <v>12.494655</v>
      </c>
      <c r="F46" s="6">
        <v>3.3999999999999998E-3</v>
      </c>
      <c r="G46" s="6"/>
      <c r="H46" s="6"/>
      <c r="I46">
        <v>13.365683000000001</v>
      </c>
      <c r="J46" s="6">
        <v>3.3999999999999998E-3</v>
      </c>
      <c r="K46" s="6"/>
      <c r="L46" s="6"/>
      <c r="M46">
        <v>13.586529000000001</v>
      </c>
      <c r="N46" s="6">
        <v>3.5000000000000001E-3</v>
      </c>
      <c r="O46" s="6"/>
      <c r="P46" s="6"/>
      <c r="Q46">
        <v>14.065801</v>
      </c>
      <c r="S46" s="23"/>
      <c r="T46" s="6">
        <v>2.2000000000000001E-3</v>
      </c>
      <c r="U46" s="6"/>
      <c r="V46" s="6"/>
      <c r="W46">
        <v>12.558384</v>
      </c>
      <c r="X46" s="6">
        <v>2.2000000000000001E-3</v>
      </c>
      <c r="Y46" s="6"/>
      <c r="Z46" s="6"/>
      <c r="AA46">
        <v>13.951442999999999</v>
      </c>
      <c r="AB46" s="6">
        <v>2.3E-3</v>
      </c>
      <c r="AC46" s="6"/>
      <c r="AD46" s="6"/>
      <c r="AE46">
        <v>12.708975000000001</v>
      </c>
      <c r="AF46" s="6">
        <v>2.3E-3</v>
      </c>
      <c r="AG46" s="6"/>
      <c r="AH46" s="6"/>
      <c r="AI46">
        <v>12.408063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52</v>
      </c>
      <c r="C50" s="16"/>
      <c r="D50" s="16"/>
      <c r="E50" s="16"/>
      <c r="F50" s="16" t="s">
        <v>53</v>
      </c>
      <c r="G50" s="16"/>
      <c r="H50" s="16"/>
      <c r="I50" s="16"/>
      <c r="J50" s="16" t="s">
        <v>54</v>
      </c>
      <c r="K50" s="16"/>
      <c r="L50" s="16"/>
      <c r="M50" s="16"/>
      <c r="N50" s="16" t="s">
        <v>55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1.8E-3</v>
      </c>
      <c r="E54">
        <v>90.065524999999994</v>
      </c>
      <c r="F54" t="s">
        <v>22</v>
      </c>
      <c r="G54">
        <v>4.0000000000000002E-4</v>
      </c>
      <c r="H54">
        <v>1.8E-3</v>
      </c>
      <c r="I54">
        <v>90.947363999999993</v>
      </c>
      <c r="J54" t="s">
        <v>22</v>
      </c>
      <c r="K54">
        <v>4.0000000000000002E-4</v>
      </c>
      <c r="L54">
        <v>1.9E-3</v>
      </c>
      <c r="M54">
        <v>91.051306999999994</v>
      </c>
      <c r="N54" t="s">
        <v>22</v>
      </c>
      <c r="O54">
        <v>4.0000000000000002E-4</v>
      </c>
      <c r="P54">
        <v>2E-3</v>
      </c>
      <c r="Q54">
        <v>88.927250999999998</v>
      </c>
    </row>
    <row r="57" spans="1:17" x14ac:dyDescent="0.25">
      <c r="A57" s="18" t="s">
        <v>23</v>
      </c>
      <c r="B57" s="16" t="s">
        <v>52</v>
      </c>
      <c r="C57" s="16"/>
      <c r="D57" s="16"/>
      <c r="E57" s="16"/>
      <c r="F57" s="16" t="s">
        <v>53</v>
      </c>
      <c r="G57" s="16"/>
      <c r="H57" s="16"/>
      <c r="I57" s="16"/>
      <c r="J57" s="16" t="s">
        <v>54</v>
      </c>
      <c r="K57" s="16"/>
      <c r="L57" s="16"/>
      <c r="M57" s="16"/>
      <c r="N57" s="16" t="s">
        <v>55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52</v>
      </c>
      <c r="C64" s="16"/>
      <c r="D64" s="16"/>
      <c r="E64" s="16"/>
      <c r="F64" s="16" t="s">
        <v>53</v>
      </c>
      <c r="G64" s="16"/>
      <c r="H64" s="16"/>
      <c r="I64" s="16"/>
      <c r="J64" s="16" t="s">
        <v>54</v>
      </c>
      <c r="K64" s="16"/>
      <c r="L64" s="16"/>
      <c r="M64" s="16"/>
      <c r="N64" s="16" t="s">
        <v>55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8.4250000000000004E-4</v>
      </c>
      <c r="C66" s="6"/>
      <c r="D66" s="6"/>
      <c r="E66">
        <v>9.9964189999999995</v>
      </c>
      <c r="F66" s="3">
        <v>8.7889999999999995E-4</v>
      </c>
      <c r="G66" s="6"/>
      <c r="H66" s="6"/>
      <c r="I66">
        <v>11.642566</v>
      </c>
      <c r="J66" s="3">
        <v>9.1839999999999999E-4</v>
      </c>
      <c r="K66" s="6"/>
      <c r="L66" s="6"/>
      <c r="M66">
        <v>12.696152</v>
      </c>
      <c r="N66" s="3">
        <v>9.5330000000000002E-4</v>
      </c>
      <c r="O66" s="6"/>
      <c r="P66" s="6"/>
      <c r="Q66">
        <v>9.7141559999999991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4.2049999999999995E-3</v>
      </c>
      <c r="G75">
        <f t="shared" si="1"/>
        <v>4.2049999999999995E-3</v>
      </c>
      <c r="H75">
        <f t="shared" si="2"/>
        <v>21.120142000000001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4.2049999999999995E-3</v>
      </c>
      <c r="M75">
        <f>I25+E25</f>
        <v>26.547170000000001</v>
      </c>
      <c r="P75" s="21"/>
      <c r="Q75" t="s">
        <v>37</v>
      </c>
      <c r="R75">
        <f t="shared" si="6"/>
        <v>4.2100000000000002E-3</v>
      </c>
      <c r="S75">
        <f t="shared" si="7"/>
        <v>4.2100000000000002E-3</v>
      </c>
      <c r="U75">
        <f t="shared" si="8"/>
        <v>1.9819999999999997E-2</v>
      </c>
      <c r="V75">
        <f t="shared" si="9"/>
        <v>1.9910000000000004E-2</v>
      </c>
      <c r="X75">
        <f>0.1*F25+(1-0.1)*B25</f>
        <v>4.2100000000000002E-3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4.2199999999999998E-3</v>
      </c>
      <c r="G81">
        <f t="shared" si="11"/>
        <v>4.2199999999999998E-3</v>
      </c>
      <c r="I81">
        <f t="shared" si="12"/>
        <v>1.9939999999999999E-2</v>
      </c>
      <c r="J81">
        <f t="shared" si="13"/>
        <v>2.0020000000000003E-2</v>
      </c>
      <c r="L81">
        <f>0.2*F25+(1-0.2)*B25</f>
        <v>4.2199999999999998E-3</v>
      </c>
      <c r="P81" s="21"/>
      <c r="Q81" t="s">
        <v>37</v>
      </c>
      <c r="R81">
        <f t="shared" si="14"/>
        <v>4.2299999999999994E-3</v>
      </c>
      <c r="S81">
        <f t="shared" si="15"/>
        <v>4.2299999999999994E-3</v>
      </c>
      <c r="U81">
        <f t="shared" si="16"/>
        <v>2.0059999999999998E-2</v>
      </c>
      <c r="V81">
        <f t="shared" si="17"/>
        <v>2.0130000000000002E-2</v>
      </c>
      <c r="X81">
        <f>0.3*F25+(1-0.3)*B25</f>
        <v>4.2299999999999994E-3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4.2100000000000002E-3</v>
      </c>
      <c r="G88">
        <f t="shared" si="19"/>
        <v>4.2102500000000005E-3</v>
      </c>
      <c r="H88">
        <f t="shared" si="20"/>
        <v>32.768062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4.2100000000000002E-3</v>
      </c>
      <c r="M88">
        <f>M25+I25+E25</f>
        <v>39.721493000000002</v>
      </c>
      <c r="O88" s="20"/>
      <c r="P88" s="21"/>
      <c r="Q88" t="s">
        <v>37</v>
      </c>
      <c r="R88">
        <f t="shared" si="24"/>
        <v>4.2199999999999998E-3</v>
      </c>
      <c r="S88">
        <f t="shared" si="25"/>
        <v>4.2209999999999999E-3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4.2199999999999998E-3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4.2399999999999998E-3</v>
      </c>
      <c r="G94">
        <f t="shared" si="29"/>
        <v>4.2439999999999995E-3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4.2399999999999998E-3</v>
      </c>
      <c r="O94" s="20"/>
      <c r="P94" s="21"/>
      <c r="Q94" t="s">
        <v>37</v>
      </c>
      <c r="R94">
        <f t="shared" si="32"/>
        <v>4.2599999999999999E-3</v>
      </c>
      <c r="S94">
        <f t="shared" si="33"/>
        <v>4.2690000000000002E-3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4.2599999999999999E-3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4.2149999999999991E-3</v>
      </c>
      <c r="G101">
        <f t="shared" si="37"/>
        <v>4.2157249999999992E-3</v>
      </c>
      <c r="H101">
        <f t="shared" si="38"/>
        <v>43.849464000000005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4.2149999999999991E-3</v>
      </c>
      <c r="M101">
        <f>Q25+M25+I25+E25</f>
        <v>52.137923000000001</v>
      </c>
      <c r="N101" s="24"/>
      <c r="O101" s="20"/>
      <c r="P101" s="21"/>
      <c r="Q101" t="s">
        <v>37</v>
      </c>
      <c r="R101">
        <f t="shared" si="42"/>
        <v>4.2299999999999994E-3</v>
      </c>
      <c r="S101">
        <f t="shared" si="43"/>
        <v>4.2327999999999992E-3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4.2299999999999994E-3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4.2599999999999999E-3</v>
      </c>
      <c r="G107">
        <f t="shared" si="47"/>
        <v>4.2703999999999988E-3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4.2599999999999999E-3</v>
      </c>
      <c r="N107" s="24"/>
      <c r="O107" s="20"/>
      <c r="P107" s="21"/>
      <c r="Q107" t="s">
        <v>37</v>
      </c>
      <c r="R107">
        <f t="shared" si="50"/>
        <v>4.2900000000000004E-3</v>
      </c>
      <c r="S107">
        <f t="shared" si="51"/>
        <v>4.3116000000000005E-3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4.2900000000000004E-3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3.9049999999999996E-3</v>
      </c>
      <c r="G114">
        <f t="shared" si="55"/>
        <v>4.0049999999999999E-3</v>
      </c>
      <c r="H114">
        <f t="shared" si="56"/>
        <v>203.639386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3.9049999999999996E-3</v>
      </c>
      <c r="M114">
        <f>AA25+W25</f>
        <v>25.619911999999999</v>
      </c>
      <c r="P114" s="21"/>
      <c r="Q114" t="s">
        <v>37</v>
      </c>
      <c r="R114">
        <f t="shared" si="60"/>
        <v>3.9100000000000003E-3</v>
      </c>
      <c r="S114">
        <f t="shared" si="61"/>
        <v>4.0100000000000005E-3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3.9100000000000003E-3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3.9199999999999999E-3</v>
      </c>
      <c r="G120">
        <f t="shared" si="65"/>
        <v>4.0200000000000001E-3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3.9199999999999999E-3</v>
      </c>
      <c r="P120" s="21"/>
      <c r="Q120" t="s">
        <v>37</v>
      </c>
      <c r="R120">
        <f t="shared" si="68"/>
        <v>3.9299999999999995E-3</v>
      </c>
      <c r="S120">
        <f t="shared" si="69"/>
        <v>4.0299999999999997E-3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3.9299999999999995E-3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3.9100000000000003E-3</v>
      </c>
      <c r="G127">
        <f t="shared" si="73"/>
        <v>4.0100000000000005E-3</v>
      </c>
      <c r="H127">
        <f t="shared" si="74"/>
        <v>308.87021800000002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3.9102500000000005E-3</v>
      </c>
      <c r="M127">
        <f>AE25+AA25+W25</f>
        <v>39.180588999999998</v>
      </c>
      <c r="O127" s="20"/>
      <c r="P127" s="21"/>
      <c r="Q127" t="s">
        <v>37</v>
      </c>
      <c r="R127">
        <f t="shared" si="78"/>
        <v>3.9199999999999999E-3</v>
      </c>
      <c r="S127">
        <f t="shared" si="79"/>
        <v>4.0200000000000001E-3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3.921E-3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3.9399999999999999E-3</v>
      </c>
      <c r="G133">
        <f t="shared" si="83"/>
        <v>4.0400000000000002E-3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3.9439999999999996E-3</v>
      </c>
      <c r="O133" s="20"/>
      <c r="P133" s="21"/>
      <c r="Q133" t="s">
        <v>37</v>
      </c>
      <c r="R133">
        <f t="shared" si="86"/>
        <v>3.96E-3</v>
      </c>
      <c r="S133">
        <f t="shared" si="87"/>
        <v>4.0600000000000002E-3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3.9690000000000003E-3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3.9149999999999992E-3</v>
      </c>
      <c r="G140">
        <f t="shared" si="91"/>
        <v>4.0149999999999995E-3</v>
      </c>
      <c r="H140">
        <f t="shared" si="92"/>
        <v>411.435586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3.9157249999999992E-3</v>
      </c>
      <c r="M140">
        <f>AI25+AE25+AA25+W25</f>
        <v>51.367241999999997</v>
      </c>
      <c r="N140" s="24"/>
      <c r="O140" s="20"/>
      <c r="P140" s="21"/>
      <c r="Q140" t="s">
        <v>37</v>
      </c>
      <c r="R140">
        <f t="shared" si="96"/>
        <v>3.9299999999999995E-3</v>
      </c>
      <c r="S140">
        <f t="shared" si="97"/>
        <v>4.0300000000000006E-3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3.9328000000000002E-3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3.96E-3</v>
      </c>
      <c r="G146">
        <f t="shared" si="101"/>
        <v>4.0599999999999994E-3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3.9703999999999998E-3</v>
      </c>
      <c r="N146" s="24"/>
      <c r="O146" s="20"/>
      <c r="P146" s="21"/>
      <c r="Q146" t="s">
        <v>37</v>
      </c>
      <c r="R146">
        <f t="shared" si="104"/>
        <v>3.9900000000000005E-3</v>
      </c>
      <c r="S146">
        <f t="shared" si="105"/>
        <v>4.0900000000000008E-3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4.0116000000000006E-3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2.5049999999999998E-3</v>
      </c>
      <c r="G153">
        <f t="shared" si="109"/>
        <v>3.6049999999999997E-3</v>
      </c>
      <c r="H153">
        <f t="shared" si="110"/>
        <v>208.869831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3.2100000000000002E-3</v>
      </c>
      <c r="M153">
        <f>I46+E46</f>
        <v>25.860337999999999</v>
      </c>
      <c r="P153" s="21"/>
      <c r="Q153" t="s">
        <v>37</v>
      </c>
      <c r="R153">
        <f t="shared" si="114"/>
        <v>2.5100000000000001E-3</v>
      </c>
      <c r="S153">
        <f t="shared" si="115"/>
        <v>3.6099999999999999E-3</v>
      </c>
      <c r="U153">
        <f t="shared" si="116"/>
        <v>1.311E-2</v>
      </c>
      <c r="V153">
        <f t="shared" si="117"/>
        <v>1.6389999999999998E-2</v>
      </c>
      <c r="X153">
        <f>0.1*F46+(1-0.1)*B46</f>
        <v>3.2200000000000002E-3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2.5200000000000001E-3</v>
      </c>
      <c r="G159">
        <f t="shared" si="119"/>
        <v>3.6200000000000004E-3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3.2400000000000003E-3</v>
      </c>
      <c r="P159" s="21"/>
      <c r="Q159" t="s">
        <v>37</v>
      </c>
      <c r="R159">
        <f t="shared" si="122"/>
        <v>2.5299999999999997E-3</v>
      </c>
      <c r="S159">
        <f t="shared" si="123"/>
        <v>3.6299999999999995E-3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3.2599999999999999E-3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2.5097500000000003E-3</v>
      </c>
      <c r="G166">
        <f t="shared" si="127"/>
        <v>3.6100000000000004E-3</v>
      </c>
      <c r="H166">
        <f t="shared" si="128"/>
        <v>309.98970700000001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3.2195000000000001E-3</v>
      </c>
      <c r="M166">
        <f>M46+I46+E46</f>
        <v>39.446867000000005</v>
      </c>
      <c r="O166" s="20"/>
      <c r="P166" s="21"/>
      <c r="Q166" t="s">
        <v>37</v>
      </c>
      <c r="R166">
        <f t="shared" si="132"/>
        <v>2.5190000000000004E-3</v>
      </c>
      <c r="S166">
        <f t="shared" si="133"/>
        <v>3.6200000000000004E-3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3.238E-3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2.5360000000000001E-3</v>
      </c>
      <c r="G172">
        <f t="shared" si="137"/>
        <v>3.64E-3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3.2720000000000002E-3</v>
      </c>
      <c r="O172" s="20"/>
      <c r="P172" s="21"/>
      <c r="Q172" t="s">
        <v>37</v>
      </c>
      <c r="R172">
        <f t="shared" si="140"/>
        <v>2.5510000000000003E-3</v>
      </c>
      <c r="S172">
        <f t="shared" si="141"/>
        <v>3.6600000000000005E-3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3.3020000000000002E-3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2.5142749999999998E-3</v>
      </c>
      <c r="G179">
        <f t="shared" si="145"/>
        <v>3.6149999999999997E-3</v>
      </c>
      <c r="H179">
        <f t="shared" si="146"/>
        <v>414.85555999999997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3.2285374999999998E-3</v>
      </c>
      <c r="M179">
        <f>Q46+M46+I46+E46</f>
        <v>53.512667999999998</v>
      </c>
      <c r="N179" s="24"/>
      <c r="O179" s="20"/>
      <c r="P179" s="21"/>
      <c r="Q179" t="s">
        <v>37</v>
      </c>
      <c r="R179">
        <f t="shared" si="150"/>
        <v>2.5271999999999998E-3</v>
      </c>
      <c r="S179">
        <f t="shared" si="151"/>
        <v>3.6299999999999995E-3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3.2543000000000003E-3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2.5496E-3</v>
      </c>
      <c r="G185">
        <f t="shared" si="155"/>
        <v>3.6600000000000001E-3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3.2983999999999999E-3</v>
      </c>
      <c r="N185" s="24"/>
      <c r="O185" s="20"/>
      <c r="P185" s="21"/>
      <c r="Q185" t="s">
        <v>37</v>
      </c>
      <c r="R185">
        <f t="shared" si="158"/>
        <v>2.5684000000000002E-3</v>
      </c>
      <c r="S185">
        <f t="shared" si="159"/>
        <v>3.6900000000000001E-3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3.3341E-3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1.0999999999999998E-3</v>
      </c>
      <c r="G192">
        <f t="shared" si="163"/>
        <v>3.0000000000000001E-3</v>
      </c>
      <c r="H192">
        <f t="shared" si="164"/>
        <v>206.94907899999998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2.1999999999999997E-3</v>
      </c>
      <c r="M192">
        <f>AA46+W46</f>
        <v>26.509827000000001</v>
      </c>
      <c r="P192" s="21"/>
      <c r="Q192" t="s">
        <v>37</v>
      </c>
      <c r="R192">
        <f t="shared" si="168"/>
        <v>1.1000000000000001E-3</v>
      </c>
      <c r="S192">
        <f t="shared" si="169"/>
        <v>3.0000000000000001E-3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2.2000000000000001E-3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1.1000000000000003E-3</v>
      </c>
      <c r="G198">
        <f t="shared" si="173"/>
        <v>3.0000000000000001E-3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2.2000000000000006E-3</v>
      </c>
      <c r="P198" s="21"/>
      <c r="Q198" t="s">
        <v>37</v>
      </c>
      <c r="R198">
        <f t="shared" si="176"/>
        <v>1.0999999999999998E-3</v>
      </c>
      <c r="S198">
        <f t="shared" si="177"/>
        <v>3.0000000000000001E-3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2.1999999999999997E-3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1.1000000000000001E-3</v>
      </c>
      <c r="G205">
        <f t="shared" si="181"/>
        <v>3.0002500000000003E-3</v>
      </c>
      <c r="H205">
        <f t="shared" si="182"/>
        <v>309.714383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2.2002500000000004E-3</v>
      </c>
      <c r="M205">
        <f>AE46+AA46+W46</f>
        <v>39.218801999999997</v>
      </c>
      <c r="O205" s="20"/>
      <c r="P205" s="21"/>
      <c r="Q205" t="s">
        <v>37</v>
      </c>
      <c r="R205">
        <f t="shared" si="186"/>
        <v>1.1000000000000001E-3</v>
      </c>
      <c r="S205">
        <f t="shared" si="187"/>
        <v>3.0010000000000002E-3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2.2010000000000003E-3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1.1000000000000001E-3</v>
      </c>
      <c r="G211">
        <f t="shared" si="191"/>
        <v>3.0040000000000002E-3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2.2040000000000002E-3</v>
      </c>
      <c r="O211" s="20"/>
      <c r="P211" s="21"/>
      <c r="Q211" t="s">
        <v>37</v>
      </c>
      <c r="R211">
        <f t="shared" si="194"/>
        <v>1.1000000000000001E-3</v>
      </c>
      <c r="S211">
        <f t="shared" si="195"/>
        <v>3.0090000000000004E-3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2.209E-3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1.1000125E-3</v>
      </c>
      <c r="G218">
        <f t="shared" si="199"/>
        <v>3.0007374999999996E-3</v>
      </c>
      <c r="H218">
        <f t="shared" si="200"/>
        <v>409.07022799999999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2.2007249999999997E-3</v>
      </c>
      <c r="M218">
        <f>AI46+AE46+AA46+W46</f>
        <v>51.626864999999995</v>
      </c>
      <c r="N218" s="24"/>
      <c r="O218" s="20"/>
      <c r="P218" s="21"/>
      <c r="Q218" t="s">
        <v>37</v>
      </c>
      <c r="R218">
        <f t="shared" si="204"/>
        <v>1.1001000000000001E-3</v>
      </c>
      <c r="S218">
        <f t="shared" si="205"/>
        <v>3.0029000000000002E-3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2.2028E-3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1.1007999999999999E-3</v>
      </c>
      <c r="G224">
        <f t="shared" si="209"/>
        <v>3.0111999999999999E-3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2.2104E-3</v>
      </c>
      <c r="N224" s="24"/>
      <c r="O224" s="20"/>
      <c r="P224" s="21"/>
      <c r="Q224" t="s">
        <v>37</v>
      </c>
      <c r="R224">
        <f t="shared" si="212"/>
        <v>1.1027000000000003E-3</v>
      </c>
      <c r="S224">
        <f t="shared" si="213"/>
        <v>3.0243000000000006E-3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2.2216000000000002E-3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1.8E-3</v>
      </c>
      <c r="H231">
        <f t="shared" si="218"/>
        <v>181.01288899999997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8.0037499999999998E-4</v>
      </c>
      <c r="M231">
        <f>I66+E66</f>
        <v>21.638984999999998</v>
      </c>
      <c r="P231" s="21"/>
      <c r="Q231" t="s">
        <v>37</v>
      </c>
      <c r="R231">
        <f t="shared" si="222"/>
        <v>4.0000000000000002E-4</v>
      </c>
      <c r="S231">
        <f t="shared" si="223"/>
        <v>1.8E-3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7.5825000000000003E-4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1.8000000000000002E-3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6.7400000000000012E-4</v>
      </c>
      <c r="P237" s="21"/>
      <c r="Q237" t="s">
        <v>37</v>
      </c>
      <c r="R237">
        <f t="shared" si="230"/>
        <v>3.9999999999999996E-4</v>
      </c>
      <c r="S237">
        <f t="shared" si="231"/>
        <v>1.8E-3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5.8975E-4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1.8002500000000002E-3</v>
      </c>
      <c r="H244">
        <f t="shared" si="236"/>
        <v>272.06419599999998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7.6265225000000014E-4</v>
      </c>
      <c r="M244">
        <f>M66+I66+E66</f>
        <v>34.335137000000003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1.8010000000000001E-3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6.9160900000000004E-4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1.804E-3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5.7593599999999998E-4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1.8090000000000001E-3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4.9548100000000009E-4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1.8007374999999997E-3</v>
      </c>
      <c r="H257">
        <f t="shared" si="254"/>
        <v>360.99144699999999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7.2900120000000002E-4</v>
      </c>
      <c r="M257">
        <f>Q66+M66+I66+E66</f>
        <v>44.049293000000006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1.8028999999999999E-3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6.3993259999999995E-4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1.8111999999999998E-3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5.2715279999999986E-4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1.8243000000000001E-3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4.8829420000000008E-4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56</v>
      </c>
      <c r="C9" s="16"/>
      <c r="D9" s="16"/>
      <c r="E9" s="16"/>
      <c r="F9" s="16" t="s">
        <v>57</v>
      </c>
      <c r="G9" s="16"/>
      <c r="H9" s="16"/>
      <c r="I9" s="16"/>
      <c r="J9" s="16" t="s">
        <v>58</v>
      </c>
      <c r="K9" s="16"/>
      <c r="L9" s="16"/>
      <c r="M9" s="16"/>
      <c r="N9" s="16" t="s">
        <v>59</v>
      </c>
      <c r="O9" s="16"/>
      <c r="P9" s="16"/>
      <c r="Q9" s="16"/>
      <c r="S9" s="22" t="s">
        <v>12</v>
      </c>
      <c r="T9" s="16" t="s">
        <v>56</v>
      </c>
      <c r="U9" s="16"/>
      <c r="V9" s="16"/>
      <c r="W9" s="16"/>
      <c r="X9" s="16" t="s">
        <v>57</v>
      </c>
      <c r="Y9" s="16"/>
      <c r="Z9" s="16"/>
      <c r="AA9" s="16"/>
      <c r="AB9" s="16" t="s">
        <v>58</v>
      </c>
      <c r="AC9" s="16"/>
      <c r="AD9" s="16"/>
      <c r="AE9" s="16"/>
      <c r="AF9" s="16" t="s">
        <v>59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3.7000000000000002E-3</v>
      </c>
      <c r="D13" s="10">
        <v>3.8E-3</v>
      </c>
      <c r="E13" s="10">
        <v>5.3006019999999996</v>
      </c>
      <c r="F13" t="s">
        <v>22</v>
      </c>
      <c r="G13" s="10">
        <v>3.3E-3</v>
      </c>
      <c r="H13" s="10">
        <v>3.3999999999999998E-3</v>
      </c>
      <c r="I13" s="10">
        <v>3.4129179999999999</v>
      </c>
      <c r="J13" t="s">
        <v>22</v>
      </c>
      <c r="K13" s="10">
        <v>4.0000000000000001E-3</v>
      </c>
      <c r="L13" s="10">
        <v>4.0000000000000001E-3</v>
      </c>
      <c r="M13" s="10">
        <v>6.2661350000000002</v>
      </c>
      <c r="N13" t="s">
        <v>22</v>
      </c>
      <c r="O13" s="10">
        <v>4.1000000000000003E-3</v>
      </c>
      <c r="P13" s="10">
        <v>4.1000000000000003E-3</v>
      </c>
      <c r="Q13" s="10">
        <v>6.2699059999999998</v>
      </c>
      <c r="S13" s="22"/>
      <c r="T13" t="s">
        <v>22</v>
      </c>
      <c r="U13">
        <v>3.5000000000000001E-3</v>
      </c>
      <c r="V13">
        <v>3.5999999999999999E-3</v>
      </c>
      <c r="W13">
        <v>47.439568000000001</v>
      </c>
      <c r="X13" t="s">
        <v>22</v>
      </c>
      <c r="Y13">
        <v>3.5999999999999999E-3</v>
      </c>
      <c r="Z13">
        <v>3.7000000000000002E-3</v>
      </c>
      <c r="AA13">
        <v>49.746729000000002</v>
      </c>
      <c r="AB13" t="s">
        <v>22</v>
      </c>
      <c r="AC13">
        <v>3.7000000000000002E-3</v>
      </c>
      <c r="AD13">
        <v>3.8E-3</v>
      </c>
      <c r="AE13">
        <v>47.577663999999999</v>
      </c>
      <c r="AF13" t="s">
        <v>22</v>
      </c>
      <c r="AG13">
        <v>3.8E-3</v>
      </c>
      <c r="AH13">
        <v>3.8999999999999998E-3</v>
      </c>
      <c r="AI13">
        <v>48.948908000000003</v>
      </c>
    </row>
    <row r="16" spans="1:35" x14ac:dyDescent="0.25">
      <c r="A16" s="18" t="s">
        <v>23</v>
      </c>
      <c r="B16" s="16" t="s">
        <v>56</v>
      </c>
      <c r="C16" s="16"/>
      <c r="D16" s="16"/>
      <c r="E16" s="16"/>
      <c r="F16" s="16" t="s">
        <v>57</v>
      </c>
      <c r="G16" s="16"/>
      <c r="H16" s="16"/>
      <c r="I16" s="16"/>
      <c r="J16" s="16" t="s">
        <v>58</v>
      </c>
      <c r="K16" s="16"/>
      <c r="L16" s="16"/>
      <c r="M16" s="16"/>
      <c r="N16" s="16" t="s">
        <v>59</v>
      </c>
      <c r="O16" s="16"/>
      <c r="P16" s="16"/>
      <c r="Q16" s="16"/>
      <c r="S16" s="18" t="s">
        <v>23</v>
      </c>
      <c r="T16" s="16" t="s">
        <v>56</v>
      </c>
      <c r="U16" s="16"/>
      <c r="V16" s="16"/>
      <c r="W16" s="16"/>
      <c r="X16" s="16" t="s">
        <v>57</v>
      </c>
      <c r="Y16" s="16"/>
      <c r="Z16" s="16"/>
      <c r="AA16" s="16"/>
      <c r="AB16" s="16" t="s">
        <v>58</v>
      </c>
      <c r="AC16" s="16"/>
      <c r="AD16" s="16"/>
      <c r="AE16" s="16"/>
      <c r="AF16" s="16" t="s">
        <v>59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56</v>
      </c>
      <c r="C23" s="16"/>
      <c r="D23" s="16"/>
      <c r="E23" s="16"/>
      <c r="F23" s="16" t="s">
        <v>57</v>
      </c>
      <c r="G23" s="16"/>
      <c r="H23" s="16"/>
      <c r="I23" s="16"/>
      <c r="J23" s="16" t="s">
        <v>58</v>
      </c>
      <c r="K23" s="16"/>
      <c r="L23" s="16"/>
      <c r="M23" s="16"/>
      <c r="N23" s="16" t="s">
        <v>59</v>
      </c>
      <c r="O23" s="16"/>
      <c r="P23" s="16"/>
      <c r="Q23" s="16"/>
      <c r="S23" s="23" t="s">
        <v>24</v>
      </c>
      <c r="T23" s="16" t="s">
        <v>56</v>
      </c>
      <c r="U23" s="16"/>
      <c r="V23" s="16"/>
      <c r="W23" s="16"/>
      <c r="X23" s="16" t="s">
        <v>57</v>
      </c>
      <c r="Y23" s="16"/>
      <c r="Z23" s="16"/>
      <c r="AA23" s="16"/>
      <c r="AB23" s="16" t="s">
        <v>58</v>
      </c>
      <c r="AC23" s="16"/>
      <c r="AD23" s="16"/>
      <c r="AE23" s="16"/>
      <c r="AF23" s="16" t="s">
        <v>59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3.8E-3</v>
      </c>
      <c r="C25" s="6"/>
      <c r="D25" s="6"/>
      <c r="E25">
        <v>9.9468359999999993</v>
      </c>
      <c r="F25">
        <v>3.8999999999999998E-3</v>
      </c>
      <c r="G25" s="6"/>
      <c r="H25" s="6"/>
      <c r="I25">
        <v>10.218499</v>
      </c>
      <c r="J25" s="9">
        <v>4.0000000000000001E-3</v>
      </c>
      <c r="K25" s="6"/>
      <c r="L25" s="6"/>
      <c r="M25" s="8">
        <v>9.1793329999999997</v>
      </c>
      <c r="N25" s="6">
        <v>4.1000000000000003E-3</v>
      </c>
      <c r="O25" s="6"/>
      <c r="P25" s="6"/>
      <c r="Q25">
        <v>8.9310089999999995</v>
      </c>
      <c r="S25" s="23"/>
      <c r="T25" s="6">
        <v>3.5999999999999999E-3</v>
      </c>
      <c r="U25" s="6"/>
      <c r="V25" s="6"/>
      <c r="W25">
        <v>9.7396259999999995</v>
      </c>
      <c r="X25" s="6">
        <v>3.7000000000000002E-3</v>
      </c>
      <c r="Y25" s="6"/>
      <c r="Z25" s="6"/>
      <c r="AA25">
        <v>9.2627030000000001</v>
      </c>
      <c r="AB25" s="6">
        <v>3.7000000000000002E-3</v>
      </c>
      <c r="AC25" s="6"/>
      <c r="AD25" s="6"/>
      <c r="AE25">
        <v>9.6504100000000008</v>
      </c>
      <c r="AF25" s="6">
        <v>3.8999999999999998E-3</v>
      </c>
      <c r="AG25" s="6"/>
      <c r="AH25" s="6"/>
      <c r="AI25">
        <v>10.828905000000001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56</v>
      </c>
      <c r="C30" s="16"/>
      <c r="D30" s="16"/>
      <c r="E30" s="16"/>
      <c r="F30" s="16" t="s">
        <v>57</v>
      </c>
      <c r="G30" s="16"/>
      <c r="H30" s="16"/>
      <c r="I30" s="16"/>
      <c r="J30" s="16" t="s">
        <v>58</v>
      </c>
      <c r="K30" s="16"/>
      <c r="L30" s="16"/>
      <c r="M30" s="16"/>
      <c r="N30" s="16" t="s">
        <v>59</v>
      </c>
      <c r="O30" s="16"/>
      <c r="P30" s="16"/>
      <c r="Q30" s="16"/>
      <c r="S30" s="22" t="s">
        <v>12</v>
      </c>
      <c r="T30" s="16" t="s">
        <v>56</v>
      </c>
      <c r="U30" s="16"/>
      <c r="V30" s="16"/>
      <c r="W30" s="16"/>
      <c r="X30" s="16" t="s">
        <v>57</v>
      </c>
      <c r="Y30" s="16"/>
      <c r="Z30" s="16"/>
      <c r="AA30" s="16"/>
      <c r="AB30" s="16" t="s">
        <v>58</v>
      </c>
      <c r="AC30" s="16"/>
      <c r="AD30" s="16"/>
      <c r="AE30" s="16"/>
      <c r="AF30" s="16" t="s">
        <v>59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2.3999999999999998E-3</v>
      </c>
      <c r="D34">
        <v>3.2000000000000002E-3</v>
      </c>
      <c r="E34">
        <v>47.640836999999998</v>
      </c>
      <c r="F34" t="s">
        <v>22</v>
      </c>
      <c r="G34">
        <v>2.5000000000000001E-3</v>
      </c>
      <c r="H34">
        <v>3.3E-3</v>
      </c>
      <c r="I34">
        <v>47.238723</v>
      </c>
      <c r="J34" t="s">
        <v>22</v>
      </c>
      <c r="K34" s="8">
        <v>2.5000000000000001E-3</v>
      </c>
      <c r="L34" s="8">
        <v>3.3999999999999998E-3</v>
      </c>
      <c r="M34">
        <v>53.382668000000002</v>
      </c>
      <c r="N34" t="s">
        <v>22</v>
      </c>
      <c r="O34">
        <v>2.5999999999999999E-3</v>
      </c>
      <c r="P34">
        <v>3.5000000000000001E-3</v>
      </c>
      <c r="Q34">
        <v>52.579555999999997</v>
      </c>
      <c r="S34" s="22"/>
      <c r="T34" t="s">
        <v>22</v>
      </c>
      <c r="U34">
        <v>1E-3</v>
      </c>
      <c r="V34">
        <v>2.7000000000000001E-3</v>
      </c>
      <c r="W34">
        <v>47.884981000000003</v>
      </c>
      <c r="X34" t="s">
        <v>22</v>
      </c>
      <c r="Y34">
        <v>1.1000000000000001E-3</v>
      </c>
      <c r="Z34">
        <v>2.8E-3</v>
      </c>
      <c r="AA34">
        <v>47.883316000000001</v>
      </c>
      <c r="AB34" t="s">
        <v>22</v>
      </c>
      <c r="AC34">
        <v>1.1000000000000001E-3</v>
      </c>
      <c r="AD34">
        <v>2.8E-3</v>
      </c>
      <c r="AE34">
        <v>47.894534</v>
      </c>
      <c r="AF34" t="s">
        <v>22</v>
      </c>
      <c r="AG34">
        <v>1.1999999999999999E-3</v>
      </c>
      <c r="AH34">
        <v>2.8999999999999998E-3</v>
      </c>
      <c r="AI34">
        <v>49.435943999999999</v>
      </c>
    </row>
    <row r="37" spans="1:35" x14ac:dyDescent="0.25">
      <c r="A37" s="18" t="s">
        <v>23</v>
      </c>
      <c r="B37" s="16" t="s">
        <v>56</v>
      </c>
      <c r="C37" s="16"/>
      <c r="D37" s="16"/>
      <c r="E37" s="16"/>
      <c r="F37" s="16" t="s">
        <v>57</v>
      </c>
      <c r="G37" s="16"/>
      <c r="H37" s="16"/>
      <c r="I37" s="16"/>
      <c r="J37" s="16" t="s">
        <v>58</v>
      </c>
      <c r="K37" s="16"/>
      <c r="L37" s="16"/>
      <c r="M37" s="16"/>
      <c r="N37" s="16" t="s">
        <v>59</v>
      </c>
      <c r="O37" s="16"/>
      <c r="P37" s="16"/>
      <c r="Q37" s="16"/>
      <c r="S37" s="18" t="s">
        <v>23</v>
      </c>
      <c r="T37" s="16" t="s">
        <v>56</v>
      </c>
      <c r="U37" s="16"/>
      <c r="V37" s="16"/>
      <c r="W37" s="16"/>
      <c r="X37" s="16" t="s">
        <v>57</v>
      </c>
      <c r="Y37" s="16"/>
      <c r="Z37" s="16"/>
      <c r="AA37" s="16"/>
      <c r="AB37" s="16" t="s">
        <v>58</v>
      </c>
      <c r="AC37" s="16"/>
      <c r="AD37" s="16"/>
      <c r="AE37" s="16"/>
      <c r="AF37" s="16" t="s">
        <v>59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56</v>
      </c>
      <c r="C44" s="16"/>
      <c r="D44" s="16"/>
      <c r="E44" s="16"/>
      <c r="F44" s="16" t="s">
        <v>57</v>
      </c>
      <c r="G44" s="16"/>
      <c r="H44" s="16"/>
      <c r="I44" s="16"/>
      <c r="J44" s="16" t="s">
        <v>58</v>
      </c>
      <c r="K44" s="16"/>
      <c r="L44" s="16"/>
      <c r="M44" s="16"/>
      <c r="N44" s="16" t="s">
        <v>59</v>
      </c>
      <c r="O44" s="16"/>
      <c r="P44" s="16"/>
      <c r="Q44" s="16"/>
      <c r="S44" s="23" t="s">
        <v>24</v>
      </c>
      <c r="T44" s="16" t="s">
        <v>56</v>
      </c>
      <c r="U44" s="16"/>
      <c r="V44" s="16"/>
      <c r="W44" s="16"/>
      <c r="X44" s="16" t="s">
        <v>57</v>
      </c>
      <c r="Y44" s="16"/>
      <c r="Z44" s="16"/>
      <c r="AA44" s="16"/>
      <c r="AB44" s="16" t="s">
        <v>58</v>
      </c>
      <c r="AC44" s="16"/>
      <c r="AD44" s="16"/>
      <c r="AE44" s="16"/>
      <c r="AF44" s="16" t="s">
        <v>59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3.0000000000000001E-3</v>
      </c>
      <c r="C46" s="6"/>
      <c r="D46" s="6"/>
      <c r="E46">
        <v>9.2091390000000004</v>
      </c>
      <c r="F46" s="6">
        <v>3.0999999999999999E-3</v>
      </c>
      <c r="G46" s="6"/>
      <c r="H46" s="6"/>
      <c r="I46">
        <v>9.1510979999999993</v>
      </c>
      <c r="J46" s="6">
        <v>3.0999999999999999E-3</v>
      </c>
      <c r="K46" s="6"/>
      <c r="L46" s="6"/>
      <c r="M46">
        <v>18.539570000000001</v>
      </c>
      <c r="N46" s="6">
        <v>3.3E-3</v>
      </c>
      <c r="O46" s="6"/>
      <c r="P46" s="6"/>
      <c r="Q46">
        <v>9.9128659999999993</v>
      </c>
      <c r="S46" s="23"/>
      <c r="T46" s="6">
        <v>2E-3</v>
      </c>
      <c r="U46" s="6"/>
      <c r="V46" s="6"/>
      <c r="W46">
        <v>9.6297309999999996</v>
      </c>
      <c r="X46" s="6">
        <v>2.0999999999999999E-3</v>
      </c>
      <c r="Y46" s="6"/>
      <c r="Z46" s="6"/>
      <c r="AA46">
        <v>9.8688350000000007</v>
      </c>
      <c r="AB46" s="6">
        <v>2.0999999999999999E-3</v>
      </c>
      <c r="AC46" s="6"/>
      <c r="AD46" s="6"/>
      <c r="AE46">
        <v>10.379201</v>
      </c>
      <c r="AF46" s="6">
        <v>2.2000000000000001E-3</v>
      </c>
      <c r="AG46" s="6"/>
      <c r="AH46" s="6"/>
      <c r="AI46">
        <v>10.773046000000001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56</v>
      </c>
      <c r="C50" s="16"/>
      <c r="D50" s="16"/>
      <c r="E50" s="16"/>
      <c r="F50" s="16" t="s">
        <v>57</v>
      </c>
      <c r="G50" s="16"/>
      <c r="H50" s="16"/>
      <c r="I50" s="16"/>
      <c r="J50" s="16" t="s">
        <v>58</v>
      </c>
      <c r="K50" s="16"/>
      <c r="L50" s="16"/>
      <c r="M50" s="16"/>
      <c r="N50" s="16" t="s">
        <v>59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1.6000000000000001E-3</v>
      </c>
      <c r="E54">
        <v>45.012281000000002</v>
      </c>
      <c r="F54" t="s">
        <v>22</v>
      </c>
      <c r="G54">
        <v>4.0000000000000002E-4</v>
      </c>
      <c r="H54">
        <v>1.6999999999999999E-3</v>
      </c>
      <c r="I54">
        <v>45.410271999999999</v>
      </c>
      <c r="J54" t="s">
        <v>22</v>
      </c>
      <c r="K54">
        <v>4.0000000000000002E-4</v>
      </c>
      <c r="L54">
        <v>1.6999999999999999E-3</v>
      </c>
      <c r="M54">
        <v>46.108434000000003</v>
      </c>
      <c r="N54" t="s">
        <v>22</v>
      </c>
      <c r="O54">
        <v>4.0000000000000002E-4</v>
      </c>
      <c r="P54">
        <v>1.8E-3</v>
      </c>
      <c r="Q54">
        <v>45.206414000000002</v>
      </c>
    </row>
    <row r="57" spans="1:17" x14ac:dyDescent="0.25">
      <c r="A57" s="18" t="s">
        <v>23</v>
      </c>
      <c r="B57" s="16" t="s">
        <v>56</v>
      </c>
      <c r="C57" s="16"/>
      <c r="D57" s="16"/>
      <c r="E57" s="16"/>
      <c r="F57" s="16" t="s">
        <v>57</v>
      </c>
      <c r="G57" s="16"/>
      <c r="H57" s="16"/>
      <c r="I57" s="16"/>
      <c r="J57" s="16" t="s">
        <v>58</v>
      </c>
      <c r="K57" s="16"/>
      <c r="L57" s="16"/>
      <c r="M57" s="16"/>
      <c r="N57" s="16" t="s">
        <v>59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56</v>
      </c>
      <c r="C64" s="16"/>
      <c r="D64" s="16"/>
      <c r="E64" s="16"/>
      <c r="F64" s="16" t="s">
        <v>57</v>
      </c>
      <c r="G64" s="16"/>
      <c r="H64" s="16"/>
      <c r="I64" s="16"/>
      <c r="J64" s="16" t="s">
        <v>58</v>
      </c>
      <c r="K64" s="16"/>
      <c r="L64" s="16"/>
      <c r="M64" s="16"/>
      <c r="N64" s="16" t="s">
        <v>59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8.1419999999999995E-4</v>
      </c>
      <c r="C66" s="6"/>
      <c r="D66" s="6"/>
      <c r="E66">
        <v>10.180199999999999</v>
      </c>
      <c r="F66" s="3">
        <v>8.5360000000000004E-4</v>
      </c>
      <c r="G66" s="6"/>
      <c r="H66" s="6"/>
      <c r="I66">
        <v>10.100576</v>
      </c>
      <c r="J66" s="3">
        <v>8.7089999999999997E-4</v>
      </c>
      <c r="K66" s="6"/>
      <c r="L66" s="6"/>
      <c r="M66">
        <v>10.287483</v>
      </c>
      <c r="N66" s="3">
        <v>9.1929999999999996E-4</v>
      </c>
      <c r="O66" s="6"/>
      <c r="P66" s="6"/>
      <c r="Q66">
        <v>10.274858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3.6800000000000001E-3</v>
      </c>
      <c r="G75">
        <f t="shared" si="1"/>
        <v>3.7799999999999999E-3</v>
      </c>
      <c r="H75">
        <f t="shared" si="2"/>
        <v>8.713519999999999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3.8049999999999998E-3</v>
      </c>
      <c r="M75">
        <f>I25+E25</f>
        <v>20.165334999999999</v>
      </c>
      <c r="P75" s="21"/>
      <c r="Q75" t="s">
        <v>37</v>
      </c>
      <c r="R75">
        <f t="shared" si="6"/>
        <v>3.6600000000000001E-3</v>
      </c>
      <c r="S75">
        <f t="shared" si="7"/>
        <v>3.7599999999999999E-3</v>
      </c>
      <c r="U75">
        <f t="shared" si="8"/>
        <v>1.9819999999999997E-2</v>
      </c>
      <c r="V75">
        <f t="shared" si="9"/>
        <v>1.9910000000000004E-2</v>
      </c>
      <c r="X75">
        <f>0.1*F25+(1-0.1)*B25</f>
        <v>3.81E-3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3.6200000000000004E-3</v>
      </c>
      <c r="G81">
        <f t="shared" si="11"/>
        <v>3.7200000000000002E-3</v>
      </c>
      <c r="I81">
        <f t="shared" si="12"/>
        <v>1.9939999999999999E-2</v>
      </c>
      <c r="J81">
        <f t="shared" si="13"/>
        <v>2.0020000000000003E-2</v>
      </c>
      <c r="L81">
        <f>0.2*F25+(1-0.2)*B25</f>
        <v>3.82E-3</v>
      </c>
      <c r="P81" s="21"/>
      <c r="Q81" t="s">
        <v>37</v>
      </c>
      <c r="R81">
        <f t="shared" si="14"/>
        <v>3.5799999999999998E-3</v>
      </c>
      <c r="S81">
        <f t="shared" si="15"/>
        <v>3.6800000000000001E-3</v>
      </c>
      <c r="U81">
        <f t="shared" si="16"/>
        <v>2.0059999999999998E-2</v>
      </c>
      <c r="V81">
        <f t="shared" si="17"/>
        <v>2.0130000000000002E-2</v>
      </c>
      <c r="X81">
        <f>0.3*F25+(1-0.3)*B25</f>
        <v>3.8300000000000001E-3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3.6627500000000006E-3</v>
      </c>
      <c r="G88">
        <f t="shared" si="19"/>
        <v>3.7625000000000002E-3</v>
      </c>
      <c r="H88">
        <f t="shared" si="20"/>
        <v>14.979654999999999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3.8100000000000005E-3</v>
      </c>
      <c r="M88">
        <f>M25+I25+E25</f>
        <v>29.344667999999999</v>
      </c>
      <c r="O88" s="20"/>
      <c r="P88" s="21"/>
      <c r="Q88" t="s">
        <v>37</v>
      </c>
      <c r="R88">
        <f t="shared" si="24"/>
        <v>3.6310000000000005E-3</v>
      </c>
      <c r="S88">
        <f t="shared" si="25"/>
        <v>3.7299999999999998E-3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3.82E-3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3.5840000000000004E-3</v>
      </c>
      <c r="G94">
        <f t="shared" si="29"/>
        <v>3.6800000000000001E-3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3.8399999999999997E-3</v>
      </c>
      <c r="O94" s="20"/>
      <c r="P94" s="21"/>
      <c r="Q94" t="s">
        <v>37</v>
      </c>
      <c r="R94">
        <f t="shared" si="32"/>
        <v>3.5590000000000001E-3</v>
      </c>
      <c r="S94">
        <f t="shared" si="33"/>
        <v>3.65E-3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3.8600000000000001E-3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3.6480375E-3</v>
      </c>
      <c r="G101">
        <f t="shared" si="37"/>
        <v>3.7473124999999993E-3</v>
      </c>
      <c r="H101">
        <f t="shared" si="38"/>
        <v>21.249561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3.8149999999999994E-3</v>
      </c>
      <c r="M101">
        <f>Q25+M25+I25+E25</f>
        <v>38.275676999999995</v>
      </c>
      <c r="N101" s="24"/>
      <c r="O101" s="20"/>
      <c r="P101" s="21"/>
      <c r="Q101" t="s">
        <v>37</v>
      </c>
      <c r="R101">
        <f t="shared" si="42"/>
        <v>3.6113E-3</v>
      </c>
      <c r="S101">
        <f t="shared" si="43"/>
        <v>3.7085E-3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3.8299999999999996E-3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3.5783999999999998E-3</v>
      </c>
      <c r="G107">
        <f t="shared" si="47"/>
        <v>3.6679999999999994E-3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3.8599999999999997E-3</v>
      </c>
      <c r="N107" s="24"/>
      <c r="O107" s="20"/>
      <c r="P107" s="21"/>
      <c r="Q107" t="s">
        <v>37</v>
      </c>
      <c r="R107">
        <f t="shared" si="50"/>
        <v>3.5911000000000003E-3</v>
      </c>
      <c r="S107">
        <f t="shared" si="51"/>
        <v>3.6695E-3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3.8900000000000002E-3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3.5049999999999999E-3</v>
      </c>
      <c r="G114">
        <f t="shared" si="55"/>
        <v>3.6049999999999997E-3</v>
      </c>
      <c r="H114">
        <f t="shared" si="56"/>
        <v>97.186296999999996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3.6049999999999997E-3</v>
      </c>
      <c r="M114">
        <f>AA25+W25</f>
        <v>19.002329</v>
      </c>
      <c r="P114" s="21"/>
      <c r="Q114" t="s">
        <v>37</v>
      </c>
      <c r="R114">
        <f t="shared" si="60"/>
        <v>3.5100000000000001E-3</v>
      </c>
      <c r="S114">
        <f t="shared" si="61"/>
        <v>3.6099999999999999E-3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3.6099999999999999E-3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3.5200000000000006E-3</v>
      </c>
      <c r="G120">
        <f t="shared" si="65"/>
        <v>3.6200000000000004E-3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3.6200000000000004E-3</v>
      </c>
      <c r="P120" s="21"/>
      <c r="Q120" t="s">
        <v>37</v>
      </c>
      <c r="R120">
        <f t="shared" si="68"/>
        <v>3.5300000000000002E-3</v>
      </c>
      <c r="S120">
        <f t="shared" si="69"/>
        <v>3.6299999999999995E-3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3.6299999999999995E-3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3.5100000000000005E-3</v>
      </c>
      <c r="G127">
        <f t="shared" si="73"/>
        <v>3.6100000000000004E-3</v>
      </c>
      <c r="H127">
        <f t="shared" si="74"/>
        <v>144.76396099999999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3.6097500000000001E-3</v>
      </c>
      <c r="M127">
        <f>AE25+AA25+W25</f>
        <v>28.652739000000004</v>
      </c>
      <c r="O127" s="20"/>
      <c r="P127" s="21"/>
      <c r="Q127" t="s">
        <v>37</v>
      </c>
      <c r="R127">
        <f t="shared" si="78"/>
        <v>3.5200000000000006E-3</v>
      </c>
      <c r="S127">
        <f t="shared" si="79"/>
        <v>3.6200000000000004E-3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3.6190000000000003E-3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3.5400000000000002E-3</v>
      </c>
      <c r="G133">
        <f t="shared" si="83"/>
        <v>3.64E-3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3.6360000000000003E-3</v>
      </c>
      <c r="O133" s="20"/>
      <c r="P133" s="21"/>
      <c r="Q133" t="s">
        <v>37</v>
      </c>
      <c r="R133">
        <f t="shared" si="86"/>
        <v>3.5600000000000002E-3</v>
      </c>
      <c r="S133">
        <f t="shared" si="87"/>
        <v>3.6600000000000005E-3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3.6510000000000006E-3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3.5149999999999995E-3</v>
      </c>
      <c r="G140">
        <f t="shared" si="91"/>
        <v>3.6149999999999997E-3</v>
      </c>
      <c r="H140">
        <f t="shared" si="92"/>
        <v>193.71286900000001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3.6142874999999996E-3</v>
      </c>
      <c r="M140">
        <f>AI25+AE25+AA25+W25</f>
        <v>39.481644000000003</v>
      </c>
      <c r="N140" s="24"/>
      <c r="O140" s="20"/>
      <c r="P140" s="21"/>
      <c r="Q140" t="s">
        <v>37</v>
      </c>
      <c r="R140">
        <f t="shared" si="96"/>
        <v>3.5299999999999997E-3</v>
      </c>
      <c r="S140">
        <f t="shared" si="97"/>
        <v>3.6299999999999995E-3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3.6273E-3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3.5599999999999998E-3</v>
      </c>
      <c r="G146">
        <f t="shared" si="101"/>
        <v>3.6600000000000001E-3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3.6503999999999998E-3</v>
      </c>
      <c r="N146" s="24"/>
      <c r="O146" s="20"/>
      <c r="P146" s="21"/>
      <c r="Q146" t="s">
        <v>37</v>
      </c>
      <c r="R146">
        <f t="shared" si="104"/>
        <v>3.5900000000000003E-3</v>
      </c>
      <c r="S146">
        <f t="shared" si="105"/>
        <v>3.6900000000000001E-3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3.6711000000000005E-3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2.405E-3</v>
      </c>
      <c r="G153">
        <f t="shared" si="109"/>
        <v>3.2050000000000004E-3</v>
      </c>
      <c r="H153">
        <f t="shared" si="110"/>
        <v>94.879559999999998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3.0050000000000003E-3</v>
      </c>
      <c r="M153">
        <f>I46+E46</f>
        <v>18.360236999999998</v>
      </c>
      <c r="P153" s="21"/>
      <c r="Q153" t="s">
        <v>37</v>
      </c>
      <c r="R153">
        <f t="shared" si="114"/>
        <v>2.4099999999999998E-3</v>
      </c>
      <c r="S153">
        <f t="shared" si="115"/>
        <v>3.2100000000000002E-3</v>
      </c>
      <c r="U153">
        <f t="shared" si="116"/>
        <v>1.311E-2</v>
      </c>
      <c r="V153">
        <f t="shared" si="117"/>
        <v>1.6389999999999998E-2</v>
      </c>
      <c r="X153">
        <f>0.1*F46+(1-0.1)*B46</f>
        <v>3.0100000000000001E-3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2.4199999999999998E-3</v>
      </c>
      <c r="G159">
        <f t="shared" si="119"/>
        <v>3.2200000000000002E-3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3.0200000000000001E-3</v>
      </c>
      <c r="P159" s="21"/>
      <c r="Q159" t="s">
        <v>37</v>
      </c>
      <c r="R159">
        <f t="shared" si="122"/>
        <v>2.4299999999999999E-3</v>
      </c>
      <c r="S159">
        <f t="shared" si="123"/>
        <v>3.2299999999999998E-3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3.0299999999999997E-3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2.40975E-3</v>
      </c>
      <c r="G166">
        <f t="shared" si="127"/>
        <v>3.2100000000000002E-3</v>
      </c>
      <c r="H166">
        <f t="shared" si="128"/>
        <v>148.26222799999999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3.0097500000000003E-3</v>
      </c>
      <c r="M166">
        <f>M46+I46+E46</f>
        <v>36.899807000000003</v>
      </c>
      <c r="O166" s="20"/>
      <c r="P166" s="21"/>
      <c r="Q166" t="s">
        <v>37</v>
      </c>
      <c r="R166">
        <f t="shared" si="132"/>
        <v>2.4190000000000001E-3</v>
      </c>
      <c r="S166">
        <f t="shared" si="133"/>
        <v>3.2200000000000002E-3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3.0190000000000004E-3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2.4359999999999998E-3</v>
      </c>
      <c r="G172">
        <f t="shared" si="137"/>
        <v>3.2400000000000003E-3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3.0360000000000001E-3</v>
      </c>
      <c r="O172" s="20"/>
      <c r="P172" s="21"/>
      <c r="Q172" t="s">
        <v>37</v>
      </c>
      <c r="R172">
        <f t="shared" si="140"/>
        <v>2.4510000000000001E-3</v>
      </c>
      <c r="S172">
        <f t="shared" si="141"/>
        <v>3.2600000000000003E-3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3.0510000000000003E-3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2.4142749999999996E-3</v>
      </c>
      <c r="G179">
        <f t="shared" si="145"/>
        <v>3.2149999999999995E-3</v>
      </c>
      <c r="H179">
        <f t="shared" si="146"/>
        <v>200.84178399999999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3.0142874999999998E-3</v>
      </c>
      <c r="M179">
        <f>Q46+M46+I46+E46</f>
        <v>46.812672999999997</v>
      </c>
      <c r="N179" s="24"/>
      <c r="O179" s="20"/>
      <c r="P179" s="21"/>
      <c r="Q179" t="s">
        <v>37</v>
      </c>
      <c r="R179">
        <f t="shared" si="150"/>
        <v>2.4272E-3</v>
      </c>
      <c r="S179">
        <f t="shared" si="151"/>
        <v>3.2300000000000002E-3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3.0273000000000001E-3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2.4495999999999997E-3</v>
      </c>
      <c r="G185">
        <f t="shared" si="155"/>
        <v>3.2599999999999999E-3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3.0504E-3</v>
      </c>
      <c r="N185" s="24"/>
      <c r="O185" s="20"/>
      <c r="P185" s="21"/>
      <c r="Q185" t="s">
        <v>37</v>
      </c>
      <c r="R185">
        <f t="shared" si="158"/>
        <v>2.4683999999999999E-3</v>
      </c>
      <c r="S185">
        <f t="shared" si="159"/>
        <v>3.2900000000000004E-3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3.0711000000000002E-3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1.005E-3</v>
      </c>
      <c r="G192">
        <f t="shared" si="163"/>
        <v>2.7049999999999999E-3</v>
      </c>
      <c r="H192">
        <f t="shared" si="164"/>
        <v>95.768297000000004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2.0049999999999998E-3</v>
      </c>
      <c r="M192">
        <f>AA46+W46</f>
        <v>19.498566</v>
      </c>
      <c r="P192" s="21"/>
      <c r="Q192" t="s">
        <v>37</v>
      </c>
      <c r="R192">
        <f t="shared" si="168"/>
        <v>1.01E-3</v>
      </c>
      <c r="S192">
        <f t="shared" si="169"/>
        <v>2.7100000000000002E-3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2.0100000000000001E-3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1.0200000000000001E-3</v>
      </c>
      <c r="G198">
        <f t="shared" si="173"/>
        <v>2.7200000000000002E-3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2.0200000000000001E-3</v>
      </c>
      <c r="P198" s="21"/>
      <c r="Q198" t="s">
        <v>37</v>
      </c>
      <c r="R198">
        <f t="shared" si="176"/>
        <v>1.0300000000000001E-3</v>
      </c>
      <c r="S198">
        <f t="shared" si="177"/>
        <v>2.7299999999999998E-3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2.0299999999999997E-3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1.00975E-3</v>
      </c>
      <c r="G205">
        <f t="shared" si="181"/>
        <v>2.7097500000000004E-3</v>
      </c>
      <c r="H205">
        <f t="shared" si="182"/>
        <v>143.66283100000001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2.0097500000000003E-3</v>
      </c>
      <c r="M205">
        <f>AE46+AA46+W46</f>
        <v>29.877766999999999</v>
      </c>
      <c r="O205" s="20"/>
      <c r="P205" s="21"/>
      <c r="Q205" t="s">
        <v>37</v>
      </c>
      <c r="R205">
        <f t="shared" si="185"/>
        <v>1.0190000000000002E-3</v>
      </c>
      <c r="S205">
        <f t="shared" si="186"/>
        <v>2.7190000000000001E-3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2.019E-3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1.036E-3</v>
      </c>
      <c r="G211">
        <f t="shared" si="190"/>
        <v>2.7360000000000002E-3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2.036E-3</v>
      </c>
      <c r="O211" s="20"/>
      <c r="P211" s="21"/>
      <c r="Q211" t="s">
        <v>37</v>
      </c>
      <c r="R211">
        <f t="shared" si="193"/>
        <v>1.0510000000000001E-3</v>
      </c>
      <c r="S211">
        <f t="shared" si="194"/>
        <v>2.7510000000000004E-3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2.0509999999999999E-3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1.014275E-3</v>
      </c>
      <c r="G218">
        <f t="shared" si="198"/>
        <v>2.7142749999999999E-3</v>
      </c>
      <c r="H218">
        <f t="shared" si="199"/>
        <v>193.09877500000002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2.0142749999999998E-3</v>
      </c>
      <c r="M218">
        <f>AI46+AE46+AA46+W46</f>
        <v>40.650812999999999</v>
      </c>
      <c r="N218" s="24"/>
      <c r="O218" s="20"/>
      <c r="P218" s="21"/>
      <c r="Q218" t="s">
        <v>37</v>
      </c>
      <c r="R218">
        <f t="shared" si="203"/>
        <v>1.0272E-3</v>
      </c>
      <c r="S218">
        <f t="shared" si="204"/>
        <v>2.7271999999999999E-3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2.0271999999999998E-3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1.0495999999999999E-3</v>
      </c>
      <c r="G224">
        <f t="shared" si="208"/>
        <v>2.7495999999999996E-3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2.0495999999999995E-3</v>
      </c>
      <c r="N224" s="24"/>
      <c r="O224" s="20"/>
      <c r="P224" s="21"/>
      <c r="Q224" t="s">
        <v>37</v>
      </c>
      <c r="R224">
        <f t="shared" si="211"/>
        <v>1.0684000000000002E-3</v>
      </c>
      <c r="S224">
        <f t="shared" si="212"/>
        <v>2.7683999999999999E-3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2.0683999999999998E-3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1.6050000000000001E-3</v>
      </c>
      <c r="H231">
        <f t="shared" si="217"/>
        <v>90.422552999999994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7.7348999999999994E-4</v>
      </c>
      <c r="M231">
        <f>I66+E66</f>
        <v>20.280775999999999</v>
      </c>
      <c r="P231" s="21"/>
      <c r="Q231" t="s">
        <v>37</v>
      </c>
      <c r="R231">
        <f t="shared" si="221"/>
        <v>4.0000000000000002E-4</v>
      </c>
      <c r="S231">
        <f t="shared" si="222"/>
        <v>1.6100000000000001E-3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7.3277999999999993E-4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1.6200000000000001E-3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6.5136000000000002E-4</v>
      </c>
      <c r="P237" s="21"/>
      <c r="Q237" t="s">
        <v>37</v>
      </c>
      <c r="R237">
        <f t="shared" si="229"/>
        <v>3.9999999999999996E-4</v>
      </c>
      <c r="S237">
        <f t="shared" si="230"/>
        <v>1.6299999999999999E-3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5.699399999999999E-4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1.6097500000000001E-3</v>
      </c>
      <c r="H244">
        <f t="shared" si="235"/>
        <v>136.53098700000001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7.3699275000000005E-4</v>
      </c>
      <c r="M244">
        <f>M66+I66+E66</f>
        <v>30.568258999999998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1.619E-3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6.6821099999999994E-4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1.6360000000000001E-3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5.5592399999999985E-4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1.6510000000000001E-3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4.7733900000000002E-4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1.6142749999999999E-3</v>
      </c>
      <c r="H257">
        <f t="shared" si="253"/>
        <v>181.73740100000001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7.0439479999999984E-4</v>
      </c>
      <c r="M257">
        <f>Q66+M66+I66+E66</f>
        <v>40.843116999999999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1.6272000000000001E-3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6.1798539999999985E-4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1.6496E-3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5.0783119999999989E-4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1.6684E-3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4.6869180000000009E-4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56</v>
      </c>
      <c r="C9" s="16"/>
      <c r="D9" s="16"/>
      <c r="E9" s="16"/>
      <c r="F9" s="16" t="s">
        <v>57</v>
      </c>
      <c r="G9" s="16"/>
      <c r="H9" s="16"/>
      <c r="I9" s="16"/>
      <c r="J9" s="16" t="s">
        <v>58</v>
      </c>
      <c r="K9" s="16"/>
      <c r="L9" s="16"/>
      <c r="M9" s="16"/>
      <c r="N9" s="16" t="s">
        <v>59</v>
      </c>
      <c r="O9" s="16"/>
      <c r="P9" s="16"/>
      <c r="Q9" s="16"/>
      <c r="S9" s="22" t="s">
        <v>12</v>
      </c>
      <c r="T9" s="16" t="s">
        <v>56</v>
      </c>
      <c r="U9" s="16"/>
      <c r="V9" s="16"/>
      <c r="W9" s="16"/>
      <c r="X9" s="16" t="s">
        <v>57</v>
      </c>
      <c r="Y9" s="16"/>
      <c r="Z9" s="16"/>
      <c r="AA9" s="16"/>
      <c r="AB9" s="16" t="s">
        <v>58</v>
      </c>
      <c r="AC9" s="16"/>
      <c r="AD9" s="16"/>
      <c r="AE9" s="16"/>
      <c r="AF9" s="16" t="s">
        <v>59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3.3E-3</v>
      </c>
      <c r="D13" s="10">
        <v>3.3E-3</v>
      </c>
      <c r="E13" s="10">
        <v>2.9982609999999998</v>
      </c>
      <c r="F13" t="s">
        <v>22</v>
      </c>
      <c r="G13" s="10">
        <v>3.3999999999999998E-3</v>
      </c>
      <c r="H13" s="10">
        <v>3.5000000000000001E-3</v>
      </c>
      <c r="I13" s="10">
        <v>3.5803289999999999</v>
      </c>
      <c r="J13" t="s">
        <v>22</v>
      </c>
      <c r="K13" s="10">
        <v>3.5999999999999999E-3</v>
      </c>
      <c r="L13" s="10">
        <v>3.5999999999999999E-3</v>
      </c>
      <c r="M13" s="10">
        <v>2.9172020000000001</v>
      </c>
      <c r="N13" t="s">
        <v>22</v>
      </c>
      <c r="O13" s="10">
        <v>3.7000000000000002E-3</v>
      </c>
      <c r="P13" s="10">
        <v>3.7000000000000002E-3</v>
      </c>
      <c r="Q13" s="10">
        <v>2.906892</v>
      </c>
      <c r="S13" s="22"/>
      <c r="T13" t="s">
        <v>22</v>
      </c>
      <c r="U13">
        <v>3.0999999999999999E-3</v>
      </c>
      <c r="V13">
        <v>3.2000000000000002E-3</v>
      </c>
      <c r="W13">
        <v>20.300885000000001</v>
      </c>
      <c r="X13" t="s">
        <v>22</v>
      </c>
      <c r="Y13">
        <v>3.2000000000000002E-3</v>
      </c>
      <c r="Z13">
        <v>3.3E-3</v>
      </c>
      <c r="AA13">
        <v>20.283830999999999</v>
      </c>
      <c r="AB13" t="s">
        <v>22</v>
      </c>
      <c r="AC13">
        <v>3.3999999999999998E-3</v>
      </c>
      <c r="AD13">
        <v>3.3999999999999998E-3</v>
      </c>
      <c r="AE13">
        <v>21.053837000000001</v>
      </c>
      <c r="AF13" t="s">
        <v>22</v>
      </c>
      <c r="AG13">
        <v>3.5000000000000001E-3</v>
      </c>
      <c r="AH13">
        <v>3.5000000000000001E-3</v>
      </c>
      <c r="AI13">
        <v>19.959126999999999</v>
      </c>
    </row>
    <row r="16" spans="1:35" x14ac:dyDescent="0.25">
      <c r="A16" s="18" t="s">
        <v>23</v>
      </c>
      <c r="B16" s="16" t="s">
        <v>56</v>
      </c>
      <c r="C16" s="16"/>
      <c r="D16" s="16"/>
      <c r="E16" s="16"/>
      <c r="F16" s="16" t="s">
        <v>57</v>
      </c>
      <c r="G16" s="16"/>
      <c r="H16" s="16"/>
      <c r="I16" s="16"/>
      <c r="J16" s="16" t="s">
        <v>58</v>
      </c>
      <c r="K16" s="16"/>
      <c r="L16" s="16"/>
      <c r="M16" s="16"/>
      <c r="N16" s="16" t="s">
        <v>59</v>
      </c>
      <c r="O16" s="16"/>
      <c r="P16" s="16"/>
      <c r="Q16" s="16"/>
      <c r="S16" s="18" t="s">
        <v>23</v>
      </c>
      <c r="T16" s="16" t="s">
        <v>56</v>
      </c>
      <c r="U16" s="16"/>
      <c r="V16" s="16"/>
      <c r="W16" s="16"/>
      <c r="X16" s="16" t="s">
        <v>57</v>
      </c>
      <c r="Y16" s="16"/>
      <c r="Z16" s="16"/>
      <c r="AA16" s="16"/>
      <c r="AB16" s="16" t="s">
        <v>58</v>
      </c>
      <c r="AC16" s="16"/>
      <c r="AD16" s="16"/>
      <c r="AE16" s="16"/>
      <c r="AF16" s="16" t="s">
        <v>59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56</v>
      </c>
      <c r="C23" s="16"/>
      <c r="D23" s="16"/>
      <c r="E23" s="16"/>
      <c r="F23" s="16" t="s">
        <v>57</v>
      </c>
      <c r="G23" s="16"/>
      <c r="H23" s="16"/>
      <c r="I23" s="16"/>
      <c r="J23" s="16" t="s">
        <v>58</v>
      </c>
      <c r="K23" s="16"/>
      <c r="L23" s="16"/>
      <c r="M23" s="16"/>
      <c r="N23" s="16" t="s">
        <v>59</v>
      </c>
      <c r="O23" s="16"/>
      <c r="P23" s="16"/>
      <c r="Q23" s="16"/>
      <c r="S23" s="23" t="s">
        <v>24</v>
      </c>
      <c r="T23" s="16" t="s">
        <v>56</v>
      </c>
      <c r="U23" s="16"/>
      <c r="V23" s="16"/>
      <c r="W23" s="16"/>
      <c r="X23" s="16" t="s">
        <v>57</v>
      </c>
      <c r="Y23" s="16"/>
      <c r="Z23" s="16"/>
      <c r="AA23" s="16"/>
      <c r="AB23" s="16" t="s">
        <v>58</v>
      </c>
      <c r="AC23" s="16"/>
      <c r="AD23" s="16"/>
      <c r="AE23" s="16"/>
      <c r="AF23" s="16" t="s">
        <v>59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3.3E-3</v>
      </c>
      <c r="C25" s="6"/>
      <c r="D25" s="6"/>
      <c r="E25">
        <v>9.3464120000000008</v>
      </c>
      <c r="F25">
        <v>3.5000000000000001E-3</v>
      </c>
      <c r="G25" s="6"/>
      <c r="H25" s="6"/>
      <c r="I25">
        <v>9.9575399999999998</v>
      </c>
      <c r="J25" s="9">
        <v>3.5000000000000001E-3</v>
      </c>
      <c r="K25" s="6"/>
      <c r="L25" s="6"/>
      <c r="M25" s="8">
        <v>9.7392889999999994</v>
      </c>
      <c r="N25" s="6">
        <v>3.7000000000000002E-3</v>
      </c>
      <c r="O25" s="6"/>
      <c r="P25" s="6"/>
      <c r="Q25">
        <v>9.57592</v>
      </c>
      <c r="S25" s="23"/>
      <c r="T25" s="6">
        <v>3.2000000000000002E-3</v>
      </c>
      <c r="U25" s="6"/>
      <c r="V25" s="6"/>
      <c r="W25">
        <v>8.0696399999999997</v>
      </c>
      <c r="X25" s="6">
        <v>3.3E-3</v>
      </c>
      <c r="Y25" s="6"/>
      <c r="Z25" s="6"/>
      <c r="AA25">
        <v>8.2107670000000006</v>
      </c>
      <c r="AB25" s="6">
        <v>3.3999999999999998E-3</v>
      </c>
      <c r="AC25" s="6"/>
      <c r="AD25" s="6"/>
      <c r="AE25">
        <v>8.3583259999999999</v>
      </c>
      <c r="AF25" s="6">
        <v>3.5000000000000001E-3</v>
      </c>
      <c r="AG25" s="6"/>
      <c r="AH25" s="6"/>
      <c r="AI25">
        <v>7.7789219999999997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56</v>
      </c>
      <c r="C30" s="16"/>
      <c r="D30" s="16"/>
      <c r="E30" s="16"/>
      <c r="F30" s="16" t="s">
        <v>57</v>
      </c>
      <c r="G30" s="16"/>
      <c r="H30" s="16"/>
      <c r="I30" s="16"/>
      <c r="J30" s="16" t="s">
        <v>58</v>
      </c>
      <c r="K30" s="16"/>
      <c r="L30" s="16"/>
      <c r="M30" s="16"/>
      <c r="N30" s="16" t="s">
        <v>59</v>
      </c>
      <c r="O30" s="16"/>
      <c r="P30" s="16"/>
      <c r="Q30" s="16"/>
      <c r="S30" s="22" t="s">
        <v>12</v>
      </c>
      <c r="T30" s="16" t="s">
        <v>56</v>
      </c>
      <c r="U30" s="16"/>
      <c r="V30" s="16"/>
      <c r="W30" s="16"/>
      <c r="X30" s="16" t="s">
        <v>57</v>
      </c>
      <c r="Y30" s="16"/>
      <c r="Z30" s="16"/>
      <c r="AA30" s="16"/>
      <c r="AB30" s="16" t="s">
        <v>58</v>
      </c>
      <c r="AC30" s="16"/>
      <c r="AD30" s="16"/>
      <c r="AE30" s="16"/>
      <c r="AF30" s="16" t="s">
        <v>59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2.3E-3</v>
      </c>
      <c r="D34">
        <v>2.8999999999999998E-3</v>
      </c>
      <c r="E34">
        <v>20.120971000000001</v>
      </c>
      <c r="F34" t="s">
        <v>22</v>
      </c>
      <c r="G34">
        <v>2.3E-3</v>
      </c>
      <c r="H34">
        <v>3.0000000000000001E-3</v>
      </c>
      <c r="I34">
        <v>20.267783999999999</v>
      </c>
      <c r="J34" t="s">
        <v>22</v>
      </c>
      <c r="K34" s="8">
        <v>2.3999999999999998E-3</v>
      </c>
      <c r="L34" s="8">
        <v>3.0999999999999999E-3</v>
      </c>
      <c r="M34">
        <v>20.999934</v>
      </c>
      <c r="N34" t="s">
        <v>22</v>
      </c>
      <c r="O34">
        <v>2.5000000000000001E-3</v>
      </c>
      <c r="P34">
        <v>3.2000000000000002E-3</v>
      </c>
      <c r="Q34">
        <v>21.030235000000001</v>
      </c>
      <c r="S34" s="22"/>
      <c r="T34" t="s">
        <v>22</v>
      </c>
      <c r="U34">
        <v>1E-3</v>
      </c>
      <c r="V34">
        <v>2.3999999999999998E-3</v>
      </c>
      <c r="W34">
        <v>19.673224999999999</v>
      </c>
      <c r="X34" t="s">
        <v>22</v>
      </c>
      <c r="Y34">
        <v>1E-3</v>
      </c>
      <c r="Z34">
        <v>2.5000000000000001E-3</v>
      </c>
      <c r="AA34">
        <v>18.834205000000001</v>
      </c>
      <c r="AB34" t="s">
        <v>22</v>
      </c>
      <c r="AC34">
        <v>1.1000000000000001E-3</v>
      </c>
      <c r="AD34">
        <v>2.5999999999999999E-3</v>
      </c>
      <c r="AE34">
        <v>19.451626999999998</v>
      </c>
      <c r="AF34" t="s">
        <v>22</v>
      </c>
      <c r="AG34">
        <v>1.1000000000000001E-3</v>
      </c>
      <c r="AH34">
        <v>2.5999999999999999E-3</v>
      </c>
      <c r="AI34">
        <v>19.053881000000001</v>
      </c>
    </row>
    <row r="37" spans="1:35" x14ac:dyDescent="0.25">
      <c r="A37" s="18" t="s">
        <v>23</v>
      </c>
      <c r="B37" s="16" t="s">
        <v>56</v>
      </c>
      <c r="C37" s="16"/>
      <c r="D37" s="16"/>
      <c r="E37" s="16"/>
      <c r="F37" s="16" t="s">
        <v>57</v>
      </c>
      <c r="G37" s="16"/>
      <c r="H37" s="16"/>
      <c r="I37" s="16"/>
      <c r="J37" s="16" t="s">
        <v>58</v>
      </c>
      <c r="K37" s="16"/>
      <c r="L37" s="16"/>
      <c r="M37" s="16"/>
      <c r="N37" s="16" t="s">
        <v>59</v>
      </c>
      <c r="O37" s="16"/>
      <c r="P37" s="16"/>
      <c r="Q37" s="16"/>
      <c r="S37" s="18" t="s">
        <v>23</v>
      </c>
      <c r="T37" s="16" t="s">
        <v>56</v>
      </c>
      <c r="U37" s="16"/>
      <c r="V37" s="16"/>
      <c r="W37" s="16"/>
      <c r="X37" s="16" t="s">
        <v>57</v>
      </c>
      <c r="Y37" s="16"/>
      <c r="Z37" s="16"/>
      <c r="AA37" s="16"/>
      <c r="AB37" s="16" t="s">
        <v>58</v>
      </c>
      <c r="AC37" s="16"/>
      <c r="AD37" s="16"/>
      <c r="AE37" s="16"/>
      <c r="AF37" s="16" t="s">
        <v>59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56</v>
      </c>
      <c r="C44" s="16"/>
      <c r="D44" s="16"/>
      <c r="E44" s="16"/>
      <c r="F44" s="16" t="s">
        <v>57</v>
      </c>
      <c r="G44" s="16"/>
      <c r="H44" s="16"/>
      <c r="I44" s="16"/>
      <c r="J44" s="16" t="s">
        <v>58</v>
      </c>
      <c r="K44" s="16"/>
      <c r="L44" s="16"/>
      <c r="M44" s="16"/>
      <c r="N44" s="16" t="s">
        <v>59</v>
      </c>
      <c r="O44" s="16"/>
      <c r="P44" s="16"/>
      <c r="Q44" s="16"/>
      <c r="S44" s="23" t="s">
        <v>24</v>
      </c>
      <c r="T44" s="16" t="s">
        <v>56</v>
      </c>
      <c r="U44" s="16"/>
      <c r="V44" s="16"/>
      <c r="W44" s="16"/>
      <c r="X44" s="16" t="s">
        <v>57</v>
      </c>
      <c r="Y44" s="16"/>
      <c r="Z44" s="16"/>
      <c r="AA44" s="16"/>
      <c r="AB44" s="16" t="s">
        <v>58</v>
      </c>
      <c r="AC44" s="16"/>
      <c r="AD44" s="16"/>
      <c r="AE44" s="16"/>
      <c r="AF44" s="16" t="s">
        <v>59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2.7000000000000001E-3</v>
      </c>
      <c r="C46" s="6"/>
      <c r="D46" s="6"/>
      <c r="E46">
        <v>9.5139429999999994</v>
      </c>
      <c r="F46" s="6">
        <v>2.8E-3</v>
      </c>
      <c r="G46" s="6"/>
      <c r="H46" s="6"/>
      <c r="I46">
        <v>9.7169329999999992</v>
      </c>
      <c r="J46" s="6">
        <v>2.8999999999999998E-3</v>
      </c>
      <c r="K46" s="6"/>
      <c r="L46" s="6"/>
      <c r="M46">
        <v>9.3199919999999992</v>
      </c>
      <c r="N46" s="6">
        <v>3.0000000000000001E-3</v>
      </c>
      <c r="O46" s="6"/>
      <c r="P46" s="6"/>
      <c r="Q46">
        <v>9.5743449999999992</v>
      </c>
      <c r="S46" s="23"/>
      <c r="T46" s="6">
        <v>1.8E-3</v>
      </c>
      <c r="U46" s="6"/>
      <c r="V46" s="6"/>
      <c r="W46">
        <v>8.5761190000000003</v>
      </c>
      <c r="X46" s="6">
        <v>1.9E-3</v>
      </c>
      <c r="Y46" s="6"/>
      <c r="Z46" s="6"/>
      <c r="AA46">
        <v>9.5436019999999999</v>
      </c>
      <c r="AB46" s="6">
        <v>2E-3</v>
      </c>
      <c r="AC46" s="6"/>
      <c r="AD46" s="6"/>
      <c r="AE46">
        <v>9.6331059999999997</v>
      </c>
      <c r="AF46" s="6">
        <v>2.0999999999999999E-3</v>
      </c>
      <c r="AG46" s="6"/>
      <c r="AH46" s="6"/>
      <c r="AI46">
        <v>8.303528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56</v>
      </c>
      <c r="C50" s="16"/>
      <c r="D50" s="16"/>
      <c r="E50" s="16"/>
      <c r="F50" s="16" t="s">
        <v>57</v>
      </c>
      <c r="G50" s="16"/>
      <c r="H50" s="16"/>
      <c r="I50" s="16"/>
      <c r="J50" s="16" t="s">
        <v>58</v>
      </c>
      <c r="K50" s="16"/>
      <c r="L50" s="16"/>
      <c r="M50" s="16"/>
      <c r="N50" s="16" t="s">
        <v>59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1.4E-3</v>
      </c>
      <c r="E54">
        <v>18.927026999999999</v>
      </c>
      <c r="F54" t="s">
        <v>22</v>
      </c>
      <c r="G54">
        <v>4.0000000000000002E-4</v>
      </c>
      <c r="H54">
        <v>1.5E-3</v>
      </c>
      <c r="I54">
        <v>21.144703</v>
      </c>
      <c r="J54" t="s">
        <v>22</v>
      </c>
      <c r="K54">
        <v>4.0000000000000002E-4</v>
      </c>
      <c r="L54">
        <v>1.6000000000000001E-3</v>
      </c>
      <c r="M54">
        <v>18.878437999999999</v>
      </c>
      <c r="N54" t="s">
        <v>22</v>
      </c>
      <c r="O54">
        <v>4.0000000000000002E-4</v>
      </c>
      <c r="P54">
        <v>1.6000000000000001E-3</v>
      </c>
      <c r="Q54">
        <v>19.128318</v>
      </c>
    </row>
    <row r="57" spans="1:17" x14ac:dyDescent="0.25">
      <c r="A57" s="18" t="s">
        <v>23</v>
      </c>
      <c r="B57" s="16" t="s">
        <v>56</v>
      </c>
      <c r="C57" s="16"/>
      <c r="D57" s="16"/>
      <c r="E57" s="16"/>
      <c r="F57" s="16" t="s">
        <v>57</v>
      </c>
      <c r="G57" s="16"/>
      <c r="H57" s="16"/>
      <c r="I57" s="16"/>
      <c r="J57" s="16" t="s">
        <v>58</v>
      </c>
      <c r="K57" s="16"/>
      <c r="L57" s="16"/>
      <c r="M57" s="16"/>
      <c r="N57" s="16" t="s">
        <v>59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56</v>
      </c>
      <c r="C64" s="16"/>
      <c r="D64" s="16"/>
      <c r="E64" s="16"/>
      <c r="F64" s="16" t="s">
        <v>57</v>
      </c>
      <c r="G64" s="16"/>
      <c r="H64" s="16"/>
      <c r="I64" s="16"/>
      <c r="J64" s="16" t="s">
        <v>58</v>
      </c>
      <c r="K64" s="16"/>
      <c r="L64" s="16"/>
      <c r="M64" s="16"/>
      <c r="N64" s="16" t="s">
        <v>59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7.7349999999999999E-4</v>
      </c>
      <c r="C66" s="6"/>
      <c r="D66" s="6"/>
      <c r="E66">
        <v>9.1241179999999993</v>
      </c>
      <c r="F66" s="3">
        <v>8.0990000000000001E-4</v>
      </c>
      <c r="G66" s="6"/>
      <c r="H66" s="6"/>
      <c r="I66">
        <v>8.942482</v>
      </c>
      <c r="J66" s="3">
        <v>8.5280000000000002E-4</v>
      </c>
      <c r="K66" s="6"/>
      <c r="L66" s="6"/>
      <c r="M66">
        <v>9.2151300000000003</v>
      </c>
      <c r="N66" s="3">
        <v>8.719E-4</v>
      </c>
      <c r="O66" s="6"/>
      <c r="P66" s="6"/>
      <c r="Q66">
        <v>9.1908270000000005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3.3049999999999998E-3</v>
      </c>
      <c r="G75">
        <f t="shared" si="1"/>
        <v>3.3099999999999996E-3</v>
      </c>
      <c r="H75">
        <f t="shared" si="2"/>
        <v>6.5785900000000002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3.3099999999999996E-3</v>
      </c>
      <c r="M75">
        <f>I25+E25</f>
        <v>19.303952000000002</v>
      </c>
      <c r="P75" s="21"/>
      <c r="Q75" t="s">
        <v>37</v>
      </c>
      <c r="R75">
        <f t="shared" si="6"/>
        <v>3.31E-3</v>
      </c>
      <c r="S75">
        <f t="shared" si="7"/>
        <v>3.32E-3</v>
      </c>
      <c r="U75">
        <f t="shared" si="8"/>
        <v>1.9819999999999997E-2</v>
      </c>
      <c r="V75">
        <f t="shared" si="9"/>
        <v>1.9910000000000004E-2</v>
      </c>
      <c r="X75">
        <f>0.1*F25+(1-0.1)*B25</f>
        <v>3.32E-3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3.32E-3</v>
      </c>
      <c r="G81">
        <f t="shared" si="11"/>
        <v>3.3400000000000001E-3</v>
      </c>
      <c r="I81">
        <f t="shared" si="12"/>
        <v>1.9939999999999999E-2</v>
      </c>
      <c r="J81">
        <f t="shared" si="13"/>
        <v>2.0020000000000003E-2</v>
      </c>
      <c r="L81">
        <f>0.2*F25+(1-0.2)*B25</f>
        <v>3.3400000000000001E-3</v>
      </c>
      <c r="P81" s="21"/>
      <c r="Q81" t="s">
        <v>37</v>
      </c>
      <c r="R81">
        <f t="shared" si="14"/>
        <v>3.3299999999999996E-3</v>
      </c>
      <c r="S81">
        <f t="shared" si="15"/>
        <v>3.3600000000000001E-3</v>
      </c>
      <c r="U81">
        <f t="shared" si="16"/>
        <v>2.0059999999999998E-2</v>
      </c>
      <c r="V81">
        <f t="shared" si="17"/>
        <v>2.0130000000000002E-2</v>
      </c>
      <c r="X81">
        <f>0.3*F25+(1-0.3)*B25</f>
        <v>3.3600000000000001E-3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3.3102500000000003E-3</v>
      </c>
      <c r="G88">
        <f t="shared" si="19"/>
        <v>3.3197500000000007E-3</v>
      </c>
      <c r="H88">
        <f t="shared" si="20"/>
        <v>9.4957919999999998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3.3195000000000004E-3</v>
      </c>
      <c r="M88">
        <f>M25+I25+E25</f>
        <v>29.043241000000002</v>
      </c>
      <c r="O88" s="20"/>
      <c r="P88" s="21"/>
      <c r="Q88" t="s">
        <v>37</v>
      </c>
      <c r="R88">
        <f t="shared" si="24"/>
        <v>3.3210000000000002E-3</v>
      </c>
      <c r="S88">
        <f t="shared" si="25"/>
        <v>3.339E-3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3.3380000000000003E-3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3.3439999999999998E-3</v>
      </c>
      <c r="G94">
        <f t="shared" si="29"/>
        <v>3.3760000000000001E-3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3.372E-3</v>
      </c>
      <c r="O94" s="20"/>
      <c r="P94" s="21"/>
      <c r="Q94" t="s">
        <v>37</v>
      </c>
      <c r="R94">
        <f t="shared" si="32"/>
        <v>3.369E-3</v>
      </c>
      <c r="S94">
        <f t="shared" si="33"/>
        <v>3.4110000000000004E-3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3.4020000000000005E-3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3.3157249999999994E-3</v>
      </c>
      <c r="G101">
        <f t="shared" si="37"/>
        <v>3.3292624999999997E-3</v>
      </c>
      <c r="H101">
        <f t="shared" si="38"/>
        <v>12.402684000000001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3.3285499999999996E-3</v>
      </c>
      <c r="M101">
        <f>Q25+M25+I25+E25</f>
        <v>38.619160999999998</v>
      </c>
      <c r="N101" s="24"/>
      <c r="O101" s="20"/>
      <c r="P101" s="21"/>
      <c r="Q101" t="s">
        <v>37</v>
      </c>
      <c r="R101">
        <f t="shared" si="42"/>
        <v>3.3327999999999999E-3</v>
      </c>
      <c r="S101">
        <f t="shared" si="43"/>
        <v>3.3571E-3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3.3544E-3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3.3704E-3</v>
      </c>
      <c r="G107">
        <f t="shared" si="47"/>
        <v>3.4088E-3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3.3991999999999998E-3</v>
      </c>
      <c r="N107" s="24"/>
      <c r="O107" s="20"/>
      <c r="P107" s="21"/>
      <c r="Q107" t="s">
        <v>37</v>
      </c>
      <c r="R107">
        <f t="shared" si="50"/>
        <v>3.4115999999999999E-3</v>
      </c>
      <c r="S107">
        <f t="shared" si="51"/>
        <v>3.4556999999999999E-3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3.4368000000000003E-3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3.1049999999999997E-3</v>
      </c>
      <c r="G114">
        <f t="shared" si="55"/>
        <v>3.2050000000000004E-3</v>
      </c>
      <c r="H114">
        <f t="shared" si="56"/>
        <v>40.584716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3.2050000000000004E-3</v>
      </c>
      <c r="M114">
        <f>AA25+W25</f>
        <v>16.280407</v>
      </c>
      <c r="P114" s="21"/>
      <c r="Q114" t="s">
        <v>37</v>
      </c>
      <c r="R114">
        <f t="shared" si="60"/>
        <v>3.1099999999999999E-3</v>
      </c>
      <c r="S114">
        <f t="shared" si="61"/>
        <v>3.2100000000000002E-3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3.2100000000000002E-3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3.1199999999999999E-3</v>
      </c>
      <c r="G120">
        <f t="shared" si="65"/>
        <v>3.2200000000000002E-3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3.2200000000000002E-3</v>
      </c>
      <c r="P120" s="21"/>
      <c r="Q120" t="s">
        <v>37</v>
      </c>
      <c r="R120">
        <f t="shared" si="68"/>
        <v>3.1299999999999995E-3</v>
      </c>
      <c r="S120">
        <f t="shared" si="69"/>
        <v>3.2299999999999998E-3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3.2299999999999998E-3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3.1102500000000002E-3</v>
      </c>
      <c r="G127">
        <f t="shared" si="73"/>
        <v>3.2100000000000002E-3</v>
      </c>
      <c r="H127">
        <f t="shared" si="74"/>
        <v>61.638553000000002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3.2100000000000002E-3</v>
      </c>
      <c r="M127">
        <f>AE25+AA25+W25</f>
        <v>24.638733000000002</v>
      </c>
      <c r="O127" s="20"/>
      <c r="P127" s="21"/>
      <c r="Q127" t="s">
        <v>37</v>
      </c>
      <c r="R127">
        <f t="shared" si="78"/>
        <v>3.1210000000000005E-3</v>
      </c>
      <c r="S127">
        <f t="shared" si="79"/>
        <v>3.2200000000000002E-3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3.2200000000000002E-3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3.1440000000000001E-3</v>
      </c>
      <c r="G133">
        <f t="shared" si="83"/>
        <v>3.2400000000000003E-3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3.2400000000000003E-3</v>
      </c>
      <c r="O133" s="20"/>
      <c r="P133" s="21"/>
      <c r="Q133" t="s">
        <v>37</v>
      </c>
      <c r="R133">
        <f t="shared" si="86"/>
        <v>3.1689999999999999E-3</v>
      </c>
      <c r="S133">
        <f t="shared" si="87"/>
        <v>3.2600000000000003E-3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3.2600000000000003E-3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3.1157249999999997E-3</v>
      </c>
      <c r="G140">
        <f t="shared" si="91"/>
        <v>3.2149999999999995E-3</v>
      </c>
      <c r="H140">
        <f t="shared" si="92"/>
        <v>81.597679999999997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3.2149999999999995E-3</v>
      </c>
      <c r="M140">
        <f>AI25+AE25+AA25+W25</f>
        <v>32.417654999999996</v>
      </c>
      <c r="N140" s="24"/>
      <c r="O140" s="20"/>
      <c r="P140" s="21"/>
      <c r="Q140" t="s">
        <v>37</v>
      </c>
      <c r="R140">
        <f t="shared" si="96"/>
        <v>3.1327999999999998E-3</v>
      </c>
      <c r="S140">
        <f t="shared" si="97"/>
        <v>3.2300000000000002E-3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3.2300000000000002E-3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3.1703999999999999E-3</v>
      </c>
      <c r="G146">
        <f t="shared" si="101"/>
        <v>3.2599999999999999E-3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3.2599999999999999E-3</v>
      </c>
      <c r="N146" s="24"/>
      <c r="O146" s="20"/>
      <c r="P146" s="21"/>
      <c r="Q146" t="s">
        <v>37</v>
      </c>
      <c r="R146">
        <f t="shared" si="104"/>
        <v>3.2116000000000002E-3</v>
      </c>
      <c r="S146">
        <f t="shared" si="105"/>
        <v>3.2900000000000004E-3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3.2900000000000004E-3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2.3E-3</v>
      </c>
      <c r="G153">
        <f t="shared" si="109"/>
        <v>2.9049999999999996E-3</v>
      </c>
      <c r="H153">
        <f t="shared" si="110"/>
        <v>40.388755000000003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2.7049999999999999E-3</v>
      </c>
      <c r="M153">
        <f>I46+E46</f>
        <v>19.230875999999999</v>
      </c>
      <c r="P153" s="21"/>
      <c r="Q153" t="s">
        <v>37</v>
      </c>
      <c r="R153">
        <f t="shared" si="114"/>
        <v>2.3000000000000004E-3</v>
      </c>
      <c r="S153">
        <f t="shared" si="115"/>
        <v>2.9099999999999998E-3</v>
      </c>
      <c r="U153">
        <f t="shared" si="116"/>
        <v>1.311E-2</v>
      </c>
      <c r="V153">
        <f t="shared" si="117"/>
        <v>1.6389999999999998E-2</v>
      </c>
      <c r="X153">
        <f>0.1*F46+(1-0.1)*B46</f>
        <v>2.7100000000000002E-3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2.3E-3</v>
      </c>
      <c r="G159">
        <f t="shared" si="119"/>
        <v>2.9199999999999999E-3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2.7200000000000002E-3</v>
      </c>
      <c r="P159" s="21"/>
      <c r="Q159" t="s">
        <v>37</v>
      </c>
      <c r="R159">
        <f t="shared" si="122"/>
        <v>2.3E-3</v>
      </c>
      <c r="S159">
        <f t="shared" si="123"/>
        <v>2.9299999999999994E-3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2.7299999999999998E-3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2.3002500000000002E-3</v>
      </c>
      <c r="G166">
        <f t="shared" si="127"/>
        <v>2.9100000000000003E-3</v>
      </c>
      <c r="H166">
        <f t="shared" si="128"/>
        <v>61.388688999999999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2.7100000000000006E-3</v>
      </c>
      <c r="M166">
        <f>M46+I46+E46</f>
        <v>28.550867999999994</v>
      </c>
      <c r="O166" s="20"/>
      <c r="P166" s="21"/>
      <c r="Q166" t="s">
        <v>37</v>
      </c>
      <c r="R166">
        <f t="shared" si="132"/>
        <v>2.3010000000000001E-3</v>
      </c>
      <c r="S166">
        <f t="shared" si="133"/>
        <v>2.9199999999999999E-3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2.7200000000000002E-3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2.3040000000000001E-3</v>
      </c>
      <c r="G172">
        <f t="shared" si="137"/>
        <v>2.9399999999999999E-3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2.7400000000000002E-3</v>
      </c>
      <c r="O172" s="20"/>
      <c r="P172" s="21"/>
      <c r="Q172" t="s">
        <v>37</v>
      </c>
      <c r="R172">
        <f t="shared" si="140"/>
        <v>2.3090000000000003E-3</v>
      </c>
      <c r="S172">
        <f t="shared" si="141"/>
        <v>2.96E-3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2.7600000000000003E-3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2.3007374999999995E-3</v>
      </c>
      <c r="G179">
        <f t="shared" si="145"/>
        <v>2.9149999999999992E-3</v>
      </c>
      <c r="H179">
        <f t="shared" si="146"/>
        <v>82.418924000000004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2.715E-3</v>
      </c>
      <c r="M179">
        <f>Q46+M46+I46+E46</f>
        <v>38.125212999999995</v>
      </c>
      <c r="N179" s="24"/>
      <c r="O179" s="20"/>
      <c r="P179" s="21"/>
      <c r="Q179" t="s">
        <v>37</v>
      </c>
      <c r="R179">
        <f t="shared" si="150"/>
        <v>2.3029000000000001E-3</v>
      </c>
      <c r="S179">
        <f t="shared" si="151"/>
        <v>2.9299999999999994E-3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2.7299999999999998E-3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2.3111999999999998E-3</v>
      </c>
      <c r="G185">
        <f t="shared" si="155"/>
        <v>2.96E-3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2.7599999999999999E-3</v>
      </c>
      <c r="N185" s="24"/>
      <c r="O185" s="20"/>
      <c r="P185" s="21"/>
      <c r="Q185" t="s">
        <v>37</v>
      </c>
      <c r="R185">
        <f t="shared" si="158"/>
        <v>2.3243000000000001E-3</v>
      </c>
      <c r="S185">
        <f t="shared" si="159"/>
        <v>2.9900000000000005E-3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2.7899999999999999E-3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2.405E-3</v>
      </c>
      <c r="H192">
        <f t="shared" si="164"/>
        <v>38.507429999999999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1.805E-3</v>
      </c>
      <c r="M192">
        <f>AA46+W46</f>
        <v>18.119720999999998</v>
      </c>
      <c r="P192" s="21"/>
      <c r="Q192" t="s">
        <v>37</v>
      </c>
      <c r="R192">
        <f t="shared" si="168"/>
        <v>1E-3</v>
      </c>
      <c r="S192">
        <f t="shared" si="169"/>
        <v>2.4099999999999998E-3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1.81E-3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2.4199999999999998E-3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1.82E-3</v>
      </c>
      <c r="P198" s="21"/>
      <c r="Q198" t="s">
        <v>37</v>
      </c>
      <c r="R198">
        <f t="shared" si="176"/>
        <v>1E-3</v>
      </c>
      <c r="S198">
        <f t="shared" si="177"/>
        <v>2.4299999999999999E-3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1.8299999999999998E-3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1.0002500000000001E-3</v>
      </c>
      <c r="G205">
        <f t="shared" si="181"/>
        <v>2.4099999999999998E-3</v>
      </c>
      <c r="H205">
        <f t="shared" si="182"/>
        <v>57.959057000000001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1.81E-3</v>
      </c>
      <c r="M205">
        <f>AE46+AA46+W46</f>
        <v>27.752826999999996</v>
      </c>
      <c r="O205" s="20"/>
      <c r="P205" s="21"/>
      <c r="Q205" t="s">
        <v>37</v>
      </c>
      <c r="R205">
        <f t="shared" si="186"/>
        <v>1.0010000000000002E-3</v>
      </c>
      <c r="S205">
        <f t="shared" si="187"/>
        <v>2.4199999999999998E-3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1.82E-3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1.0040000000000001E-3</v>
      </c>
      <c r="G211">
        <f t="shared" si="191"/>
        <v>2.4399999999999999E-3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1.8400000000000001E-3</v>
      </c>
      <c r="O211" s="20"/>
      <c r="P211" s="21"/>
      <c r="Q211" t="s">
        <v>37</v>
      </c>
      <c r="R211">
        <f t="shared" si="194"/>
        <v>1.0090000000000001E-3</v>
      </c>
      <c r="S211">
        <f t="shared" si="195"/>
        <v>2.4600000000000004E-3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1.8600000000000001E-3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1.0007250000000001E-3</v>
      </c>
      <c r="G218">
        <f t="shared" si="199"/>
        <v>2.4149874999999997E-3</v>
      </c>
      <c r="H218">
        <f t="shared" si="200"/>
        <v>77.012938000000005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1.8149999999999998E-3</v>
      </c>
      <c r="M218">
        <f>AI46+AE46+AA46+W46</f>
        <v>36.056354999999996</v>
      </c>
      <c r="N218" s="24"/>
      <c r="O218" s="20"/>
      <c r="P218" s="21"/>
      <c r="Q218" t="s">
        <v>37</v>
      </c>
      <c r="R218">
        <f t="shared" si="204"/>
        <v>1.0028000000000001E-3</v>
      </c>
      <c r="S218">
        <f t="shared" si="205"/>
        <v>2.4298999999999996E-3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1.83E-3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1.0103999999999998E-3</v>
      </c>
      <c r="G224">
        <f t="shared" si="209"/>
        <v>2.4591999999999999E-3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1.8599999999999999E-3</v>
      </c>
      <c r="N224" s="24"/>
      <c r="O224" s="20"/>
      <c r="P224" s="21"/>
      <c r="Q224" t="s">
        <v>37</v>
      </c>
      <c r="R224">
        <f t="shared" si="212"/>
        <v>1.0216000000000001E-3</v>
      </c>
      <c r="S224">
        <f t="shared" si="213"/>
        <v>2.4873E-3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1.8900000000000002E-3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1.405E-3</v>
      </c>
      <c r="H231">
        <f t="shared" si="218"/>
        <v>40.071730000000002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7.3482499999999993E-4</v>
      </c>
      <c r="M231">
        <f>I66+E66</f>
        <v>18.066600000000001</v>
      </c>
      <c r="P231" s="21"/>
      <c r="Q231" t="s">
        <v>37</v>
      </c>
      <c r="R231">
        <f t="shared" si="222"/>
        <v>4.0000000000000002E-4</v>
      </c>
      <c r="S231">
        <f t="shared" si="223"/>
        <v>1.41E-3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6.9614999999999998E-4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1.4200000000000003E-3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6.1880000000000008E-4</v>
      </c>
      <c r="P237" s="21"/>
      <c r="Q237" t="s">
        <v>37</v>
      </c>
      <c r="R237">
        <f t="shared" si="230"/>
        <v>3.9999999999999996E-4</v>
      </c>
      <c r="S237">
        <f t="shared" si="231"/>
        <v>1.4299999999999998E-3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5.4144999999999996E-4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1.41E-3</v>
      </c>
      <c r="H244">
        <f t="shared" si="236"/>
        <v>58.950167999999991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7.0021575000000006E-4</v>
      </c>
      <c r="M244">
        <f>M66+I66+E66</f>
        <v>27.28173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1.42E-3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6.3506300000000006E-4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1.4399999999999999E-3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5.2915199999999986E-4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1.4600000000000001E-3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4.5576700000000004E-4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1.4149874999999999E-3</v>
      </c>
      <c r="H257">
        <f t="shared" si="254"/>
        <v>78.078485999999998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6.6936474999999991E-4</v>
      </c>
      <c r="M257">
        <f>Q66+M66+I66+E66</f>
        <v>36.472556999999995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1.4299E-3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5.8777899999999986E-4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1.4591999999999999E-3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4.8487599999999986E-4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1.4873000000000002E-3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4.5003100000000015E-4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60</v>
      </c>
      <c r="C9" s="16"/>
      <c r="D9" s="16"/>
      <c r="E9" s="16"/>
      <c r="F9" s="16" t="s">
        <v>61</v>
      </c>
      <c r="G9" s="16"/>
      <c r="H9" s="16"/>
      <c r="I9" s="16"/>
      <c r="J9" s="16" t="s">
        <v>62</v>
      </c>
      <c r="K9" s="16"/>
      <c r="L9" s="16"/>
      <c r="M9" s="16"/>
      <c r="N9" s="16" t="s">
        <v>63</v>
      </c>
      <c r="O9" s="16"/>
      <c r="P9" s="16"/>
      <c r="Q9" s="16"/>
      <c r="S9" s="22" t="s">
        <v>12</v>
      </c>
      <c r="T9" s="16" t="s">
        <v>60</v>
      </c>
      <c r="U9" s="16"/>
      <c r="V9" s="16"/>
      <c r="W9" s="16"/>
      <c r="X9" s="16" t="s">
        <v>61</v>
      </c>
      <c r="Y9" s="16"/>
      <c r="Z9" s="16"/>
      <c r="AA9" s="16"/>
      <c r="AB9" s="16" t="s">
        <v>62</v>
      </c>
      <c r="AC9" s="16"/>
      <c r="AD9" s="16"/>
      <c r="AE9" s="16"/>
      <c r="AF9" s="16" t="s">
        <v>63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3.2000000000000002E-3</v>
      </c>
      <c r="D13" s="10">
        <v>3.2000000000000002E-3</v>
      </c>
      <c r="E13" s="10">
        <v>2.6389149999999999</v>
      </c>
      <c r="F13" t="s">
        <v>22</v>
      </c>
      <c r="G13" s="10">
        <v>3.3E-3</v>
      </c>
      <c r="H13" s="10">
        <v>3.3999999999999998E-3</v>
      </c>
      <c r="I13" s="10">
        <v>3.4129179999999999</v>
      </c>
      <c r="J13" t="s">
        <v>22</v>
      </c>
      <c r="K13" s="10">
        <v>3.5000000000000001E-3</v>
      </c>
      <c r="L13" s="10">
        <v>3.5000000000000001E-3</v>
      </c>
      <c r="M13" s="10">
        <v>3.494113</v>
      </c>
      <c r="N13" t="s">
        <v>22</v>
      </c>
      <c r="O13" s="10">
        <v>3.5999999999999999E-3</v>
      </c>
      <c r="P13" s="10">
        <v>3.5999999999999999E-3</v>
      </c>
      <c r="Q13" s="10">
        <v>3.3733279999999999</v>
      </c>
      <c r="S13" s="22"/>
      <c r="T13" t="s">
        <v>22</v>
      </c>
      <c r="U13">
        <v>3.0000000000000001E-3</v>
      </c>
      <c r="V13">
        <v>3.0999999999999999E-3</v>
      </c>
      <c r="W13">
        <v>17.225559000000001</v>
      </c>
      <c r="X13" t="s">
        <v>22</v>
      </c>
      <c r="Y13">
        <v>3.2000000000000002E-3</v>
      </c>
      <c r="Z13">
        <v>3.2000000000000002E-3</v>
      </c>
      <c r="AA13">
        <v>17.011509</v>
      </c>
      <c r="AB13" t="s">
        <v>22</v>
      </c>
      <c r="AC13">
        <v>2.0000000000000001E-4</v>
      </c>
      <c r="AD13">
        <v>3.5000000000000001E-3</v>
      </c>
      <c r="AE13">
        <v>1.3039179999999999</v>
      </c>
      <c r="AF13" t="s">
        <v>22</v>
      </c>
      <c r="AG13">
        <v>3.3999999999999998E-3</v>
      </c>
      <c r="AH13">
        <v>3.3999999999999998E-3</v>
      </c>
      <c r="AI13">
        <v>17.132491000000002</v>
      </c>
    </row>
    <row r="16" spans="1:35" x14ac:dyDescent="0.25">
      <c r="A16" s="18" t="s">
        <v>23</v>
      </c>
      <c r="B16" s="16" t="s">
        <v>60</v>
      </c>
      <c r="C16" s="16"/>
      <c r="D16" s="16"/>
      <c r="E16" s="16"/>
      <c r="F16" s="16" t="s">
        <v>61</v>
      </c>
      <c r="G16" s="16"/>
      <c r="H16" s="16"/>
      <c r="I16" s="16"/>
      <c r="J16" s="16" t="s">
        <v>62</v>
      </c>
      <c r="K16" s="16"/>
      <c r="L16" s="16"/>
      <c r="M16" s="16"/>
      <c r="N16" s="16" t="s">
        <v>63</v>
      </c>
      <c r="O16" s="16"/>
      <c r="P16" s="16"/>
      <c r="Q16" s="16"/>
      <c r="S16" s="18" t="s">
        <v>23</v>
      </c>
      <c r="T16" s="16" t="s">
        <v>60</v>
      </c>
      <c r="U16" s="16"/>
      <c r="V16" s="16"/>
      <c r="W16" s="16"/>
      <c r="X16" s="16" t="s">
        <v>61</v>
      </c>
      <c r="Y16" s="16"/>
      <c r="Z16" s="16"/>
      <c r="AA16" s="16"/>
      <c r="AB16" s="16" t="s">
        <v>62</v>
      </c>
      <c r="AC16" s="16"/>
      <c r="AD16" s="16"/>
      <c r="AE16" s="16"/>
      <c r="AF16" s="16" t="s">
        <v>63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60</v>
      </c>
      <c r="C23" s="16"/>
      <c r="D23" s="16"/>
      <c r="E23" s="16"/>
      <c r="F23" s="16" t="s">
        <v>61</v>
      </c>
      <c r="G23" s="16"/>
      <c r="H23" s="16"/>
      <c r="I23" s="16"/>
      <c r="J23" s="16" t="s">
        <v>62</v>
      </c>
      <c r="K23" s="16"/>
      <c r="L23" s="16"/>
      <c r="M23" s="16"/>
      <c r="N23" s="16" t="s">
        <v>63</v>
      </c>
      <c r="O23" s="16"/>
      <c r="P23" s="16"/>
      <c r="Q23" s="16"/>
      <c r="S23" s="23" t="s">
        <v>24</v>
      </c>
      <c r="T23" s="16" t="s">
        <v>60</v>
      </c>
      <c r="U23" s="16"/>
      <c r="V23" s="16"/>
      <c r="W23" s="16"/>
      <c r="X23" s="16" t="s">
        <v>61</v>
      </c>
      <c r="Y23" s="16"/>
      <c r="Z23" s="16"/>
      <c r="AA23" s="16"/>
      <c r="AB23" s="16" t="s">
        <v>62</v>
      </c>
      <c r="AC23" s="16"/>
      <c r="AD23" s="16"/>
      <c r="AE23" s="16"/>
      <c r="AF23" s="16" t="s">
        <v>63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3.2000000000000002E-3</v>
      </c>
      <c r="C25" s="6"/>
      <c r="D25" s="6"/>
      <c r="E25">
        <v>8.6732110000000002</v>
      </c>
      <c r="F25">
        <v>3.3999999999999998E-3</v>
      </c>
      <c r="G25" s="6"/>
      <c r="H25" s="6"/>
      <c r="I25">
        <v>7.9553820000000002</v>
      </c>
      <c r="J25" s="9">
        <v>3.3999999999999998E-3</v>
      </c>
      <c r="K25" s="6"/>
      <c r="L25" s="6"/>
      <c r="M25" s="8">
        <v>9.4410919999999994</v>
      </c>
      <c r="N25" s="6">
        <v>3.5999999999999999E-3</v>
      </c>
      <c r="O25" s="6"/>
      <c r="P25" s="6"/>
      <c r="Q25">
        <v>8.4310869999999998</v>
      </c>
      <c r="S25" s="23"/>
      <c r="T25" s="6">
        <v>3.0999999999999999E-3</v>
      </c>
      <c r="U25" s="6"/>
      <c r="V25" s="6"/>
      <c r="W25">
        <v>7.2330819999999996</v>
      </c>
      <c r="X25" s="6">
        <v>3.2000000000000002E-3</v>
      </c>
      <c r="Y25" s="6"/>
      <c r="Z25" s="6"/>
      <c r="AA25">
        <v>7.6202019999999999</v>
      </c>
      <c r="AB25" s="6">
        <v>3.3E-3</v>
      </c>
      <c r="AC25" s="6"/>
      <c r="AD25" s="6"/>
      <c r="AE25">
        <v>7.7893280000000003</v>
      </c>
      <c r="AF25" s="6">
        <v>3.3999999999999998E-3</v>
      </c>
      <c r="AG25" s="6"/>
      <c r="AH25" s="6"/>
      <c r="AI25">
        <v>7.5170459999999997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60</v>
      </c>
      <c r="C30" s="16"/>
      <c r="D30" s="16"/>
      <c r="E30" s="16"/>
      <c r="F30" s="16" t="s">
        <v>61</v>
      </c>
      <c r="G30" s="16"/>
      <c r="H30" s="16"/>
      <c r="I30" s="16"/>
      <c r="J30" s="16" t="s">
        <v>62</v>
      </c>
      <c r="K30" s="16"/>
      <c r="L30" s="16"/>
      <c r="M30" s="16"/>
      <c r="N30" s="16" t="s">
        <v>63</v>
      </c>
      <c r="O30" s="16"/>
      <c r="P30" s="16"/>
      <c r="Q30" s="16"/>
      <c r="S30" s="22" t="s">
        <v>12</v>
      </c>
      <c r="T30" s="16" t="s">
        <v>60</v>
      </c>
      <c r="U30" s="16"/>
      <c r="V30" s="16"/>
      <c r="W30" s="16"/>
      <c r="X30" s="16" t="s">
        <v>61</v>
      </c>
      <c r="Y30" s="16"/>
      <c r="Z30" s="16"/>
      <c r="AA30" s="16"/>
      <c r="AB30" s="16" t="s">
        <v>62</v>
      </c>
      <c r="AC30" s="16"/>
      <c r="AD30" s="16"/>
      <c r="AE30" s="16"/>
      <c r="AF30" s="16" t="s">
        <v>63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2.2000000000000001E-3</v>
      </c>
      <c r="D34">
        <v>2.8E-3</v>
      </c>
      <c r="E34">
        <v>17.102554000000001</v>
      </c>
      <c r="F34" t="s">
        <v>22</v>
      </c>
      <c r="G34">
        <v>2.3E-3</v>
      </c>
      <c r="H34">
        <v>2.8999999999999998E-3</v>
      </c>
      <c r="I34">
        <v>17.810887999999998</v>
      </c>
      <c r="J34" t="s">
        <v>22</v>
      </c>
      <c r="K34" s="8">
        <v>2.3999999999999998E-3</v>
      </c>
      <c r="L34" s="8">
        <v>3.0000000000000001E-3</v>
      </c>
      <c r="M34">
        <v>17.524372</v>
      </c>
      <c r="N34" t="s">
        <v>22</v>
      </c>
      <c r="O34">
        <v>2.5000000000000001E-3</v>
      </c>
      <c r="P34">
        <v>3.0999999999999999E-3</v>
      </c>
      <c r="Q34">
        <v>17.064153000000001</v>
      </c>
      <c r="S34" s="22"/>
      <c r="T34" t="s">
        <v>22</v>
      </c>
      <c r="U34">
        <v>1E-3</v>
      </c>
      <c r="V34">
        <v>2.3E-3</v>
      </c>
      <c r="W34">
        <v>17.133794000000002</v>
      </c>
      <c r="X34" t="s">
        <v>22</v>
      </c>
      <c r="Y34">
        <v>1E-3</v>
      </c>
      <c r="Z34">
        <v>2.3999999999999998E-3</v>
      </c>
      <c r="AA34">
        <v>16.570302999999999</v>
      </c>
      <c r="AB34" t="s">
        <v>22</v>
      </c>
      <c r="AC34">
        <v>1.1000000000000001E-3</v>
      </c>
      <c r="AD34">
        <v>2.5000000000000001E-3</v>
      </c>
      <c r="AE34">
        <v>16.619085999999999</v>
      </c>
      <c r="AF34" t="s">
        <v>22</v>
      </c>
      <c r="AG34">
        <v>1.1000000000000001E-3</v>
      </c>
      <c r="AH34">
        <v>2.5999999999999999E-3</v>
      </c>
      <c r="AI34">
        <v>15.314522999999999</v>
      </c>
    </row>
    <row r="37" spans="1:35" x14ac:dyDescent="0.25">
      <c r="A37" s="18" t="s">
        <v>23</v>
      </c>
      <c r="B37" s="16" t="s">
        <v>60</v>
      </c>
      <c r="C37" s="16"/>
      <c r="D37" s="16"/>
      <c r="E37" s="16"/>
      <c r="F37" s="16" t="s">
        <v>61</v>
      </c>
      <c r="G37" s="16"/>
      <c r="H37" s="16"/>
      <c r="I37" s="16"/>
      <c r="J37" s="16" t="s">
        <v>62</v>
      </c>
      <c r="K37" s="16"/>
      <c r="L37" s="16"/>
      <c r="M37" s="16"/>
      <c r="N37" s="16" t="s">
        <v>63</v>
      </c>
      <c r="O37" s="16"/>
      <c r="P37" s="16"/>
      <c r="Q37" s="16"/>
      <c r="S37" s="18" t="s">
        <v>23</v>
      </c>
      <c r="T37" s="16" t="s">
        <v>60</v>
      </c>
      <c r="U37" s="16"/>
      <c r="V37" s="16"/>
      <c r="W37" s="16"/>
      <c r="X37" s="16" t="s">
        <v>61</v>
      </c>
      <c r="Y37" s="16"/>
      <c r="Z37" s="16"/>
      <c r="AA37" s="16"/>
      <c r="AB37" s="16" t="s">
        <v>62</v>
      </c>
      <c r="AC37" s="16"/>
      <c r="AD37" s="16"/>
      <c r="AE37" s="16"/>
      <c r="AF37" s="16" t="s">
        <v>63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60</v>
      </c>
      <c r="C44" s="16"/>
      <c r="D44" s="16"/>
      <c r="E44" s="16"/>
      <c r="F44" s="16" t="s">
        <v>61</v>
      </c>
      <c r="G44" s="16"/>
      <c r="H44" s="16"/>
      <c r="I44" s="16"/>
      <c r="J44" s="16" t="s">
        <v>62</v>
      </c>
      <c r="K44" s="16"/>
      <c r="L44" s="16"/>
      <c r="M44" s="16"/>
      <c r="N44" s="16" t="s">
        <v>63</v>
      </c>
      <c r="O44" s="16"/>
      <c r="P44" s="16"/>
      <c r="Q44" s="16"/>
      <c r="S44" s="23" t="s">
        <v>24</v>
      </c>
      <c r="T44" s="16" t="s">
        <v>60</v>
      </c>
      <c r="U44" s="16"/>
      <c r="V44" s="16"/>
      <c r="W44" s="16"/>
      <c r="X44" s="16" t="s">
        <v>61</v>
      </c>
      <c r="Y44" s="16"/>
      <c r="Z44" s="16"/>
      <c r="AA44" s="16"/>
      <c r="AB44" s="16" t="s">
        <v>62</v>
      </c>
      <c r="AC44" s="16"/>
      <c r="AD44" s="16"/>
      <c r="AE44" s="16"/>
      <c r="AF44" s="16" t="s">
        <v>63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2.5999999999999999E-3</v>
      </c>
      <c r="C46" s="6"/>
      <c r="D46" s="6"/>
      <c r="E46">
        <v>8.6264789999999998</v>
      </c>
      <c r="F46" s="6">
        <v>2.7000000000000001E-3</v>
      </c>
      <c r="G46" s="6"/>
      <c r="H46" s="6"/>
      <c r="I46">
        <v>8.7536339999999999</v>
      </c>
      <c r="J46" s="6">
        <v>2.8E-3</v>
      </c>
      <c r="K46" s="6"/>
      <c r="L46" s="6"/>
      <c r="M46">
        <v>8.6511560000000003</v>
      </c>
      <c r="N46" s="6">
        <v>2.8999999999999998E-3</v>
      </c>
      <c r="O46" s="6"/>
      <c r="P46" s="6"/>
      <c r="Q46">
        <v>7.5780440000000002</v>
      </c>
      <c r="S46" s="23"/>
      <c r="T46" s="6">
        <v>1.8E-3</v>
      </c>
      <c r="U46" s="6"/>
      <c r="V46" s="6"/>
      <c r="W46">
        <v>7.8606790000000002</v>
      </c>
      <c r="X46" s="6">
        <v>1.8E-3</v>
      </c>
      <c r="Y46" s="6"/>
      <c r="Z46" s="6"/>
      <c r="AA46">
        <v>7.6738169999999997</v>
      </c>
      <c r="AB46" s="6">
        <v>1.9E-3</v>
      </c>
      <c r="AC46" s="6"/>
      <c r="AD46" s="6"/>
      <c r="AE46">
        <v>8.4763450000000002</v>
      </c>
      <c r="AF46" s="6">
        <v>2E-3</v>
      </c>
      <c r="AG46" s="6"/>
      <c r="AH46" s="6"/>
      <c r="AI46">
        <v>9.2849299999999992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60</v>
      </c>
      <c r="C50" s="16"/>
      <c r="D50" s="16"/>
      <c r="E50" s="16"/>
      <c r="F50" s="16" t="s">
        <v>61</v>
      </c>
      <c r="G50" s="16"/>
      <c r="H50" s="16"/>
      <c r="I50" s="16"/>
      <c r="J50" s="16" t="s">
        <v>62</v>
      </c>
      <c r="K50" s="16"/>
      <c r="L50" s="16"/>
      <c r="M50" s="16"/>
      <c r="N50" s="16" t="s">
        <v>63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1.4E-3</v>
      </c>
      <c r="E54">
        <v>15.103256999999999</v>
      </c>
      <c r="F54" t="s">
        <v>22</v>
      </c>
      <c r="G54">
        <v>4.0000000000000002E-4</v>
      </c>
      <c r="H54">
        <v>1.5E-3</v>
      </c>
      <c r="I54">
        <v>11.285221999999999</v>
      </c>
      <c r="J54" t="s">
        <v>22</v>
      </c>
      <c r="K54">
        <v>4.0000000000000002E-4</v>
      </c>
      <c r="L54">
        <v>1.5E-3</v>
      </c>
      <c r="M54">
        <v>14.695164999999999</v>
      </c>
      <c r="N54" t="s">
        <v>22</v>
      </c>
      <c r="O54">
        <v>2.0000000000000001E-4</v>
      </c>
      <c r="P54">
        <v>3.5999999999999999E-3</v>
      </c>
      <c r="Q54">
        <v>1.2488999999999999</v>
      </c>
    </row>
    <row r="57" spans="1:17" x14ac:dyDescent="0.25">
      <c r="A57" s="18" t="s">
        <v>23</v>
      </c>
      <c r="B57" s="16" t="s">
        <v>60</v>
      </c>
      <c r="C57" s="16"/>
      <c r="D57" s="16"/>
      <c r="E57" s="16"/>
      <c r="F57" s="16" t="s">
        <v>61</v>
      </c>
      <c r="G57" s="16"/>
      <c r="H57" s="16"/>
      <c r="I57" s="16"/>
      <c r="J57" s="16" t="s">
        <v>62</v>
      </c>
      <c r="K57" s="16"/>
      <c r="L57" s="16"/>
      <c r="M57" s="16"/>
      <c r="N57" s="16" t="s">
        <v>63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60</v>
      </c>
      <c r="C64" s="16"/>
      <c r="D64" s="16"/>
      <c r="E64" s="16"/>
      <c r="F64" s="16" t="s">
        <v>61</v>
      </c>
      <c r="G64" s="16"/>
      <c r="H64" s="16"/>
      <c r="I64" s="16"/>
      <c r="J64" s="16" t="s">
        <v>62</v>
      </c>
      <c r="K64" s="16"/>
      <c r="L64" s="16"/>
      <c r="M64" s="16"/>
      <c r="N64" s="16" t="s">
        <v>63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7.5279999999999998E-4</v>
      </c>
      <c r="C66" s="6"/>
      <c r="D66" s="6"/>
      <c r="E66">
        <v>7.9771840000000003</v>
      </c>
      <c r="F66" s="3">
        <v>7.8339999999999996E-4</v>
      </c>
      <c r="G66" s="6"/>
      <c r="H66" s="6"/>
      <c r="I66">
        <v>9.2008120000000009</v>
      </c>
      <c r="J66" s="3">
        <v>8.4949999999999999E-4</v>
      </c>
      <c r="K66" s="6"/>
      <c r="L66" s="6"/>
      <c r="M66">
        <v>7.6009219999999997</v>
      </c>
      <c r="N66" s="3">
        <v>8.6859999999999997E-4</v>
      </c>
      <c r="O66" s="6"/>
      <c r="P66" s="6"/>
      <c r="Q66">
        <v>7.1441530000000002</v>
      </c>
    </row>
    <row r="67" spans="1:27" x14ac:dyDescent="0.25">
      <c r="J67" t="s">
        <v>29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3.2050000000000004E-3</v>
      </c>
      <c r="G75">
        <f t="shared" si="1"/>
        <v>3.2100000000000002E-3</v>
      </c>
      <c r="H75">
        <f t="shared" si="2"/>
        <v>6.0518330000000002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3.2100000000000002E-3</v>
      </c>
      <c r="M75">
        <f>I25+E25</f>
        <v>16.628593000000002</v>
      </c>
      <c r="P75" s="21"/>
      <c r="Q75" t="s">
        <v>37</v>
      </c>
      <c r="R75">
        <f t="shared" si="6"/>
        <v>3.2100000000000002E-3</v>
      </c>
      <c r="S75">
        <f t="shared" si="7"/>
        <v>3.2200000000000002E-3</v>
      </c>
      <c r="U75">
        <f t="shared" si="8"/>
        <v>1.9819999999999997E-2</v>
      </c>
      <c r="V75">
        <f t="shared" si="9"/>
        <v>1.9910000000000004E-2</v>
      </c>
      <c r="X75">
        <f>0.1*F25+(1-0.1)*B25</f>
        <v>3.2200000000000002E-3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3.2200000000000002E-3</v>
      </c>
      <c r="G81">
        <f t="shared" si="11"/>
        <v>3.2400000000000003E-3</v>
      </c>
      <c r="I81">
        <f t="shared" si="12"/>
        <v>1.9939999999999999E-2</v>
      </c>
      <c r="J81">
        <f t="shared" si="13"/>
        <v>2.0020000000000003E-2</v>
      </c>
      <c r="L81">
        <f>0.2*F25+(1-0.2)*B25</f>
        <v>3.2400000000000003E-3</v>
      </c>
      <c r="P81" s="21"/>
      <c r="Q81" t="s">
        <v>37</v>
      </c>
      <c r="R81">
        <f t="shared" si="14"/>
        <v>3.2299999999999998E-3</v>
      </c>
      <c r="S81">
        <f t="shared" si="15"/>
        <v>3.2599999999999999E-3</v>
      </c>
      <c r="U81">
        <f t="shared" si="16"/>
        <v>2.0059999999999998E-2</v>
      </c>
      <c r="V81">
        <f t="shared" si="17"/>
        <v>2.0130000000000002E-2</v>
      </c>
      <c r="X81">
        <f>0.3*F25+(1-0.3)*B25</f>
        <v>3.2599999999999999E-3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3.2102500000000004E-3</v>
      </c>
      <c r="G88">
        <f t="shared" si="19"/>
        <v>3.2197500000000004E-3</v>
      </c>
      <c r="H88">
        <f t="shared" si="20"/>
        <v>9.5459460000000007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3.2195000000000001E-3</v>
      </c>
      <c r="M88">
        <f>M25+I25+E25</f>
        <v>26.069685</v>
      </c>
      <c r="O88" s="20"/>
      <c r="P88" s="21"/>
      <c r="Q88" t="s">
        <v>37</v>
      </c>
      <c r="R88">
        <f t="shared" si="24"/>
        <v>3.2209999999999999E-3</v>
      </c>
      <c r="S88">
        <f t="shared" si="25"/>
        <v>3.2390000000000001E-3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3.238E-3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3.2440000000000004E-3</v>
      </c>
      <c r="G94">
        <f t="shared" si="29"/>
        <v>3.2760000000000003E-3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3.2720000000000002E-3</v>
      </c>
      <c r="O94" s="20"/>
      <c r="P94" s="21"/>
      <c r="Q94" t="s">
        <v>37</v>
      </c>
      <c r="R94">
        <f t="shared" si="32"/>
        <v>3.2690000000000002E-3</v>
      </c>
      <c r="S94">
        <f t="shared" si="33"/>
        <v>3.3110000000000001E-3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3.3020000000000002E-3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3.2157249999999996E-3</v>
      </c>
      <c r="G101">
        <f t="shared" si="37"/>
        <v>3.2292624999999998E-3</v>
      </c>
      <c r="H101">
        <f t="shared" si="38"/>
        <v>12.919273999999998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3.2285499999999997E-3</v>
      </c>
      <c r="M101">
        <f>Q25+M25+I25+E25</f>
        <v>34.500771999999998</v>
      </c>
      <c r="N101" s="24"/>
      <c r="O101" s="20"/>
      <c r="P101" s="21"/>
      <c r="Q101" t="s">
        <v>37</v>
      </c>
      <c r="R101">
        <f t="shared" si="42"/>
        <v>3.2328000000000001E-3</v>
      </c>
      <c r="S101">
        <f t="shared" si="43"/>
        <v>3.2571000000000002E-3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3.2544000000000002E-3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3.2704000000000001E-3</v>
      </c>
      <c r="G107">
        <f t="shared" si="47"/>
        <v>3.3087999999999998E-3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3.2992E-3</v>
      </c>
      <c r="N107" s="24"/>
      <c r="O107" s="20"/>
      <c r="P107" s="21"/>
      <c r="Q107" t="s">
        <v>37</v>
      </c>
      <c r="R107">
        <f t="shared" si="50"/>
        <v>3.3116E-3</v>
      </c>
      <c r="S107">
        <f t="shared" si="51"/>
        <v>3.3557000000000001E-3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3.3368E-3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3.0100000000000001E-3</v>
      </c>
      <c r="G114">
        <f t="shared" si="55"/>
        <v>3.1049999999999997E-3</v>
      </c>
      <c r="H114">
        <f t="shared" si="56"/>
        <v>34.237068000000001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3.1049999999999997E-3</v>
      </c>
      <c r="M114">
        <f>AA25+W25</f>
        <v>14.853283999999999</v>
      </c>
      <c r="P114" s="21"/>
      <c r="Q114" t="s">
        <v>37</v>
      </c>
      <c r="R114">
        <f t="shared" si="60"/>
        <v>3.0200000000000001E-3</v>
      </c>
      <c r="S114">
        <f t="shared" si="61"/>
        <v>3.1099999999999999E-3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3.1099999999999999E-3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3.0400000000000002E-3</v>
      </c>
      <c r="G120">
        <f t="shared" si="65"/>
        <v>3.1199999999999999E-3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3.1199999999999999E-3</v>
      </c>
      <c r="P120" s="21"/>
      <c r="Q120" t="s">
        <v>37</v>
      </c>
      <c r="R120">
        <f t="shared" si="68"/>
        <v>3.0599999999999998E-3</v>
      </c>
      <c r="S120">
        <f t="shared" si="69"/>
        <v>3.1299999999999995E-3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3.1299999999999995E-3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3.0120000000000004E-3</v>
      </c>
      <c r="G127">
        <f t="shared" si="73"/>
        <v>3.1105000000000004E-3</v>
      </c>
      <c r="H127">
        <f t="shared" si="74"/>
        <v>35.540986000000004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3.1100000000000004E-3</v>
      </c>
      <c r="M127">
        <f>AE25+AA25+W25</f>
        <v>22.642612</v>
      </c>
      <c r="O127" s="20"/>
      <c r="P127" s="21"/>
      <c r="Q127" t="s">
        <v>37</v>
      </c>
      <c r="R127">
        <f t="shared" si="78"/>
        <v>3.0080000000000003E-3</v>
      </c>
      <c r="S127">
        <f t="shared" si="79"/>
        <v>3.1220000000000002E-3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3.1200000000000004E-3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2.9519999999999998E-3</v>
      </c>
      <c r="G133">
        <f t="shared" si="83"/>
        <v>3.1479999999999998E-3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3.1399999999999996E-3</v>
      </c>
      <c r="O133" s="20"/>
      <c r="P133" s="21"/>
      <c r="Q133" t="s">
        <v>37</v>
      </c>
      <c r="R133">
        <f t="shared" si="86"/>
        <v>2.8320000000000003E-3</v>
      </c>
      <c r="S133">
        <f t="shared" si="87"/>
        <v>3.1780000000000003E-3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3.16E-3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3.007175E-3</v>
      </c>
      <c r="G140">
        <f t="shared" si="91"/>
        <v>3.1164249999999999E-3</v>
      </c>
      <c r="H140">
        <f t="shared" si="92"/>
        <v>52.673477000000005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3.1149999999999997E-3</v>
      </c>
      <c r="M140">
        <f>AI25+AE25+AA25+W25</f>
        <v>30.159658</v>
      </c>
      <c r="N140" s="24"/>
      <c r="O140" s="20"/>
      <c r="P140" s="21"/>
      <c r="Q140" t="s">
        <v>37</v>
      </c>
      <c r="R140">
        <f t="shared" si="96"/>
        <v>2.9734000000000002E-3</v>
      </c>
      <c r="S140">
        <f t="shared" si="97"/>
        <v>3.1354E-3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3.13E-3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2.8111999999999998E-3</v>
      </c>
      <c r="G146">
        <f t="shared" si="101"/>
        <v>3.1792000000000001E-3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3.1599999999999996E-3</v>
      </c>
      <c r="N146" s="24"/>
      <c r="O146" s="20"/>
      <c r="P146" s="21"/>
      <c r="Q146" t="s">
        <v>37</v>
      </c>
      <c r="R146">
        <f t="shared" si="104"/>
        <v>2.5698000000000006E-3</v>
      </c>
      <c r="S146">
        <f t="shared" si="105"/>
        <v>3.2278000000000003E-3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3.1900000000000001E-3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2.2049999999999999E-3</v>
      </c>
      <c r="G153">
        <f t="shared" si="109"/>
        <v>2.8050000000000002E-3</v>
      </c>
      <c r="H153">
        <f t="shared" si="110"/>
        <v>34.913442000000003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2.6050000000000001E-3</v>
      </c>
      <c r="M153">
        <f>I46+E46</f>
        <v>17.380113000000001</v>
      </c>
      <c r="P153" s="21"/>
      <c r="Q153" t="s">
        <v>37</v>
      </c>
      <c r="R153">
        <f t="shared" si="114"/>
        <v>2.2100000000000002E-3</v>
      </c>
      <c r="S153">
        <f t="shared" si="115"/>
        <v>2.81E-3</v>
      </c>
      <c r="U153">
        <f t="shared" si="116"/>
        <v>1.311E-2</v>
      </c>
      <c r="V153">
        <f t="shared" si="117"/>
        <v>1.6389999999999998E-2</v>
      </c>
      <c r="X153">
        <f>0.1*F46+(1-0.1)*B46</f>
        <v>2.6099999999999999E-3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2.2200000000000002E-3</v>
      </c>
      <c r="G159">
        <f t="shared" si="119"/>
        <v>2.8200000000000005E-3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2.6199999999999999E-3</v>
      </c>
      <c r="P159" s="21"/>
      <c r="Q159" t="s">
        <v>37</v>
      </c>
      <c r="R159">
        <f t="shared" si="122"/>
        <v>2.2299999999999998E-3</v>
      </c>
      <c r="S159">
        <f t="shared" si="123"/>
        <v>2.8300000000000001E-3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2.63E-3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2.2100000000000002E-3</v>
      </c>
      <c r="G166">
        <f t="shared" si="127"/>
        <v>2.81E-3</v>
      </c>
      <c r="H166">
        <f t="shared" si="128"/>
        <v>52.437814000000003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2.6099999999999999E-3</v>
      </c>
      <c r="M166">
        <f>M46+I46+E46</f>
        <v>26.031268999999998</v>
      </c>
      <c r="O166" s="20"/>
      <c r="P166" s="21"/>
      <c r="Q166" t="s">
        <v>37</v>
      </c>
      <c r="R166">
        <f t="shared" si="132"/>
        <v>2.2200000000000002E-3</v>
      </c>
      <c r="S166">
        <f t="shared" si="133"/>
        <v>2.82E-3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2.6200000000000004E-3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2.2400000000000002E-3</v>
      </c>
      <c r="G172">
        <f t="shared" si="137"/>
        <v>2.8399999999999996E-3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2.64E-3</v>
      </c>
      <c r="O172" s="20"/>
      <c r="P172" s="21"/>
      <c r="Q172" t="s">
        <v>37</v>
      </c>
      <c r="R172">
        <f t="shared" si="140"/>
        <v>2.2599999999999999E-3</v>
      </c>
      <c r="S172">
        <f t="shared" si="141"/>
        <v>2.8600000000000001E-3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2.66E-3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2.215E-3</v>
      </c>
      <c r="G179">
        <f t="shared" si="145"/>
        <v>2.8149999999999998E-3</v>
      </c>
      <c r="H179">
        <f t="shared" si="146"/>
        <v>69.501967000000008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2.6149999999999997E-3</v>
      </c>
      <c r="M179">
        <f>Q46+M46+I46+E46</f>
        <v>33.609313</v>
      </c>
      <c r="N179" s="24"/>
      <c r="O179" s="20"/>
      <c r="P179" s="21"/>
      <c r="Q179" t="s">
        <v>37</v>
      </c>
      <c r="R179">
        <f t="shared" si="150"/>
        <v>2.2300000000000002E-3</v>
      </c>
      <c r="S179">
        <f t="shared" si="151"/>
        <v>2.8299999999999996E-3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2.63E-3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2.2599999999999999E-3</v>
      </c>
      <c r="G185">
        <f t="shared" si="155"/>
        <v>2.8599999999999997E-3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2.66E-3</v>
      </c>
      <c r="N185" s="24"/>
      <c r="O185" s="20"/>
      <c r="P185" s="21"/>
      <c r="Q185" t="s">
        <v>37</v>
      </c>
      <c r="R185">
        <f t="shared" si="158"/>
        <v>2.2900000000000004E-3</v>
      </c>
      <c r="S185">
        <f t="shared" si="159"/>
        <v>2.8900000000000002E-3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2.6900000000000001E-3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2.3049999999999998E-3</v>
      </c>
      <c r="H192">
        <f t="shared" si="164"/>
        <v>33.704097000000004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1.8E-3</v>
      </c>
      <c r="M192">
        <f>AA46+W46</f>
        <v>15.534496000000001</v>
      </c>
      <c r="P192" s="21"/>
      <c r="Q192" t="s">
        <v>37</v>
      </c>
      <c r="R192">
        <f t="shared" si="168"/>
        <v>1E-3</v>
      </c>
      <c r="S192">
        <f t="shared" si="169"/>
        <v>2.3100000000000004E-3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1.8E-3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2.32E-3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1.8000000000000002E-3</v>
      </c>
      <c r="P198" s="21"/>
      <c r="Q198" t="s">
        <v>37</v>
      </c>
      <c r="R198">
        <f t="shared" si="176"/>
        <v>1E-3</v>
      </c>
      <c r="S198">
        <f t="shared" si="177"/>
        <v>2.3299999999999996E-3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1.0002500000000001E-3</v>
      </c>
      <c r="G205">
        <f t="shared" si="181"/>
        <v>2.3100000000000004E-3</v>
      </c>
      <c r="H205">
        <f t="shared" si="182"/>
        <v>50.323183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1.8002500000000002E-3</v>
      </c>
      <c r="M205">
        <f>AE46+AA46+W46</f>
        <v>24.010841000000003</v>
      </c>
      <c r="O205" s="20"/>
      <c r="P205" s="21"/>
      <c r="Q205" t="s">
        <v>37</v>
      </c>
      <c r="R205">
        <f t="shared" si="185"/>
        <v>1.0010000000000002E-3</v>
      </c>
      <c r="S205">
        <f t="shared" si="186"/>
        <v>2.32E-3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1.8010000000000001E-3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1.0040000000000001E-3</v>
      </c>
      <c r="G211">
        <f t="shared" si="190"/>
        <v>2.3400000000000001E-3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1.804E-3</v>
      </c>
      <c r="O211" s="20"/>
      <c r="P211" s="21"/>
      <c r="Q211" t="s">
        <v>37</v>
      </c>
      <c r="R211">
        <f t="shared" si="193"/>
        <v>1.0090000000000001E-3</v>
      </c>
      <c r="S211">
        <f t="shared" si="194"/>
        <v>2.3600000000000001E-3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1.8090000000000001E-3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1.0007250000000001E-3</v>
      </c>
      <c r="G218">
        <f t="shared" si="198"/>
        <v>2.3149999999999993E-3</v>
      </c>
      <c r="H218">
        <f t="shared" si="199"/>
        <v>65.637706000000009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1.8007374999999997E-3</v>
      </c>
      <c r="M218">
        <f>AI46+AE46+AA46+W46</f>
        <v>33.295770999999995</v>
      </c>
      <c r="N218" s="24"/>
      <c r="O218" s="20"/>
      <c r="P218" s="21"/>
      <c r="Q218" t="s">
        <v>37</v>
      </c>
      <c r="R218">
        <f t="shared" si="203"/>
        <v>1.0028000000000001E-3</v>
      </c>
      <c r="S218">
        <f t="shared" si="204"/>
        <v>2.3299999999999996E-3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1.8028999999999999E-3</v>
      </c>
    </row>
    <row r="219" spans="1:25" x14ac:dyDescent="0.25">
      <c r="A219" s="22"/>
      <c r="C219" s="4"/>
    </row>
    <row r="220" spans="1:25" x14ac:dyDescent="0.25">
      <c r="A220" s="22"/>
      <c r="C220" s="4"/>
      <c r="L220" s="12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1.0103999999999998E-3</v>
      </c>
      <c r="G224">
        <f t="shared" si="208"/>
        <v>2.3600000000000001E-3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1.8111999999999998E-3</v>
      </c>
      <c r="N224" s="24"/>
      <c r="O224" s="20"/>
      <c r="P224" s="21"/>
      <c r="Q224" t="s">
        <v>37</v>
      </c>
      <c r="R224">
        <f t="shared" si="211"/>
        <v>1.0216000000000001E-3</v>
      </c>
      <c r="S224">
        <f t="shared" si="212"/>
        <v>2.3900000000000002E-3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1.8243000000000001E-3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1.405E-3</v>
      </c>
      <c r="H231">
        <f t="shared" si="217"/>
        <v>26.388478999999997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7.1515999999999995E-4</v>
      </c>
      <c r="M231">
        <f>I66+E66</f>
        <v>17.177996</v>
      </c>
      <c r="P231" s="21"/>
      <c r="Q231" t="s">
        <v>37</v>
      </c>
      <c r="R231">
        <f t="shared" si="221"/>
        <v>4.0000000000000002E-4</v>
      </c>
      <c r="S231">
        <f t="shared" si="222"/>
        <v>1.41E-3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6.7752000000000003E-4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1.4200000000000003E-3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6.0223999999999998E-4</v>
      </c>
      <c r="P237" s="21"/>
      <c r="Q237" t="s">
        <v>37</v>
      </c>
      <c r="R237">
        <f t="shared" si="229"/>
        <v>3.9999999999999996E-4</v>
      </c>
      <c r="S237">
        <f t="shared" si="230"/>
        <v>1.4299999999999998E-3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5.2695999999999993E-4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1.40975E-3</v>
      </c>
      <c r="H244">
        <f t="shared" si="235"/>
        <v>41.083644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6.8152575000000003E-4</v>
      </c>
      <c r="M244">
        <f>M66+I66+E66</f>
        <v>24.778918000000001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1.4190000000000001E-3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6.1826299999999997E-4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1.436E-3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5.1577199999999995E-4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1.451E-3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4.4532700000000008E-4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3.9997499999999995E-4</v>
      </c>
      <c r="G257">
        <f t="shared" si="252"/>
        <v>1.414525E-3</v>
      </c>
      <c r="H257">
        <f t="shared" si="253"/>
        <v>42.332543999999999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6.515931624999999E-4</v>
      </c>
      <c r="M257">
        <f>Q66+M66+I66+E66</f>
        <v>31.923071</v>
      </c>
      <c r="N257" s="24"/>
      <c r="O257" s="20"/>
      <c r="P257" s="21"/>
      <c r="Q257" t="s">
        <v>37</v>
      </c>
      <c r="R257">
        <f t="shared" si="257"/>
        <v>3.9980000000000001E-4</v>
      </c>
      <c r="S257">
        <f t="shared" si="258"/>
        <v>1.4291999999999998E-3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5.7259629999999997E-4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3.9840000000000003E-4</v>
      </c>
      <c r="G263">
        <f t="shared" si="262"/>
        <v>1.4656000000000001E-3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4.7393439999999989E-4</v>
      </c>
      <c r="N263" s="24"/>
      <c r="O263" s="20"/>
      <c r="P263" s="21"/>
      <c r="Q263" t="s">
        <v>37</v>
      </c>
      <c r="R263">
        <f t="shared" si="265"/>
        <v>3.9460000000000005E-4</v>
      </c>
      <c r="S263">
        <f t="shared" si="266"/>
        <v>1.5224000000000001E-3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4.4221810000000012E-4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64</v>
      </c>
      <c r="C9" s="16"/>
      <c r="D9" s="16"/>
      <c r="E9" s="16"/>
      <c r="F9" s="16" t="s">
        <v>65</v>
      </c>
      <c r="G9" s="16"/>
      <c r="H9" s="16"/>
      <c r="I9" s="16"/>
      <c r="J9" s="16" t="s">
        <v>66</v>
      </c>
      <c r="K9" s="16"/>
      <c r="L9" s="16"/>
      <c r="M9" s="16"/>
      <c r="N9" s="16" t="s">
        <v>67</v>
      </c>
      <c r="O9" s="16"/>
      <c r="P9" s="16"/>
      <c r="Q9" s="16"/>
      <c r="S9" s="22" t="s">
        <v>12</v>
      </c>
      <c r="T9" s="16" t="s">
        <v>64</v>
      </c>
      <c r="U9" s="16"/>
      <c r="V9" s="16"/>
      <c r="W9" s="16"/>
      <c r="X9" s="16" t="s">
        <v>65</v>
      </c>
      <c r="Y9" s="16"/>
      <c r="Z9" s="16"/>
      <c r="AA9" s="16"/>
      <c r="AB9" s="16" t="s">
        <v>66</v>
      </c>
      <c r="AC9" s="16"/>
      <c r="AD9" s="16"/>
      <c r="AE9" s="16"/>
      <c r="AF9" s="16" t="s">
        <v>67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3.0000000000000001E-3</v>
      </c>
      <c r="D13" s="10">
        <v>3.0000000000000001E-3</v>
      </c>
      <c r="E13" s="10">
        <v>2.6438079999999999</v>
      </c>
      <c r="F13" t="s">
        <v>22</v>
      </c>
      <c r="G13" s="10">
        <v>3.0999999999999999E-3</v>
      </c>
      <c r="H13" s="10">
        <v>3.0999999999999999E-3</v>
      </c>
      <c r="I13" s="10">
        <v>2.638455</v>
      </c>
      <c r="J13" t="s">
        <v>22</v>
      </c>
      <c r="K13" s="10">
        <v>3.2000000000000002E-3</v>
      </c>
      <c r="L13" s="10">
        <v>3.3E-3</v>
      </c>
      <c r="M13" s="10">
        <v>2.6134219999999999</v>
      </c>
      <c r="N13" t="s">
        <v>22</v>
      </c>
      <c r="O13" s="10">
        <v>3.3999999999999998E-3</v>
      </c>
      <c r="P13" s="10">
        <v>3.3999999999999998E-3</v>
      </c>
      <c r="Q13" s="10">
        <v>2.6430790000000002</v>
      </c>
      <c r="S13" s="22"/>
      <c r="T13" t="s">
        <v>22</v>
      </c>
      <c r="U13">
        <v>2.8E-3</v>
      </c>
      <c r="V13">
        <v>2.8999999999999998E-3</v>
      </c>
      <c r="W13">
        <v>11.852124</v>
      </c>
      <c r="X13" t="s">
        <v>22</v>
      </c>
      <c r="Y13">
        <v>3.0000000000000001E-3</v>
      </c>
      <c r="Z13">
        <v>3.0000000000000001E-3</v>
      </c>
      <c r="AA13">
        <v>12.118115</v>
      </c>
      <c r="AB13" t="s">
        <v>22</v>
      </c>
      <c r="AC13">
        <v>3.0999999999999999E-3</v>
      </c>
      <c r="AD13">
        <v>3.0999999999999999E-3</v>
      </c>
      <c r="AE13">
        <v>11.909749</v>
      </c>
      <c r="AF13" t="s">
        <v>22</v>
      </c>
      <c r="AG13">
        <v>3.2000000000000002E-3</v>
      </c>
      <c r="AH13">
        <v>3.2000000000000002E-3</v>
      </c>
      <c r="AI13">
        <v>12.074604000000001</v>
      </c>
    </row>
    <row r="16" spans="1:35" x14ac:dyDescent="0.25">
      <c r="A16" s="18" t="s">
        <v>23</v>
      </c>
      <c r="B16" s="16" t="s">
        <v>64</v>
      </c>
      <c r="C16" s="16"/>
      <c r="D16" s="16"/>
      <c r="E16" s="16"/>
      <c r="F16" s="16" t="s">
        <v>65</v>
      </c>
      <c r="G16" s="16"/>
      <c r="H16" s="16"/>
      <c r="I16" s="16"/>
      <c r="J16" s="16" t="s">
        <v>66</v>
      </c>
      <c r="K16" s="16"/>
      <c r="L16" s="16"/>
      <c r="M16" s="16"/>
      <c r="N16" s="16" t="s">
        <v>67</v>
      </c>
      <c r="O16" s="16"/>
      <c r="P16" s="16"/>
      <c r="Q16" s="16"/>
      <c r="S16" s="18" t="s">
        <v>23</v>
      </c>
      <c r="T16" s="16" t="s">
        <v>64</v>
      </c>
      <c r="U16" s="16"/>
      <c r="V16" s="16"/>
      <c r="W16" s="16"/>
      <c r="X16" s="16" t="s">
        <v>65</v>
      </c>
      <c r="Y16" s="16"/>
      <c r="Z16" s="16"/>
      <c r="AA16" s="16"/>
      <c r="AB16" s="16" t="s">
        <v>66</v>
      </c>
      <c r="AC16" s="16"/>
      <c r="AD16" s="16"/>
      <c r="AE16" s="16"/>
      <c r="AF16" s="16" t="s">
        <v>67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64</v>
      </c>
      <c r="C23" s="16"/>
      <c r="D23" s="16"/>
      <c r="E23" s="16"/>
      <c r="F23" s="16" t="s">
        <v>65</v>
      </c>
      <c r="G23" s="16"/>
      <c r="H23" s="16"/>
      <c r="I23" s="16"/>
      <c r="J23" s="16" t="s">
        <v>66</v>
      </c>
      <c r="K23" s="16"/>
      <c r="L23" s="16"/>
      <c r="M23" s="16"/>
      <c r="N23" s="16" t="s">
        <v>67</v>
      </c>
      <c r="O23" s="16"/>
      <c r="P23" s="16"/>
      <c r="Q23" s="16"/>
      <c r="S23" s="23" t="s">
        <v>24</v>
      </c>
      <c r="T23" s="16" t="s">
        <v>64</v>
      </c>
      <c r="U23" s="16"/>
      <c r="V23" s="16"/>
      <c r="W23" s="16"/>
      <c r="X23" s="16" t="s">
        <v>65</v>
      </c>
      <c r="Y23" s="16"/>
      <c r="Z23" s="16"/>
      <c r="AA23" s="16"/>
      <c r="AB23" s="16" t="s">
        <v>66</v>
      </c>
      <c r="AC23" s="16"/>
      <c r="AD23" s="16"/>
      <c r="AE23" s="16"/>
      <c r="AF23" s="16" t="s">
        <v>67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3.0000000000000001E-3</v>
      </c>
      <c r="C25" s="6"/>
      <c r="D25" s="6"/>
      <c r="E25">
        <v>6.7685820000000003</v>
      </c>
      <c r="F25">
        <v>3.0999999999999999E-3</v>
      </c>
      <c r="G25" s="6"/>
      <c r="H25" s="6"/>
      <c r="I25">
        <v>6.9954039999999997</v>
      </c>
      <c r="J25">
        <v>3.3E-3</v>
      </c>
      <c r="K25" s="6"/>
      <c r="L25" s="6"/>
      <c r="M25" s="8">
        <v>7.4316050000000002</v>
      </c>
      <c r="N25" s="6">
        <v>3.3999999999999998E-3</v>
      </c>
      <c r="O25" s="6"/>
      <c r="P25" s="6"/>
      <c r="Q25">
        <v>6.9958260000000001</v>
      </c>
      <c r="S25" s="23"/>
      <c r="T25" s="6">
        <v>2.8999999999999998E-3</v>
      </c>
      <c r="U25" s="6"/>
      <c r="V25" s="6"/>
      <c r="W25">
        <v>6.7458580000000001</v>
      </c>
      <c r="X25" s="6">
        <v>3.0000000000000001E-3</v>
      </c>
      <c r="Y25" s="6"/>
      <c r="Z25" s="6"/>
      <c r="AA25">
        <v>6.8525320000000001</v>
      </c>
      <c r="AB25" s="6">
        <v>3.0999999999999999E-3</v>
      </c>
      <c r="AC25" s="6"/>
      <c r="AD25" s="6"/>
      <c r="AE25">
        <v>7.7517259999999997</v>
      </c>
      <c r="AF25" s="6">
        <v>3.2000000000000002E-3</v>
      </c>
      <c r="AG25" s="6"/>
      <c r="AH25" s="6"/>
      <c r="AI25">
        <v>7.1132379999999999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64</v>
      </c>
      <c r="C30" s="16"/>
      <c r="D30" s="16"/>
      <c r="E30" s="16"/>
      <c r="F30" s="16" t="s">
        <v>65</v>
      </c>
      <c r="G30" s="16"/>
      <c r="H30" s="16"/>
      <c r="I30" s="16"/>
      <c r="J30" s="16" t="s">
        <v>66</v>
      </c>
      <c r="K30" s="16"/>
      <c r="L30" s="16"/>
      <c r="M30" s="16"/>
      <c r="N30" s="16" t="s">
        <v>67</v>
      </c>
      <c r="O30" s="16"/>
      <c r="P30" s="16"/>
      <c r="Q30" s="16"/>
      <c r="S30" s="22" t="s">
        <v>12</v>
      </c>
      <c r="T30" s="16" t="s">
        <v>64</v>
      </c>
      <c r="U30" s="16"/>
      <c r="V30" s="16"/>
      <c r="W30" s="16"/>
      <c r="X30" s="16" t="s">
        <v>65</v>
      </c>
      <c r="Y30" s="16"/>
      <c r="Z30" s="16"/>
      <c r="AA30" s="16"/>
      <c r="AB30" s="16" t="s">
        <v>66</v>
      </c>
      <c r="AC30" s="16"/>
      <c r="AD30" s="16"/>
      <c r="AE30" s="16"/>
      <c r="AF30" s="16" t="s">
        <v>67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2.0999999999999999E-3</v>
      </c>
      <c r="D34">
        <v>2.5999999999999999E-3</v>
      </c>
      <c r="E34">
        <v>11.737539</v>
      </c>
      <c r="F34" t="s">
        <v>22</v>
      </c>
      <c r="G34">
        <v>2.2000000000000001E-3</v>
      </c>
      <c r="H34">
        <v>2.7000000000000001E-3</v>
      </c>
      <c r="I34">
        <v>12.221925000000001</v>
      </c>
      <c r="J34" t="s">
        <v>22</v>
      </c>
      <c r="K34" s="8">
        <v>2.3E-3</v>
      </c>
      <c r="L34" s="10">
        <v>2.8E-3</v>
      </c>
      <c r="M34">
        <v>12.150990999999999</v>
      </c>
      <c r="N34" t="s">
        <v>22</v>
      </c>
      <c r="O34">
        <v>2.3999999999999998E-3</v>
      </c>
      <c r="P34">
        <v>2.8999999999999998E-3</v>
      </c>
      <c r="Q34">
        <v>12.420099</v>
      </c>
      <c r="S34" s="22"/>
      <c r="T34" t="s">
        <v>22</v>
      </c>
      <c r="U34">
        <v>1E-3</v>
      </c>
      <c r="V34">
        <v>2.2000000000000001E-3</v>
      </c>
      <c r="W34">
        <v>12.633172</v>
      </c>
      <c r="X34" t="s">
        <v>22</v>
      </c>
      <c r="Y34">
        <v>1E-3</v>
      </c>
      <c r="Z34">
        <v>2.3E-3</v>
      </c>
      <c r="AA34">
        <v>11.563185000000001</v>
      </c>
      <c r="AB34" t="s">
        <v>22</v>
      </c>
      <c r="AC34">
        <v>1.1000000000000001E-3</v>
      </c>
      <c r="AD34">
        <v>2.3E-3</v>
      </c>
      <c r="AE34">
        <v>8.6788489999999996</v>
      </c>
      <c r="AF34" t="s">
        <v>22</v>
      </c>
      <c r="AG34">
        <v>1.1000000000000001E-3</v>
      </c>
      <c r="AH34" s="10">
        <v>2.3999999999999998E-3</v>
      </c>
      <c r="AI34">
        <v>11.946467999999999</v>
      </c>
    </row>
    <row r="37" spans="1:35" x14ac:dyDescent="0.25">
      <c r="A37" s="18" t="s">
        <v>23</v>
      </c>
      <c r="B37" s="16" t="s">
        <v>64</v>
      </c>
      <c r="C37" s="16"/>
      <c r="D37" s="16"/>
      <c r="E37" s="16"/>
      <c r="F37" s="16" t="s">
        <v>65</v>
      </c>
      <c r="G37" s="16"/>
      <c r="H37" s="16"/>
      <c r="I37" s="16"/>
      <c r="J37" s="16" t="s">
        <v>66</v>
      </c>
      <c r="K37" s="16"/>
      <c r="L37" s="16"/>
      <c r="M37" s="16"/>
      <c r="N37" s="16" t="s">
        <v>67</v>
      </c>
      <c r="O37" s="16"/>
      <c r="P37" s="16"/>
      <c r="Q37" s="16"/>
      <c r="S37" s="18" t="s">
        <v>23</v>
      </c>
      <c r="T37" s="16" t="s">
        <v>64</v>
      </c>
      <c r="U37" s="16"/>
      <c r="V37" s="16"/>
      <c r="W37" s="16"/>
      <c r="X37" s="16" t="s">
        <v>65</v>
      </c>
      <c r="Y37" s="16"/>
      <c r="Z37" s="16"/>
      <c r="AA37" s="16"/>
      <c r="AB37" s="16" t="s">
        <v>66</v>
      </c>
      <c r="AC37" s="16"/>
      <c r="AD37" s="16"/>
      <c r="AE37" s="16"/>
      <c r="AF37" s="16" t="s">
        <v>67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64</v>
      </c>
      <c r="C44" s="16"/>
      <c r="D44" s="16"/>
      <c r="E44" s="16"/>
      <c r="F44" s="16" t="s">
        <v>65</v>
      </c>
      <c r="G44" s="16"/>
      <c r="H44" s="16"/>
      <c r="I44" s="16"/>
      <c r="J44" s="16" t="s">
        <v>66</v>
      </c>
      <c r="K44" s="16"/>
      <c r="L44" s="16"/>
      <c r="M44" s="16"/>
      <c r="N44" s="16" t="s">
        <v>67</v>
      </c>
      <c r="O44" s="16"/>
      <c r="P44" s="16"/>
      <c r="Q44" s="16"/>
      <c r="S44" s="23" t="s">
        <v>24</v>
      </c>
      <c r="T44" s="16" t="s">
        <v>64</v>
      </c>
      <c r="U44" s="16"/>
      <c r="V44" s="16"/>
      <c r="W44" s="16"/>
      <c r="X44" s="16" t="s">
        <v>65</v>
      </c>
      <c r="Y44" s="16"/>
      <c r="Z44" s="16"/>
      <c r="AA44" s="16"/>
      <c r="AB44" s="16" t="s">
        <v>66</v>
      </c>
      <c r="AC44" s="16"/>
      <c r="AD44" s="16"/>
      <c r="AE44" s="16"/>
      <c r="AF44" s="16" t="s">
        <v>67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2.5000000000000001E-3</v>
      </c>
      <c r="C46" s="6"/>
      <c r="D46" s="6"/>
      <c r="E46">
        <v>7.0776399999999997</v>
      </c>
      <c r="F46" s="6">
        <v>2.5999999999999999E-3</v>
      </c>
      <c r="G46" s="6"/>
      <c r="H46" s="6"/>
      <c r="I46">
        <v>7.3649680000000002</v>
      </c>
      <c r="J46">
        <v>2.7000000000000001E-3</v>
      </c>
      <c r="K46" s="6"/>
      <c r="L46" s="6"/>
      <c r="M46">
        <v>6.7364490000000004</v>
      </c>
      <c r="N46" s="6">
        <v>2.7000000000000001E-3</v>
      </c>
      <c r="O46" s="6"/>
      <c r="P46" s="6"/>
      <c r="Q46">
        <v>6.8347480000000003</v>
      </c>
      <c r="S46" s="23"/>
      <c r="T46" s="6">
        <v>1.6999999999999999E-3</v>
      </c>
      <c r="U46" s="6"/>
      <c r="V46" s="6"/>
      <c r="W46">
        <v>6.7679999999999998</v>
      </c>
      <c r="X46" s="6">
        <v>1.8E-3</v>
      </c>
      <c r="Y46" s="6"/>
      <c r="Z46" s="6"/>
      <c r="AA46">
        <v>7.0920329999999998</v>
      </c>
      <c r="AB46" s="6">
        <v>1.9E-3</v>
      </c>
      <c r="AC46" s="6"/>
      <c r="AD46" s="6"/>
      <c r="AE46">
        <v>6.9660169999999999</v>
      </c>
      <c r="AF46" s="6">
        <v>1.9E-3</v>
      </c>
      <c r="AG46" s="6"/>
      <c r="AH46" s="6"/>
      <c r="AI46">
        <v>7.9906839999999999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64</v>
      </c>
      <c r="C50" s="16"/>
      <c r="D50" s="16"/>
      <c r="E50" s="16"/>
      <c r="F50" s="16" t="s">
        <v>65</v>
      </c>
      <c r="G50" s="16"/>
      <c r="H50" s="16"/>
      <c r="I50" s="16"/>
      <c r="J50" s="16" t="s">
        <v>66</v>
      </c>
      <c r="K50" s="16"/>
      <c r="L50" s="16"/>
      <c r="M50" s="16"/>
      <c r="N50" s="16" t="s">
        <v>67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1.2999999999999999E-3</v>
      </c>
      <c r="E54">
        <v>10.575599</v>
      </c>
      <c r="F54" t="s">
        <v>22</v>
      </c>
      <c r="G54">
        <v>4.0000000000000002E-4</v>
      </c>
      <c r="H54">
        <v>1.4E-3</v>
      </c>
      <c r="I54">
        <v>11.683909</v>
      </c>
      <c r="J54" t="s">
        <v>22</v>
      </c>
      <c r="K54">
        <v>4.0000000000000002E-4</v>
      </c>
      <c r="L54">
        <v>1.4E-3</v>
      </c>
      <c r="M54">
        <v>10.951964</v>
      </c>
      <c r="N54" t="s">
        <v>22</v>
      </c>
      <c r="O54">
        <v>4.0000000000000002E-4</v>
      </c>
      <c r="P54">
        <v>1.5E-3</v>
      </c>
      <c r="Q54">
        <v>11.095701</v>
      </c>
    </row>
    <row r="57" spans="1:17" x14ac:dyDescent="0.25">
      <c r="A57" s="18" t="s">
        <v>23</v>
      </c>
      <c r="B57" s="16" t="s">
        <v>64</v>
      </c>
      <c r="C57" s="16"/>
      <c r="D57" s="16"/>
      <c r="E57" s="16"/>
      <c r="F57" s="16" t="s">
        <v>65</v>
      </c>
      <c r="G57" s="16"/>
      <c r="H57" s="16"/>
      <c r="I57" s="16"/>
      <c r="J57" s="16" t="s">
        <v>66</v>
      </c>
      <c r="K57" s="16"/>
      <c r="L57" s="16"/>
      <c r="M57" s="16"/>
      <c r="N57" s="16" t="s">
        <v>67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64</v>
      </c>
      <c r="C64" s="16"/>
      <c r="D64" s="16"/>
      <c r="E64" s="16"/>
      <c r="F64" s="16" t="s">
        <v>65</v>
      </c>
      <c r="G64" s="16"/>
      <c r="H64" s="16"/>
      <c r="I64" s="16"/>
      <c r="J64" s="16" t="s">
        <v>66</v>
      </c>
      <c r="K64" s="16"/>
      <c r="L64" s="16"/>
      <c r="M64" s="16"/>
      <c r="N64" s="16" t="s">
        <v>67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7.4069999999999995E-4</v>
      </c>
      <c r="C66" s="6"/>
      <c r="D66" s="6"/>
      <c r="E66">
        <v>6.9685969999999999</v>
      </c>
      <c r="F66" s="3">
        <v>7.6349999999999996E-4</v>
      </c>
      <c r="G66" s="6"/>
      <c r="H66" s="6"/>
      <c r="I66">
        <v>7.5208050000000002</v>
      </c>
      <c r="J66" s="3">
        <v>8.0889999999999998E-4</v>
      </c>
      <c r="K66" s="6"/>
      <c r="L66" s="6"/>
      <c r="M66">
        <v>6.8604989999999999</v>
      </c>
      <c r="N66" s="3">
        <v>8.6549999999999995E-4</v>
      </c>
      <c r="O66" s="6"/>
      <c r="P66" s="6"/>
      <c r="Q66">
        <v>6.7940180000000003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3.0050000000000003E-3</v>
      </c>
      <c r="G75">
        <f t="shared" si="1"/>
        <v>3.0050000000000003E-3</v>
      </c>
      <c r="H75">
        <f t="shared" si="2"/>
        <v>5.2822630000000004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3.0050000000000003E-3</v>
      </c>
      <c r="M75">
        <f>I25+E25</f>
        <v>13.763985999999999</v>
      </c>
      <c r="P75" s="21"/>
      <c r="Q75" t="s">
        <v>37</v>
      </c>
      <c r="R75">
        <f t="shared" si="6"/>
        <v>3.0100000000000001E-3</v>
      </c>
      <c r="S75">
        <f t="shared" si="7"/>
        <v>3.0100000000000001E-3</v>
      </c>
      <c r="U75">
        <f t="shared" si="8"/>
        <v>1.9819999999999997E-2</v>
      </c>
      <c r="V75">
        <f t="shared" si="9"/>
        <v>1.9910000000000004E-2</v>
      </c>
      <c r="X75">
        <f>0.1*F25+(1-0.1)*B25</f>
        <v>3.0100000000000001E-3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3.0200000000000001E-3</v>
      </c>
      <c r="G81">
        <f t="shared" si="11"/>
        <v>3.0200000000000001E-3</v>
      </c>
      <c r="I81">
        <f t="shared" si="12"/>
        <v>1.9939999999999999E-2</v>
      </c>
      <c r="J81">
        <f t="shared" si="13"/>
        <v>2.0020000000000003E-2</v>
      </c>
      <c r="L81">
        <f>0.2*F25+(1-0.2)*B25</f>
        <v>3.0200000000000001E-3</v>
      </c>
      <c r="P81" s="21"/>
      <c r="Q81" t="s">
        <v>37</v>
      </c>
      <c r="R81">
        <f t="shared" si="14"/>
        <v>3.0299999999999997E-3</v>
      </c>
      <c r="S81">
        <f t="shared" si="15"/>
        <v>3.0299999999999997E-3</v>
      </c>
      <c r="U81">
        <f t="shared" si="16"/>
        <v>2.0059999999999998E-2</v>
      </c>
      <c r="V81">
        <f t="shared" si="17"/>
        <v>2.0130000000000002E-2</v>
      </c>
      <c r="X81">
        <f>0.3*F25+(1-0.3)*B25</f>
        <v>3.0299999999999997E-3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3.0100000000000001E-3</v>
      </c>
      <c r="G88">
        <f t="shared" si="19"/>
        <v>3.0102500000000003E-3</v>
      </c>
      <c r="H88">
        <f t="shared" si="20"/>
        <v>7.8956850000000003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3.0102500000000003E-3</v>
      </c>
      <c r="M88">
        <f>M25+I25+E25</f>
        <v>21.195591</v>
      </c>
      <c r="O88" s="20"/>
      <c r="P88" s="21"/>
      <c r="Q88" t="s">
        <v>37</v>
      </c>
      <c r="R88">
        <f t="shared" si="24"/>
        <v>3.0200000000000001E-3</v>
      </c>
      <c r="S88">
        <f t="shared" si="25"/>
        <v>3.0210000000000002E-3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3.0210000000000002E-3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3.0400000000000002E-3</v>
      </c>
      <c r="G94">
        <f t="shared" si="29"/>
        <v>3.0439999999999998E-3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3.0439999999999998E-3</v>
      </c>
      <c r="O94" s="20"/>
      <c r="P94" s="21"/>
      <c r="Q94" t="s">
        <v>37</v>
      </c>
      <c r="R94">
        <f t="shared" si="32"/>
        <v>3.0600000000000002E-3</v>
      </c>
      <c r="S94">
        <f t="shared" si="33"/>
        <v>3.0690000000000005E-3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3.0690000000000005E-3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3.0150124999999998E-3</v>
      </c>
      <c r="G101">
        <f t="shared" si="37"/>
        <v>3.0157249999999999E-3</v>
      </c>
      <c r="H101">
        <f t="shared" si="38"/>
        <v>10.538764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3.0157249999999999E-3</v>
      </c>
      <c r="M101">
        <f>Q25+M25+I25+E25</f>
        <v>28.191417000000001</v>
      </c>
      <c r="N101" s="24"/>
      <c r="O101" s="20"/>
      <c r="P101" s="21"/>
      <c r="Q101" t="s">
        <v>37</v>
      </c>
      <c r="R101">
        <f t="shared" si="42"/>
        <v>3.0301E-3</v>
      </c>
      <c r="S101">
        <f t="shared" si="43"/>
        <v>3.0328E-3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3.0328E-3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3.0607999999999998E-3</v>
      </c>
      <c r="G107">
        <f t="shared" si="47"/>
        <v>3.0704E-3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3.0704E-3</v>
      </c>
      <c r="N107" s="24"/>
      <c r="O107" s="20"/>
      <c r="P107" s="21"/>
      <c r="Q107" t="s">
        <v>37</v>
      </c>
      <c r="R107">
        <f t="shared" si="50"/>
        <v>3.0927000000000003E-3</v>
      </c>
      <c r="S107">
        <f t="shared" si="51"/>
        <v>3.1116E-3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3.1116E-3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2.81E-3</v>
      </c>
      <c r="G114">
        <f t="shared" si="55"/>
        <v>2.9049999999999996E-3</v>
      </c>
      <c r="H114">
        <f t="shared" si="56"/>
        <v>23.970238999999999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2.9049999999999996E-3</v>
      </c>
      <c r="M114">
        <f>AA25+W25</f>
        <v>13.59839</v>
      </c>
      <c r="P114" s="21"/>
      <c r="Q114" t="s">
        <v>37</v>
      </c>
      <c r="R114">
        <f t="shared" si="60"/>
        <v>2.82E-3</v>
      </c>
      <c r="S114">
        <f t="shared" si="61"/>
        <v>2.9099999999999998E-3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2.9099999999999998E-3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2.8400000000000005E-3</v>
      </c>
      <c r="G120">
        <f t="shared" si="65"/>
        <v>2.9199999999999999E-3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2.9199999999999999E-3</v>
      </c>
      <c r="P120" s="21"/>
      <c r="Q120" t="s">
        <v>37</v>
      </c>
      <c r="R120">
        <f t="shared" si="68"/>
        <v>2.8599999999999997E-3</v>
      </c>
      <c r="S120">
        <f t="shared" si="69"/>
        <v>2.9299999999999994E-3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2.9299999999999994E-3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2.8197500000000002E-3</v>
      </c>
      <c r="G127">
        <f t="shared" si="73"/>
        <v>2.9100000000000003E-3</v>
      </c>
      <c r="H127">
        <f t="shared" si="74"/>
        <v>35.879987999999997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2.9100000000000003E-3</v>
      </c>
      <c r="M127">
        <f>AE25+AA25+W25</f>
        <v>21.350116</v>
      </c>
      <c r="O127" s="20"/>
      <c r="P127" s="21"/>
      <c r="Q127" t="s">
        <v>37</v>
      </c>
      <c r="R127">
        <f t="shared" si="78"/>
        <v>2.8390000000000004E-3</v>
      </c>
      <c r="S127">
        <f t="shared" si="79"/>
        <v>2.9199999999999999E-3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2.9199999999999999E-3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2.8760000000000001E-3</v>
      </c>
      <c r="G133">
        <f t="shared" si="83"/>
        <v>2.9399999999999999E-3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2.9399999999999999E-3</v>
      </c>
      <c r="O133" s="20"/>
      <c r="P133" s="21"/>
      <c r="Q133" t="s">
        <v>37</v>
      </c>
      <c r="R133">
        <f t="shared" si="86"/>
        <v>2.9110000000000004E-3</v>
      </c>
      <c r="S133">
        <f t="shared" si="87"/>
        <v>2.96E-3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2.96E-3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2.8292624999999997E-3</v>
      </c>
      <c r="G140">
        <f t="shared" si="91"/>
        <v>2.9149999999999992E-3</v>
      </c>
      <c r="H140">
        <f t="shared" si="92"/>
        <v>47.954592000000005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2.9149999999999992E-3</v>
      </c>
      <c r="M140">
        <f>AI25+AE25+AA25+W25</f>
        <v>28.463354000000002</v>
      </c>
      <c r="N140" s="24"/>
      <c r="O140" s="20"/>
      <c r="P140" s="21"/>
      <c r="Q140" t="s">
        <v>37</v>
      </c>
      <c r="R140">
        <f t="shared" si="96"/>
        <v>2.8570999999999996E-3</v>
      </c>
      <c r="S140">
        <f t="shared" si="97"/>
        <v>2.9299999999999994E-3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2.9299999999999994E-3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2.9088E-3</v>
      </c>
      <c r="G146">
        <f t="shared" si="101"/>
        <v>2.96E-3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2.96E-3</v>
      </c>
      <c r="N146" s="24"/>
      <c r="O146" s="20"/>
      <c r="P146" s="21"/>
      <c r="Q146" t="s">
        <v>37</v>
      </c>
      <c r="R146">
        <f t="shared" si="104"/>
        <v>2.9557000000000003E-3</v>
      </c>
      <c r="S146">
        <f t="shared" si="105"/>
        <v>2.9900000000000005E-3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2.9900000000000005E-3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2.1049999999999997E-3</v>
      </c>
      <c r="G153">
        <f t="shared" si="109"/>
        <v>2.6050000000000001E-3</v>
      </c>
      <c r="H153">
        <f t="shared" si="110"/>
        <v>23.959464000000001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2.5049999999999998E-3</v>
      </c>
      <c r="M153">
        <f>I46+E46</f>
        <v>14.442608</v>
      </c>
      <c r="P153" s="21"/>
      <c r="Q153" t="s">
        <v>37</v>
      </c>
      <c r="R153">
        <f t="shared" si="114"/>
        <v>2.1099999999999999E-3</v>
      </c>
      <c r="S153">
        <f t="shared" si="115"/>
        <v>2.6099999999999999E-3</v>
      </c>
      <c r="U153">
        <f t="shared" si="116"/>
        <v>1.311E-2</v>
      </c>
      <c r="V153">
        <f t="shared" si="117"/>
        <v>1.6389999999999998E-2</v>
      </c>
      <c r="X153">
        <f>0.1*F46+(1-0.1)*B46</f>
        <v>2.5100000000000001E-3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2.1200000000000004E-3</v>
      </c>
      <c r="G159">
        <f t="shared" si="119"/>
        <v>2.6199999999999999E-3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2.5200000000000001E-3</v>
      </c>
      <c r="P159" s="21"/>
      <c r="Q159" t="s">
        <v>37</v>
      </c>
      <c r="R159">
        <f t="shared" si="122"/>
        <v>2.1299999999999999E-3</v>
      </c>
      <c r="S159">
        <f t="shared" si="123"/>
        <v>2.63E-3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2.5299999999999997E-3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2.1099999999999999E-3</v>
      </c>
      <c r="G166">
        <f t="shared" si="127"/>
        <v>2.6099999999999999E-3</v>
      </c>
      <c r="H166">
        <f t="shared" si="128"/>
        <v>36.110455000000002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2.5100000000000005E-3</v>
      </c>
      <c r="M166">
        <f>M46+I46+E46</f>
        <v>21.179057</v>
      </c>
      <c r="O166" s="20"/>
      <c r="P166" s="21"/>
      <c r="Q166" t="s">
        <v>37</v>
      </c>
      <c r="R166">
        <f t="shared" si="132"/>
        <v>2.1200000000000004E-3</v>
      </c>
      <c r="S166">
        <f t="shared" si="133"/>
        <v>2.6200000000000004E-3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2.5200000000000005E-3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2.14E-3</v>
      </c>
      <c r="G172">
        <f t="shared" si="137"/>
        <v>2.64E-3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2.5400000000000002E-3</v>
      </c>
      <c r="O172" s="20"/>
      <c r="P172" s="21"/>
      <c r="Q172" t="s">
        <v>37</v>
      </c>
      <c r="R172">
        <f t="shared" si="140"/>
        <v>2.1600000000000005E-3</v>
      </c>
      <c r="S172">
        <f t="shared" si="141"/>
        <v>2.66E-3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2.5599999999999998E-3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2.1149999999999997E-3</v>
      </c>
      <c r="G179">
        <f t="shared" si="145"/>
        <v>2.6149999999999997E-3</v>
      </c>
      <c r="H179">
        <f t="shared" si="146"/>
        <v>48.530553999999995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2.5149874999999999E-3</v>
      </c>
      <c r="M179">
        <f>Q46+M46+I46+E46</f>
        <v>28.013805000000001</v>
      </c>
      <c r="N179" s="24"/>
      <c r="O179" s="20"/>
      <c r="P179" s="21"/>
      <c r="Q179" t="s">
        <v>37</v>
      </c>
      <c r="R179">
        <f t="shared" si="150"/>
        <v>2.1299999999999999E-3</v>
      </c>
      <c r="S179">
        <f t="shared" si="151"/>
        <v>2.63E-3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2.5298999999999999E-3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2.1599999999999996E-3</v>
      </c>
      <c r="G185">
        <f t="shared" si="155"/>
        <v>2.66E-3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2.5591999999999998E-3</v>
      </c>
      <c r="N185" s="24"/>
      <c r="O185" s="20"/>
      <c r="P185" s="21"/>
      <c r="Q185" t="s">
        <v>37</v>
      </c>
      <c r="R185">
        <f t="shared" si="158"/>
        <v>2.1900000000000001E-3</v>
      </c>
      <c r="S185">
        <f t="shared" si="159"/>
        <v>2.6900000000000001E-3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2.5873000000000003E-3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2.2049999999999999E-3</v>
      </c>
      <c r="H192">
        <f t="shared" si="164"/>
        <v>24.196356999999999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1.7049999999999999E-3</v>
      </c>
      <c r="M192">
        <f>AA46+W46</f>
        <v>13.860033</v>
      </c>
      <c r="P192" s="21"/>
      <c r="Q192" t="s">
        <v>37</v>
      </c>
      <c r="R192">
        <f t="shared" si="168"/>
        <v>1E-3</v>
      </c>
      <c r="S192">
        <f t="shared" si="169"/>
        <v>2.2100000000000002E-3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1.7099999999999999E-3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2.2200000000000002E-3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1.7200000000000002E-3</v>
      </c>
      <c r="P198" s="21"/>
      <c r="Q198" t="s">
        <v>37</v>
      </c>
      <c r="R198">
        <f t="shared" si="176"/>
        <v>1E-3</v>
      </c>
      <c r="S198">
        <f t="shared" si="177"/>
        <v>2.2299999999999998E-3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1.7299999999999998E-3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1.0002500000000001E-3</v>
      </c>
      <c r="G205">
        <f t="shared" si="181"/>
        <v>2.2097500000000003E-3</v>
      </c>
      <c r="H205">
        <f t="shared" si="182"/>
        <v>32.875205999999999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1.7100000000000001E-3</v>
      </c>
      <c r="M205">
        <f>AE46+AA46+W46</f>
        <v>20.826049999999999</v>
      </c>
      <c r="O205" s="20"/>
      <c r="P205" s="21"/>
      <c r="Q205" t="s">
        <v>37</v>
      </c>
      <c r="R205">
        <f t="shared" si="185"/>
        <v>1.0010000000000002E-3</v>
      </c>
      <c r="S205">
        <f t="shared" si="186"/>
        <v>2.2190000000000001E-3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1.72E-3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1.0040000000000001E-3</v>
      </c>
      <c r="G211">
        <f t="shared" si="190"/>
        <v>2.2360000000000001E-3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1.7399999999999998E-3</v>
      </c>
      <c r="O211" s="20"/>
      <c r="P211" s="21"/>
      <c r="Q211" t="s">
        <v>37</v>
      </c>
      <c r="R211">
        <f t="shared" si="193"/>
        <v>1.0090000000000001E-3</v>
      </c>
      <c r="S211">
        <f t="shared" si="194"/>
        <v>2.2510000000000004E-3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1.7599999999999998E-3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1.0007250000000001E-3</v>
      </c>
      <c r="G218">
        <f t="shared" si="198"/>
        <v>2.2142749999999999E-3</v>
      </c>
      <c r="H218">
        <f t="shared" si="199"/>
        <v>44.821674000000002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1.7149874999999998E-3</v>
      </c>
      <c r="M218">
        <f>AI46+AE46+AA46+W46</f>
        <v>28.816734</v>
      </c>
      <c r="N218" s="24"/>
      <c r="O218" s="20"/>
      <c r="P218" s="21"/>
      <c r="Q218" t="s">
        <v>37</v>
      </c>
      <c r="R218">
        <f t="shared" si="203"/>
        <v>1.0028000000000001E-3</v>
      </c>
      <c r="S218">
        <f t="shared" si="204"/>
        <v>2.2271999999999999E-3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1.7298999999999997E-3</v>
      </c>
    </row>
    <row r="219" spans="1:25" x14ac:dyDescent="0.25">
      <c r="A219" s="22"/>
      <c r="C219" s="4"/>
    </row>
    <row r="220" spans="1:25" x14ac:dyDescent="0.25">
      <c r="A220" s="22"/>
      <c r="C220" s="4"/>
      <c r="L220" s="12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1.0103999999999998E-3</v>
      </c>
      <c r="G224">
        <f t="shared" si="208"/>
        <v>2.2496E-3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1.7591999999999998E-3</v>
      </c>
      <c r="N224" s="24"/>
      <c r="O224" s="20"/>
      <c r="P224" s="21"/>
      <c r="Q224" t="s">
        <v>37</v>
      </c>
      <c r="R224">
        <f t="shared" si="211"/>
        <v>1.0216000000000001E-3</v>
      </c>
      <c r="S224">
        <f t="shared" si="212"/>
        <v>2.2684000000000003E-3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1.7872999999999999E-3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1.305E-3</v>
      </c>
      <c r="H231">
        <f t="shared" si="217"/>
        <v>22.259508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7.0366499999999991E-4</v>
      </c>
      <c r="M231">
        <f>I66+E66</f>
        <v>14.489402</v>
      </c>
      <c r="P231" s="21"/>
      <c r="Q231" t="s">
        <v>37</v>
      </c>
      <c r="R231">
        <f t="shared" si="221"/>
        <v>4.0000000000000002E-4</v>
      </c>
      <c r="S231">
        <f t="shared" si="222"/>
        <v>1.31E-3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6.6662999999999998E-4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1.32E-3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5.9256000000000001E-4</v>
      </c>
      <c r="P237" s="21"/>
      <c r="Q237" t="s">
        <v>37</v>
      </c>
      <c r="R237">
        <f t="shared" si="229"/>
        <v>3.9999999999999996E-4</v>
      </c>
      <c r="S237">
        <f t="shared" si="230"/>
        <v>1.3299999999999998E-3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5.1848999999999992E-4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1.3097500000000002E-3</v>
      </c>
      <c r="H244">
        <f t="shared" si="235"/>
        <v>33.211472000000001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6.7050400000000004E-4</v>
      </c>
      <c r="M244">
        <f>M66+I66+E66</f>
        <v>21.349900999999999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1.3190000000000003E-3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6.0805599999999994E-4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1.3359999999999999E-3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5.064039999999999E-4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1.3510000000000002E-3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4.3574400000000006E-4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1.3142749999999997E-3</v>
      </c>
      <c r="H257">
        <f t="shared" si="253"/>
        <v>44.307173000000006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6.4092926249999997E-4</v>
      </c>
      <c r="M257">
        <f>Q66+M66+I66+E66</f>
        <v>28.143919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1.3271999999999997E-3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5.6267609999999984E-4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1.3495999999999998E-3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4.6381679999999987E-4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1.3683999999999999E-3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4.3031070000000007E-4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4" width="10.6640625"/>
    <col min="15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64</v>
      </c>
      <c r="C9" s="16"/>
      <c r="D9" s="16"/>
      <c r="E9" s="16"/>
      <c r="F9" s="16" t="s">
        <v>65</v>
      </c>
      <c r="G9" s="16"/>
      <c r="H9" s="16"/>
      <c r="I9" s="16"/>
      <c r="J9" s="16" t="s">
        <v>66</v>
      </c>
      <c r="K9" s="16"/>
      <c r="L9" s="16"/>
      <c r="M9" s="16"/>
      <c r="N9" s="16" t="s">
        <v>67</v>
      </c>
      <c r="O9" s="16"/>
      <c r="P9" s="16"/>
      <c r="Q9" s="16"/>
      <c r="S9" s="22" t="s">
        <v>12</v>
      </c>
      <c r="T9" s="16" t="s">
        <v>64</v>
      </c>
      <c r="U9" s="16"/>
      <c r="V9" s="16"/>
      <c r="W9" s="16"/>
      <c r="X9" s="16" t="s">
        <v>65</v>
      </c>
      <c r="Y9" s="16"/>
      <c r="Z9" s="16"/>
      <c r="AA9" s="16"/>
      <c r="AB9" s="16" t="s">
        <v>66</v>
      </c>
      <c r="AC9" s="16"/>
      <c r="AD9" s="16"/>
      <c r="AE9" s="16"/>
      <c r="AF9" s="16" t="s">
        <v>67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2.8999999999999998E-3</v>
      </c>
      <c r="D13" s="10">
        <v>2.8999999999999998E-3</v>
      </c>
      <c r="E13" s="10">
        <v>2.3123999999999998</v>
      </c>
      <c r="F13" t="s">
        <v>22</v>
      </c>
      <c r="G13" s="10">
        <v>3.0000000000000001E-3</v>
      </c>
      <c r="H13" s="10">
        <v>3.0000000000000001E-3</v>
      </c>
      <c r="I13" s="10">
        <v>2.9064480000000001</v>
      </c>
      <c r="J13" t="s">
        <v>22</v>
      </c>
      <c r="K13" s="10">
        <v>3.0999999999999999E-3</v>
      </c>
      <c r="L13" s="10">
        <v>3.2000000000000002E-3</v>
      </c>
      <c r="M13" s="10">
        <v>1.828803</v>
      </c>
      <c r="N13" t="s">
        <v>22</v>
      </c>
      <c r="O13" s="10">
        <v>3.3E-3</v>
      </c>
      <c r="P13" s="10">
        <v>3.3E-3</v>
      </c>
      <c r="Q13" s="10">
        <v>2.4230040000000002</v>
      </c>
      <c r="S13" s="22"/>
      <c r="T13" t="s">
        <v>22</v>
      </c>
      <c r="U13">
        <v>2.8E-3</v>
      </c>
      <c r="V13">
        <v>2.8E-3</v>
      </c>
      <c r="W13">
        <v>8.3380259999999993</v>
      </c>
      <c r="X13" t="s">
        <v>22</v>
      </c>
      <c r="Y13">
        <v>2.8999999999999998E-3</v>
      </c>
      <c r="Z13">
        <v>2.8999999999999998E-3</v>
      </c>
      <c r="AA13">
        <v>10.209028</v>
      </c>
      <c r="AB13" t="s">
        <v>22</v>
      </c>
      <c r="AC13">
        <v>3.0000000000000001E-3</v>
      </c>
      <c r="AD13">
        <v>3.0000000000000001E-3</v>
      </c>
      <c r="AE13">
        <v>9.9631620000000005</v>
      </c>
      <c r="AF13" t="s">
        <v>22</v>
      </c>
      <c r="AG13">
        <v>3.0999999999999999E-3</v>
      </c>
      <c r="AH13">
        <v>3.0999999999999999E-3</v>
      </c>
      <c r="AI13">
        <v>8.7221170000000008</v>
      </c>
    </row>
    <row r="16" spans="1:35" x14ac:dyDescent="0.25">
      <c r="A16" s="18" t="s">
        <v>23</v>
      </c>
      <c r="B16" s="16" t="s">
        <v>64</v>
      </c>
      <c r="C16" s="16"/>
      <c r="D16" s="16"/>
      <c r="E16" s="16"/>
      <c r="F16" s="16" t="s">
        <v>65</v>
      </c>
      <c r="G16" s="16"/>
      <c r="H16" s="16"/>
      <c r="I16" s="16"/>
      <c r="J16" s="16" t="s">
        <v>66</v>
      </c>
      <c r="K16" s="16"/>
      <c r="L16" s="16"/>
      <c r="M16" s="16"/>
      <c r="N16" s="16" t="s">
        <v>67</v>
      </c>
      <c r="O16" s="16"/>
      <c r="P16" s="16"/>
      <c r="Q16" s="16"/>
      <c r="S16" s="18" t="s">
        <v>23</v>
      </c>
      <c r="T16" s="16" t="s">
        <v>64</v>
      </c>
      <c r="U16" s="16"/>
      <c r="V16" s="16"/>
      <c r="W16" s="16"/>
      <c r="X16" s="16" t="s">
        <v>65</v>
      </c>
      <c r="Y16" s="16"/>
      <c r="Z16" s="16"/>
      <c r="AA16" s="16"/>
      <c r="AB16" s="16" t="s">
        <v>66</v>
      </c>
      <c r="AC16" s="16"/>
      <c r="AD16" s="16"/>
      <c r="AE16" s="16"/>
      <c r="AF16" s="16" t="s">
        <v>67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64</v>
      </c>
      <c r="C23" s="16"/>
      <c r="D23" s="16"/>
      <c r="E23" s="16"/>
      <c r="F23" s="16" t="s">
        <v>65</v>
      </c>
      <c r="G23" s="16"/>
      <c r="H23" s="16"/>
      <c r="I23" s="16"/>
      <c r="J23" s="16" t="s">
        <v>66</v>
      </c>
      <c r="K23" s="16"/>
      <c r="L23" s="16"/>
      <c r="M23" s="16"/>
      <c r="N23" s="16" t="s">
        <v>67</v>
      </c>
      <c r="O23" s="16"/>
      <c r="P23" s="16"/>
      <c r="Q23" s="16"/>
      <c r="S23" s="23" t="s">
        <v>24</v>
      </c>
      <c r="T23" s="16" t="s">
        <v>64</v>
      </c>
      <c r="U23" s="16"/>
      <c r="V23" s="16"/>
      <c r="W23" s="16"/>
      <c r="X23" s="16" t="s">
        <v>65</v>
      </c>
      <c r="Y23" s="16"/>
      <c r="Z23" s="16"/>
      <c r="AA23" s="16"/>
      <c r="AB23" s="16" t="s">
        <v>66</v>
      </c>
      <c r="AC23" s="16"/>
      <c r="AD23" s="16"/>
      <c r="AE23" s="16"/>
      <c r="AF23" s="16" t="s">
        <v>67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2.8999999999999998E-3</v>
      </c>
      <c r="C25" s="6"/>
      <c r="D25" s="6"/>
      <c r="E25">
        <v>7.2238020000000001</v>
      </c>
      <c r="F25">
        <v>3.0000000000000001E-3</v>
      </c>
      <c r="G25" s="6"/>
      <c r="H25" s="6"/>
      <c r="I25">
        <v>8.2475749999999994</v>
      </c>
      <c r="J25">
        <v>3.0999999999999999E-3</v>
      </c>
      <c r="K25" s="6"/>
      <c r="L25" s="6"/>
      <c r="M25" s="8">
        <v>7.7888640000000002</v>
      </c>
      <c r="N25" s="6">
        <v>3.2000000000000002E-3</v>
      </c>
      <c r="O25" s="6"/>
      <c r="P25" s="6"/>
      <c r="Q25">
        <v>7.6843659999999998</v>
      </c>
      <c r="S25" s="23"/>
      <c r="T25" s="13">
        <v>2.8E-3</v>
      </c>
      <c r="U25" s="6"/>
      <c r="V25" s="6"/>
      <c r="W25">
        <v>6.0457320000000001</v>
      </c>
      <c r="X25" s="6">
        <v>2.8999999999999998E-3</v>
      </c>
      <c r="Y25" s="6"/>
      <c r="Z25" s="6"/>
      <c r="AA25">
        <v>6.559577</v>
      </c>
      <c r="AB25" s="6">
        <v>3.0000000000000001E-3</v>
      </c>
      <c r="AC25" s="6"/>
      <c r="AD25" s="6"/>
      <c r="AE25">
        <v>7.4480250000000003</v>
      </c>
      <c r="AF25" s="13">
        <v>3.0999999999999999E-3</v>
      </c>
      <c r="AG25" s="6"/>
      <c r="AH25" s="6"/>
      <c r="AI25">
        <v>6.7999169999999998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64</v>
      </c>
      <c r="C30" s="16"/>
      <c r="D30" s="16"/>
      <c r="E30" s="16"/>
      <c r="F30" s="16" t="s">
        <v>65</v>
      </c>
      <c r="G30" s="16"/>
      <c r="H30" s="16"/>
      <c r="I30" s="16"/>
      <c r="J30" s="16" t="s">
        <v>66</v>
      </c>
      <c r="K30" s="16"/>
      <c r="L30" s="16"/>
      <c r="M30" s="16"/>
      <c r="N30" s="16" t="s">
        <v>67</v>
      </c>
      <c r="O30" s="16"/>
      <c r="P30" s="16"/>
      <c r="Q30" s="16"/>
      <c r="S30" s="22" t="s">
        <v>12</v>
      </c>
      <c r="T30" s="16" t="s">
        <v>64</v>
      </c>
      <c r="U30" s="16"/>
      <c r="V30" s="16"/>
      <c r="W30" s="16"/>
      <c r="X30" s="16" t="s">
        <v>65</v>
      </c>
      <c r="Y30" s="16"/>
      <c r="Z30" s="16"/>
      <c r="AA30" s="16"/>
      <c r="AB30" s="16" t="s">
        <v>66</v>
      </c>
      <c r="AC30" s="16"/>
      <c r="AD30" s="16"/>
      <c r="AE30" s="16"/>
      <c r="AF30" s="16" t="s">
        <v>67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2.0999999999999999E-3</v>
      </c>
      <c r="D34">
        <v>2.5000000000000001E-3</v>
      </c>
      <c r="E34">
        <v>8.6124310000000008</v>
      </c>
      <c r="F34" t="s">
        <v>22</v>
      </c>
      <c r="G34">
        <v>2.2000000000000001E-3</v>
      </c>
      <c r="H34">
        <v>2.5999999999999999E-3</v>
      </c>
      <c r="I34">
        <v>8.4328160000000008</v>
      </c>
      <c r="J34" t="s">
        <v>22</v>
      </c>
      <c r="K34" s="8">
        <v>2.3E-3</v>
      </c>
      <c r="L34" s="10">
        <v>2.7000000000000001E-3</v>
      </c>
      <c r="M34">
        <v>8.4763289999999998</v>
      </c>
      <c r="N34" t="s">
        <v>22</v>
      </c>
      <c r="O34">
        <v>2.3999999999999998E-3</v>
      </c>
      <c r="P34">
        <v>2.8E-3</v>
      </c>
      <c r="Q34">
        <v>8.7784990000000001</v>
      </c>
      <c r="S34" s="22"/>
      <c r="T34" t="s">
        <v>22</v>
      </c>
      <c r="U34">
        <v>1E-3</v>
      </c>
      <c r="V34">
        <v>2.0999999999999999E-3</v>
      </c>
      <c r="W34">
        <v>7.964194</v>
      </c>
      <c r="X34" t="s">
        <v>22</v>
      </c>
      <c r="Y34">
        <v>1E-3</v>
      </c>
      <c r="Z34">
        <v>2.2000000000000001E-3</v>
      </c>
      <c r="AA34">
        <v>9.4572090000000006</v>
      </c>
      <c r="AB34" t="s">
        <v>22</v>
      </c>
      <c r="AC34">
        <v>1.1000000000000001E-3</v>
      </c>
      <c r="AD34">
        <v>2.3E-3</v>
      </c>
      <c r="AE34">
        <v>8.6788489999999996</v>
      </c>
      <c r="AF34" t="s">
        <v>22</v>
      </c>
      <c r="AG34">
        <v>1.1000000000000001E-3</v>
      </c>
      <c r="AH34" s="10">
        <v>2.3999999999999998E-3</v>
      </c>
      <c r="AI34">
        <v>8.1761219999999994</v>
      </c>
    </row>
    <row r="37" spans="1:35" x14ac:dyDescent="0.25">
      <c r="A37" s="18" t="s">
        <v>23</v>
      </c>
      <c r="B37" s="16" t="s">
        <v>64</v>
      </c>
      <c r="C37" s="16"/>
      <c r="D37" s="16"/>
      <c r="E37" s="16"/>
      <c r="F37" s="16" t="s">
        <v>65</v>
      </c>
      <c r="G37" s="16"/>
      <c r="H37" s="16"/>
      <c r="I37" s="16"/>
      <c r="J37" s="16" t="s">
        <v>66</v>
      </c>
      <c r="K37" s="16"/>
      <c r="L37" s="16"/>
      <c r="M37" s="16"/>
      <c r="N37" s="16" t="s">
        <v>67</v>
      </c>
      <c r="O37" s="16"/>
      <c r="P37" s="16"/>
      <c r="Q37" s="16"/>
      <c r="S37" s="18" t="s">
        <v>23</v>
      </c>
      <c r="T37" s="16" t="s">
        <v>64</v>
      </c>
      <c r="U37" s="16"/>
      <c r="V37" s="16"/>
      <c r="W37" s="16"/>
      <c r="X37" s="16" t="s">
        <v>65</v>
      </c>
      <c r="Y37" s="16"/>
      <c r="Z37" s="16"/>
      <c r="AA37" s="16"/>
      <c r="AB37" s="16" t="s">
        <v>66</v>
      </c>
      <c r="AC37" s="16"/>
      <c r="AD37" s="16"/>
      <c r="AE37" s="16"/>
      <c r="AF37" s="16" t="s">
        <v>67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64</v>
      </c>
      <c r="C44" s="16"/>
      <c r="D44" s="16"/>
      <c r="E44" s="16"/>
      <c r="F44" s="16" t="s">
        <v>65</v>
      </c>
      <c r="G44" s="16"/>
      <c r="H44" s="16"/>
      <c r="I44" s="16"/>
      <c r="J44" s="16" t="s">
        <v>66</v>
      </c>
      <c r="K44" s="16"/>
      <c r="L44" s="16"/>
      <c r="M44" s="16"/>
      <c r="N44" s="16" t="s">
        <v>67</v>
      </c>
      <c r="O44" s="16"/>
      <c r="P44" s="16"/>
      <c r="Q44" s="16"/>
      <c r="S44" s="23" t="s">
        <v>24</v>
      </c>
      <c r="T44" s="16" t="s">
        <v>64</v>
      </c>
      <c r="U44" s="16"/>
      <c r="V44" s="16"/>
      <c r="W44" s="16"/>
      <c r="X44" s="16" t="s">
        <v>65</v>
      </c>
      <c r="Y44" s="16"/>
      <c r="Z44" s="16"/>
      <c r="AA44" s="16"/>
      <c r="AB44" s="16" t="s">
        <v>66</v>
      </c>
      <c r="AC44" s="16"/>
      <c r="AD44" s="16"/>
      <c r="AE44" s="16"/>
      <c r="AF44" s="16" t="s">
        <v>67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2.3999999999999998E-3</v>
      </c>
      <c r="C46" s="6"/>
      <c r="D46" s="6"/>
      <c r="E46">
        <v>6.5624010000000004</v>
      </c>
      <c r="F46" s="6">
        <v>2.5999999999999999E-3</v>
      </c>
      <c r="G46" s="6"/>
      <c r="H46" s="6"/>
      <c r="I46">
        <v>7.1957570000000004</v>
      </c>
      <c r="J46">
        <v>2.5999999999999999E-3</v>
      </c>
      <c r="K46" s="6"/>
      <c r="L46" s="6"/>
      <c r="M46">
        <v>6.6166869999999998</v>
      </c>
      <c r="N46" s="6">
        <v>2.7000000000000001E-3</v>
      </c>
      <c r="O46" s="6"/>
      <c r="P46" s="6"/>
      <c r="Q46">
        <v>7.5305039999999996</v>
      </c>
      <c r="S46" s="23"/>
      <c r="T46" s="6">
        <v>1.6999999999999999E-3</v>
      </c>
      <c r="U46" s="6"/>
      <c r="V46" s="6"/>
      <c r="W46">
        <v>6.2574100000000001</v>
      </c>
      <c r="X46" s="6">
        <v>1.8E-3</v>
      </c>
      <c r="Y46" s="6"/>
      <c r="Z46" s="6"/>
      <c r="AA46">
        <v>6.223795</v>
      </c>
      <c r="AB46" s="6">
        <v>1.9E-3</v>
      </c>
      <c r="AC46" s="6"/>
      <c r="AD46" s="6"/>
      <c r="AE46">
        <v>6.9660169999999999</v>
      </c>
      <c r="AF46" s="6">
        <v>1.9E-3</v>
      </c>
      <c r="AG46" s="6"/>
      <c r="AH46" s="6"/>
      <c r="AI46">
        <v>6.2631410000000001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64</v>
      </c>
      <c r="C50" s="16"/>
      <c r="D50" s="16"/>
      <c r="E50" s="16"/>
      <c r="F50" s="16" t="s">
        <v>65</v>
      </c>
      <c r="G50" s="16"/>
      <c r="H50" s="16"/>
      <c r="I50" s="16"/>
      <c r="J50" s="16" t="s">
        <v>66</v>
      </c>
      <c r="K50" s="16"/>
      <c r="L50" s="16"/>
      <c r="M50" s="16"/>
      <c r="N50" s="16" t="s">
        <v>67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1.2999999999999999E-3</v>
      </c>
      <c r="E54">
        <v>7.4441519999999999</v>
      </c>
      <c r="F54" t="s">
        <v>22</v>
      </c>
      <c r="G54">
        <v>4.0000000000000002E-4</v>
      </c>
      <c r="H54">
        <v>1.2999999999999999E-3</v>
      </c>
      <c r="I54">
        <v>7.6138560000000002</v>
      </c>
      <c r="J54" t="s">
        <v>22</v>
      </c>
      <c r="K54">
        <v>4.0000000000000002E-4</v>
      </c>
      <c r="L54">
        <v>1.4E-3</v>
      </c>
      <c r="M54">
        <v>7.431038</v>
      </c>
      <c r="N54" t="s">
        <v>22</v>
      </c>
      <c r="O54">
        <v>4.0000000000000002E-4</v>
      </c>
      <c r="P54">
        <v>1.5E-3</v>
      </c>
      <c r="Q54">
        <v>7.5601770000000004</v>
      </c>
    </row>
    <row r="57" spans="1:17" x14ac:dyDescent="0.25">
      <c r="A57" s="18" t="s">
        <v>23</v>
      </c>
      <c r="B57" s="16" t="s">
        <v>64</v>
      </c>
      <c r="C57" s="16"/>
      <c r="D57" s="16"/>
      <c r="E57" s="16"/>
      <c r="F57" s="16" t="s">
        <v>65</v>
      </c>
      <c r="G57" s="16"/>
      <c r="H57" s="16"/>
      <c r="I57" s="16"/>
      <c r="J57" s="16" t="s">
        <v>66</v>
      </c>
      <c r="K57" s="16"/>
      <c r="L57" s="16"/>
      <c r="M57" s="16"/>
      <c r="N57" s="16" t="s">
        <v>67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64</v>
      </c>
      <c r="C64" s="16"/>
      <c r="D64" s="16"/>
      <c r="E64" s="16"/>
      <c r="F64" s="16" t="s">
        <v>65</v>
      </c>
      <c r="G64" s="16"/>
      <c r="H64" s="16"/>
      <c r="I64" s="16"/>
      <c r="J64" s="16" t="s">
        <v>66</v>
      </c>
      <c r="K64" s="16"/>
      <c r="L64" s="16"/>
      <c r="M64" s="16"/>
      <c r="N64" s="16" t="s">
        <v>67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7.2460000000000005E-4</v>
      </c>
      <c r="C66" s="6"/>
      <c r="D66" s="6"/>
      <c r="E66">
        <v>6.9260900000000003</v>
      </c>
      <c r="F66" s="3">
        <v>7.5670000000000002E-4</v>
      </c>
      <c r="G66" s="6"/>
      <c r="H66" s="6"/>
      <c r="I66">
        <v>7.476909</v>
      </c>
      <c r="J66" s="3">
        <v>8.074E-4</v>
      </c>
      <c r="K66" s="6"/>
      <c r="L66" s="6"/>
      <c r="M66">
        <v>7.3849619999999998</v>
      </c>
      <c r="N66" s="14">
        <v>8.3609999999999999E-4</v>
      </c>
      <c r="O66" s="6"/>
      <c r="P66" s="6"/>
      <c r="Q66">
        <v>7.4875369999999997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2.9049999999999996E-3</v>
      </c>
      <c r="G75">
        <f t="shared" si="1"/>
        <v>2.9049999999999996E-3</v>
      </c>
      <c r="H75">
        <f t="shared" si="2"/>
        <v>5.2188479999999995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2.9049999999999996E-3</v>
      </c>
      <c r="M75">
        <f>I25+E25</f>
        <v>15.471377</v>
      </c>
      <c r="P75" s="21"/>
      <c r="Q75" t="s">
        <v>37</v>
      </c>
      <c r="R75">
        <f t="shared" si="6"/>
        <v>2.9099999999999998E-3</v>
      </c>
      <c r="S75">
        <f t="shared" si="7"/>
        <v>2.9099999999999998E-3</v>
      </c>
      <c r="U75">
        <f t="shared" si="8"/>
        <v>1.9819999999999997E-2</v>
      </c>
      <c r="V75">
        <f t="shared" si="9"/>
        <v>1.9910000000000004E-2</v>
      </c>
      <c r="X75">
        <f>0.1*F25+(1-0.1)*B25</f>
        <v>2.9099999999999998E-3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2.9199999999999999E-3</v>
      </c>
      <c r="G81">
        <f t="shared" si="11"/>
        <v>2.9199999999999999E-3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2.9199999999999999E-3</v>
      </c>
      <c r="P81" s="21"/>
      <c r="Q81" t="s">
        <v>37</v>
      </c>
      <c r="R81">
        <f t="shared" si="14"/>
        <v>2.9299999999999994E-3</v>
      </c>
      <c r="S81">
        <f t="shared" si="15"/>
        <v>2.9299999999999994E-3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2.9299999999999994E-3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2.9100000000000003E-3</v>
      </c>
      <c r="G88">
        <f t="shared" si="19"/>
        <v>2.9102500000000001E-3</v>
      </c>
      <c r="H88">
        <f t="shared" si="20"/>
        <v>7.0476510000000001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2.9100000000000003E-3</v>
      </c>
      <c r="M88">
        <f>M25+I25+E25</f>
        <v>23.260241000000001</v>
      </c>
      <c r="O88" s="20"/>
      <c r="P88" s="21"/>
      <c r="Q88" t="s">
        <v>37</v>
      </c>
      <c r="R88">
        <f t="shared" si="24"/>
        <v>2.9199999999999999E-3</v>
      </c>
      <c r="S88">
        <f t="shared" si="25"/>
        <v>2.921E-3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2.9199999999999999E-3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2.9399999999999999E-3</v>
      </c>
      <c r="G94">
        <f t="shared" si="29"/>
        <v>2.9439999999999996E-3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2.9399999999999999E-3</v>
      </c>
      <c r="O94" s="20"/>
      <c r="P94" s="21"/>
      <c r="Q94" t="s">
        <v>37</v>
      </c>
      <c r="R94">
        <f t="shared" si="32"/>
        <v>2.96E-3</v>
      </c>
      <c r="S94">
        <f t="shared" si="33"/>
        <v>2.9690000000000003E-3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2.96E-3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2.9150124999999995E-3</v>
      </c>
      <c r="G101">
        <f t="shared" si="37"/>
        <v>2.9157249999999992E-3</v>
      </c>
      <c r="H101">
        <f t="shared" si="38"/>
        <v>9.4706550000000007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2.9149999999999992E-3</v>
      </c>
      <c r="M101">
        <f>Q25+M25+I25+E25</f>
        <v>30.944606999999998</v>
      </c>
      <c r="N101" s="24"/>
      <c r="O101" s="20"/>
      <c r="P101" s="21"/>
      <c r="Q101" t="s">
        <v>37</v>
      </c>
      <c r="R101">
        <f t="shared" si="42"/>
        <v>2.9300999999999997E-3</v>
      </c>
      <c r="S101">
        <f t="shared" si="43"/>
        <v>2.9327999999999997E-3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2.9299999999999994E-3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2.9607999999999995E-3</v>
      </c>
      <c r="G107">
        <f t="shared" si="47"/>
        <v>2.9703999999999998E-3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2.96E-3</v>
      </c>
      <c r="N107" s="24"/>
      <c r="O107" s="20"/>
      <c r="P107" s="21"/>
      <c r="Q107" t="s">
        <v>37</v>
      </c>
      <c r="R107">
        <f t="shared" si="50"/>
        <v>2.9927E-3</v>
      </c>
      <c r="S107">
        <f t="shared" si="51"/>
        <v>3.0116000000000006E-3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2.9900000000000005E-3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2.8050000000000002E-3</v>
      </c>
      <c r="G114">
        <f t="shared" si="55"/>
        <v>2.8050000000000002E-3</v>
      </c>
      <c r="H114">
        <f t="shared" si="56"/>
        <v>18.547053999999999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2.8050000000000002E-3</v>
      </c>
      <c r="M114">
        <f>AA25+W25</f>
        <v>12.605309</v>
      </c>
      <c r="P114" s="21"/>
      <c r="Q114" t="s">
        <v>37</v>
      </c>
      <c r="R114">
        <f t="shared" si="60"/>
        <v>2.81E-3</v>
      </c>
      <c r="S114">
        <f t="shared" si="61"/>
        <v>2.81E-3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2.81E-3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2.8200000000000005E-3</v>
      </c>
      <c r="G120">
        <f t="shared" si="65"/>
        <v>2.8200000000000005E-3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2.8200000000000005E-3</v>
      </c>
      <c r="P120" s="21"/>
      <c r="Q120" t="s">
        <v>37</v>
      </c>
      <c r="R120">
        <f t="shared" si="68"/>
        <v>2.8300000000000001E-3</v>
      </c>
      <c r="S120">
        <f t="shared" si="69"/>
        <v>2.8300000000000001E-3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2.8300000000000001E-3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2.81E-3</v>
      </c>
      <c r="G127">
        <f t="shared" si="73"/>
        <v>2.81E-3</v>
      </c>
      <c r="H127">
        <f t="shared" si="74"/>
        <v>28.510216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2.81E-3</v>
      </c>
      <c r="M127">
        <f>AE25+AA25+W25</f>
        <v>20.053334</v>
      </c>
      <c r="O127" s="20"/>
      <c r="P127" s="21"/>
      <c r="Q127" t="s">
        <v>37</v>
      </c>
      <c r="R127">
        <f t="shared" si="78"/>
        <v>2.82E-3</v>
      </c>
      <c r="S127">
        <f t="shared" si="79"/>
        <v>2.82E-3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2.82E-3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2.8399999999999996E-3</v>
      </c>
      <c r="G133">
        <f t="shared" si="83"/>
        <v>2.8399999999999996E-3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2.8399999999999996E-3</v>
      </c>
      <c r="O133" s="20"/>
      <c r="P133" s="21"/>
      <c r="Q133" t="s">
        <v>37</v>
      </c>
      <c r="R133">
        <f t="shared" si="86"/>
        <v>2.8600000000000001E-3</v>
      </c>
      <c r="S133">
        <f t="shared" si="87"/>
        <v>2.8600000000000001E-3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2.8600000000000001E-3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2.8149999999999998E-3</v>
      </c>
      <c r="G140">
        <f t="shared" si="91"/>
        <v>2.8149999999999998E-3</v>
      </c>
      <c r="H140">
        <f t="shared" si="92"/>
        <v>37.232332999999997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2.8149999999999998E-3</v>
      </c>
      <c r="M140">
        <f>AI25+AE25+AA25+W25</f>
        <v>26.853251</v>
      </c>
      <c r="N140" s="24"/>
      <c r="O140" s="20"/>
      <c r="P140" s="21"/>
      <c r="Q140" t="s">
        <v>37</v>
      </c>
      <c r="R140">
        <f t="shared" si="96"/>
        <v>2.8299999999999996E-3</v>
      </c>
      <c r="S140">
        <f t="shared" si="97"/>
        <v>2.8299999999999996E-3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2.8299999999999996E-3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2.8599999999999997E-3</v>
      </c>
      <c r="G146">
        <f t="shared" si="101"/>
        <v>2.8599999999999997E-3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2.8599999999999997E-3</v>
      </c>
      <c r="N146" s="24"/>
      <c r="O146" s="20"/>
      <c r="P146" s="21"/>
      <c r="Q146" t="s">
        <v>37</v>
      </c>
      <c r="R146">
        <f t="shared" si="104"/>
        <v>2.8900000000000002E-3</v>
      </c>
      <c r="S146">
        <f t="shared" si="105"/>
        <v>2.8900000000000002E-3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2.8900000000000002E-3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2.1049999999999997E-3</v>
      </c>
      <c r="G153">
        <f t="shared" si="109"/>
        <v>2.5049999999999998E-3</v>
      </c>
      <c r="H153">
        <f t="shared" si="110"/>
        <v>17.045247000000003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2.4099999999999998E-3</v>
      </c>
      <c r="M153">
        <f>I46+E46</f>
        <v>13.758158000000002</v>
      </c>
      <c r="P153" s="21"/>
      <c r="Q153" t="s">
        <v>37</v>
      </c>
      <c r="R153">
        <f t="shared" si="114"/>
        <v>2.1099999999999999E-3</v>
      </c>
      <c r="S153">
        <f t="shared" si="115"/>
        <v>2.5100000000000001E-3</v>
      </c>
      <c r="U153">
        <f t="shared" si="116"/>
        <v>1.311E-2</v>
      </c>
      <c r="V153">
        <f t="shared" si="117"/>
        <v>1.6389999999999998E-2</v>
      </c>
      <c r="X153">
        <f>0.1*F46+(1-0.1)*B46</f>
        <v>2.4199999999999998E-3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2.1200000000000004E-3</v>
      </c>
      <c r="G159">
        <f t="shared" si="119"/>
        <v>2.5200000000000001E-3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2.4399999999999999E-3</v>
      </c>
      <c r="P159" s="21"/>
      <c r="Q159" t="s">
        <v>37</v>
      </c>
      <c r="R159">
        <f t="shared" si="122"/>
        <v>2.1299999999999999E-3</v>
      </c>
      <c r="S159">
        <f t="shared" si="123"/>
        <v>2.5299999999999997E-3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2.4599999999999999E-3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2.1099999999999999E-3</v>
      </c>
      <c r="G166">
        <f t="shared" si="127"/>
        <v>2.5100000000000005E-3</v>
      </c>
      <c r="H166">
        <f t="shared" si="128"/>
        <v>25.521576000000003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2.4194999999999998E-3</v>
      </c>
      <c r="M166">
        <f>M46+I46+E46</f>
        <v>20.374845000000001</v>
      </c>
      <c r="O166" s="20"/>
      <c r="P166" s="21"/>
      <c r="Q166" t="s">
        <v>37</v>
      </c>
      <c r="R166">
        <f t="shared" si="132"/>
        <v>2.1200000000000004E-3</v>
      </c>
      <c r="S166">
        <f t="shared" si="133"/>
        <v>2.5200000000000005E-3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2.4380000000000001E-3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2.14E-3</v>
      </c>
      <c r="G172">
        <f t="shared" si="137"/>
        <v>2.5400000000000002E-3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2.4719999999999998E-3</v>
      </c>
      <c r="O172" s="20"/>
      <c r="P172" s="21"/>
      <c r="Q172" t="s">
        <v>37</v>
      </c>
      <c r="R172">
        <f t="shared" si="140"/>
        <v>2.1600000000000005E-3</v>
      </c>
      <c r="S172">
        <f t="shared" si="141"/>
        <v>2.5599999999999998E-3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2.5019999999999999E-3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2.1149999999999997E-3</v>
      </c>
      <c r="G179">
        <f t="shared" si="145"/>
        <v>2.5149999999999999E-3</v>
      </c>
      <c r="H179">
        <f t="shared" si="146"/>
        <v>34.300075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2.4285374999999994E-3</v>
      </c>
      <c r="M179">
        <f>Q46+M46+I46+E46</f>
        <v>27.905349000000001</v>
      </c>
      <c r="N179" s="24"/>
      <c r="O179" s="20"/>
      <c r="P179" s="21"/>
      <c r="Q179" t="s">
        <v>37</v>
      </c>
      <c r="R179">
        <f t="shared" si="150"/>
        <v>2.1299999999999999E-3</v>
      </c>
      <c r="S179">
        <f t="shared" si="151"/>
        <v>2.5299999999999997E-3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2.4542999999999995E-3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2.1599999999999996E-3</v>
      </c>
      <c r="G185">
        <f t="shared" si="155"/>
        <v>2.5599999999999998E-3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2.4983999999999996E-3</v>
      </c>
      <c r="N185" s="24"/>
      <c r="O185" s="20"/>
      <c r="P185" s="21"/>
      <c r="Q185" t="s">
        <v>37</v>
      </c>
      <c r="R185">
        <f t="shared" si="158"/>
        <v>2.1900000000000001E-3</v>
      </c>
      <c r="S185">
        <f t="shared" si="159"/>
        <v>2.5900000000000003E-3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2.5341000000000001E-3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2.1049999999999997E-3</v>
      </c>
      <c r="H192">
        <f t="shared" si="164"/>
        <v>17.421403000000002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1.7049999999999999E-3</v>
      </c>
      <c r="M192">
        <f>AA46+W46</f>
        <v>12.481204999999999</v>
      </c>
      <c r="P192" s="21"/>
      <c r="Q192" t="s">
        <v>37</v>
      </c>
      <c r="R192">
        <f t="shared" si="168"/>
        <v>1E-3</v>
      </c>
      <c r="S192">
        <f t="shared" si="169"/>
        <v>2.1099999999999999E-3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1.7099999999999999E-3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2.1200000000000004E-3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1.7200000000000002E-3</v>
      </c>
      <c r="P198" s="21"/>
      <c r="Q198" t="s">
        <v>37</v>
      </c>
      <c r="R198">
        <f t="shared" si="176"/>
        <v>1E-3</v>
      </c>
      <c r="S198">
        <f t="shared" si="177"/>
        <v>2.1299999999999999E-3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1.7299999999999998E-3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1.0002500000000001E-3</v>
      </c>
      <c r="G205">
        <f t="shared" si="181"/>
        <v>2.1099999999999999E-3</v>
      </c>
      <c r="H205">
        <f t="shared" si="182"/>
        <v>26.100251999999998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1.7100000000000001E-3</v>
      </c>
      <c r="M205">
        <f>AE46+AA46+W46</f>
        <v>19.447222</v>
      </c>
      <c r="O205" s="20"/>
      <c r="P205" s="21"/>
      <c r="Q205" t="s">
        <v>37</v>
      </c>
      <c r="R205">
        <f t="shared" si="186"/>
        <v>1.0010000000000002E-3</v>
      </c>
      <c r="S205">
        <f t="shared" si="187"/>
        <v>2.1200000000000004E-3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1.72E-3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1.0040000000000001E-3</v>
      </c>
      <c r="G211">
        <f t="shared" si="191"/>
        <v>2.14E-3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1.7399999999999998E-3</v>
      </c>
      <c r="O211" s="20"/>
      <c r="P211" s="21"/>
      <c r="Q211" t="s">
        <v>37</v>
      </c>
      <c r="R211">
        <f t="shared" si="194"/>
        <v>1.0090000000000001E-3</v>
      </c>
      <c r="S211">
        <f t="shared" si="195"/>
        <v>2.1600000000000005E-3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1.7599999999999998E-3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1.0007250000000001E-3</v>
      </c>
      <c r="G218">
        <f t="shared" si="199"/>
        <v>2.1149999999999997E-3</v>
      </c>
      <c r="H218">
        <f t="shared" si="200"/>
        <v>34.276373999999997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1.7149874999999998E-3</v>
      </c>
      <c r="M218">
        <f>AI46+AE46+AA46+W46</f>
        <v>25.710363000000001</v>
      </c>
      <c r="N218" s="24"/>
      <c r="O218" s="20"/>
      <c r="P218" s="21"/>
      <c r="Q218" t="s">
        <v>37</v>
      </c>
      <c r="R218">
        <f t="shared" si="204"/>
        <v>1.0028000000000001E-3</v>
      </c>
      <c r="S218">
        <f t="shared" si="205"/>
        <v>2.1299999999999999E-3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1.7298999999999997E-3</v>
      </c>
    </row>
    <row r="219" spans="1:25" x14ac:dyDescent="0.25">
      <c r="A219" s="22"/>
      <c r="C219" s="4"/>
    </row>
    <row r="220" spans="1:25" x14ac:dyDescent="0.25">
      <c r="A220" s="22"/>
      <c r="C220" s="4"/>
      <c r="L220" s="12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1.0103999999999998E-3</v>
      </c>
      <c r="G224">
        <f t="shared" si="209"/>
        <v>2.1599999999999996E-3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1.7591999999999998E-3</v>
      </c>
      <c r="N224" s="24"/>
      <c r="O224" s="20"/>
      <c r="P224" s="21"/>
      <c r="Q224" t="s">
        <v>37</v>
      </c>
      <c r="R224">
        <f t="shared" si="212"/>
        <v>1.0216000000000001E-3</v>
      </c>
      <c r="S224">
        <f t="shared" si="213"/>
        <v>2.1900000000000001E-3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1.7872999999999999E-3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1.2999999999999999E-3</v>
      </c>
      <c r="H231">
        <f t="shared" si="218"/>
        <v>15.058008000000001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6.8837E-4</v>
      </c>
      <c r="M231">
        <f>I66+E66</f>
        <v>14.402999000000001</v>
      </c>
      <c r="P231" s="21"/>
      <c r="Q231" t="s">
        <v>37</v>
      </c>
      <c r="R231">
        <f t="shared" si="222"/>
        <v>4.0000000000000002E-4</v>
      </c>
      <c r="S231">
        <f t="shared" si="223"/>
        <v>1.2999999999999999E-3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6.5214000000000005E-4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1.2999999999999999E-3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5.7968000000000006E-4</v>
      </c>
      <c r="P237" s="21"/>
      <c r="Q237" t="s">
        <v>37</v>
      </c>
      <c r="R237">
        <f t="shared" si="230"/>
        <v>3.9999999999999996E-4</v>
      </c>
      <c r="S237">
        <f t="shared" si="231"/>
        <v>1.2999999999999999E-3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5.0721999999999996E-4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1.30025E-3</v>
      </c>
      <c r="H244">
        <f t="shared" si="236"/>
        <v>22.489045999999998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6.5597000000000008E-4</v>
      </c>
      <c r="M244">
        <f>M66+I66+E66</f>
        <v>21.787961000000003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1.3010000000000001E-3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5.9500000000000004E-4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1.304E-3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4.9604E-4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1.3090000000000001E-3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4.2772000000000009E-4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1.3007374999999997E-3</v>
      </c>
      <c r="H257">
        <f t="shared" si="254"/>
        <v>30.049223000000001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6.2711116249999997E-4</v>
      </c>
      <c r="M257">
        <f>Q66+M66+I66+E66</f>
        <v>29.275497999999999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1.3028999999999998E-3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5.5086929999999994E-4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1.3111999999999998E-3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4.5519439999999988E-4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1.3242999999999998E-3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4.2371110000000015E-4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68</v>
      </c>
      <c r="C9" s="16"/>
      <c r="D9" s="16"/>
      <c r="E9" s="16"/>
      <c r="F9" s="16" t="s">
        <v>69</v>
      </c>
      <c r="G9" s="16"/>
      <c r="H9" s="16"/>
      <c r="I9" s="16"/>
      <c r="J9" s="16" t="s">
        <v>70</v>
      </c>
      <c r="K9" s="16"/>
      <c r="L9" s="16"/>
      <c r="M9" s="16"/>
      <c r="N9" s="16" t="s">
        <v>71</v>
      </c>
      <c r="O9" s="16"/>
      <c r="P9" s="16"/>
      <c r="Q9" s="16"/>
      <c r="S9" s="22" t="s">
        <v>12</v>
      </c>
      <c r="T9" s="16" t="s">
        <v>68</v>
      </c>
      <c r="U9" s="16"/>
      <c r="V9" s="16"/>
      <c r="W9" s="16"/>
      <c r="X9" s="16" t="s">
        <v>69</v>
      </c>
      <c r="Y9" s="16"/>
      <c r="Z9" s="16"/>
      <c r="AA9" s="16"/>
      <c r="AB9" s="16" t="s">
        <v>70</v>
      </c>
      <c r="AC9" s="16"/>
      <c r="AD9" s="16"/>
      <c r="AE9" s="16"/>
      <c r="AF9" s="16" t="s">
        <v>71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2.8E-3</v>
      </c>
      <c r="D13" s="10">
        <v>2.8E-3</v>
      </c>
      <c r="E13" s="10">
        <v>2.1073620000000002</v>
      </c>
      <c r="F13" t="s">
        <v>22</v>
      </c>
      <c r="G13" s="10">
        <v>2.8999999999999998E-3</v>
      </c>
      <c r="H13" s="10">
        <v>2.8999999999999998E-3</v>
      </c>
      <c r="I13" s="10">
        <v>2.1104989999999999</v>
      </c>
      <c r="J13" t="s">
        <v>22</v>
      </c>
      <c r="K13" s="10">
        <v>3.0000000000000001E-3</v>
      </c>
      <c r="L13" s="10">
        <v>3.0999999999999999E-3</v>
      </c>
      <c r="M13" s="10">
        <v>2.1080450000000002</v>
      </c>
      <c r="N13" t="s">
        <v>22</v>
      </c>
      <c r="O13" s="10">
        <v>3.2000000000000002E-3</v>
      </c>
      <c r="P13" s="10">
        <v>3.2000000000000002E-3</v>
      </c>
      <c r="Q13" s="10">
        <v>2.1036700000000002</v>
      </c>
      <c r="S13" s="22"/>
      <c r="T13" t="s">
        <v>22</v>
      </c>
      <c r="U13">
        <v>2.7000000000000001E-3</v>
      </c>
      <c r="V13">
        <v>2.7000000000000001E-3</v>
      </c>
      <c r="W13">
        <v>6.8365479999999996</v>
      </c>
      <c r="X13" t="s">
        <v>22</v>
      </c>
      <c r="Y13">
        <v>2.8E-3</v>
      </c>
      <c r="Z13">
        <v>2.8E-3</v>
      </c>
      <c r="AA13">
        <v>7.9365449999999997</v>
      </c>
      <c r="AB13" t="s">
        <v>22</v>
      </c>
      <c r="AC13">
        <v>2.8999999999999998E-3</v>
      </c>
      <c r="AD13">
        <v>2.8999999999999998E-3</v>
      </c>
      <c r="AE13">
        <v>7.8601729999999996</v>
      </c>
      <c r="AF13" t="s">
        <v>22</v>
      </c>
      <c r="AG13">
        <v>3.0000000000000001E-3</v>
      </c>
      <c r="AH13">
        <v>3.0000000000000001E-3</v>
      </c>
      <c r="AI13">
        <v>7.385046</v>
      </c>
    </row>
    <row r="16" spans="1:35" x14ac:dyDescent="0.25">
      <c r="A16" s="18" t="s">
        <v>23</v>
      </c>
      <c r="B16" s="16" t="s">
        <v>68</v>
      </c>
      <c r="C16" s="16"/>
      <c r="D16" s="16"/>
      <c r="E16" s="16"/>
      <c r="F16" s="16" t="s">
        <v>69</v>
      </c>
      <c r="G16" s="16"/>
      <c r="H16" s="16"/>
      <c r="I16" s="16"/>
      <c r="J16" s="16" t="s">
        <v>70</v>
      </c>
      <c r="K16" s="16"/>
      <c r="L16" s="16"/>
      <c r="M16" s="16"/>
      <c r="N16" s="16" t="s">
        <v>71</v>
      </c>
      <c r="O16" s="16"/>
      <c r="P16" s="16"/>
      <c r="Q16" s="16"/>
      <c r="S16" s="18" t="s">
        <v>23</v>
      </c>
      <c r="T16" s="16" t="s">
        <v>68</v>
      </c>
      <c r="U16" s="16"/>
      <c r="V16" s="16"/>
      <c r="W16" s="16"/>
      <c r="X16" s="16" t="s">
        <v>69</v>
      </c>
      <c r="Y16" s="16"/>
      <c r="Z16" s="16"/>
      <c r="AA16" s="16"/>
      <c r="AB16" s="16" t="s">
        <v>70</v>
      </c>
      <c r="AC16" s="16"/>
      <c r="AD16" s="16"/>
      <c r="AE16" s="16"/>
      <c r="AF16" s="16" t="s">
        <v>71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68</v>
      </c>
      <c r="C23" s="16"/>
      <c r="D23" s="16"/>
      <c r="E23" s="16"/>
      <c r="F23" s="16" t="s">
        <v>69</v>
      </c>
      <c r="G23" s="16"/>
      <c r="H23" s="16"/>
      <c r="I23" s="16"/>
      <c r="J23" s="16" t="s">
        <v>70</v>
      </c>
      <c r="K23" s="16"/>
      <c r="L23" s="16"/>
      <c r="M23" s="16"/>
      <c r="N23" s="16" t="s">
        <v>71</v>
      </c>
      <c r="O23" s="16"/>
      <c r="P23" s="16"/>
      <c r="Q23" s="16"/>
      <c r="S23" s="23" t="s">
        <v>24</v>
      </c>
      <c r="T23" s="16" t="s">
        <v>68</v>
      </c>
      <c r="U23" s="16"/>
      <c r="V23" s="16"/>
      <c r="W23" s="16"/>
      <c r="X23" s="16" t="s">
        <v>69</v>
      </c>
      <c r="Y23" s="16"/>
      <c r="Z23" s="16"/>
      <c r="AA23" s="16"/>
      <c r="AB23" s="16" t="s">
        <v>70</v>
      </c>
      <c r="AC23" s="16"/>
      <c r="AD23" s="16"/>
      <c r="AE23" s="16"/>
      <c r="AF23" s="16" t="s">
        <v>71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2.8E-3</v>
      </c>
      <c r="C25" s="6"/>
      <c r="D25" s="6"/>
      <c r="E25">
        <v>6.7913779999999999</v>
      </c>
      <c r="F25">
        <v>2.8999999999999998E-3</v>
      </c>
      <c r="G25" s="6"/>
      <c r="H25" s="6"/>
      <c r="I25">
        <v>6.59335</v>
      </c>
      <c r="J25">
        <v>3.0000000000000001E-3</v>
      </c>
      <c r="K25" s="6"/>
      <c r="L25" s="6"/>
      <c r="M25" s="8">
        <v>6.7317489999999998</v>
      </c>
      <c r="N25" s="6">
        <v>3.2000000000000002E-3</v>
      </c>
      <c r="O25" s="6"/>
      <c r="P25" s="6"/>
      <c r="Q25">
        <v>6.12385</v>
      </c>
      <c r="S25" s="23"/>
      <c r="T25" s="6">
        <v>2.7000000000000001E-3</v>
      </c>
      <c r="U25" s="6"/>
      <c r="V25" s="6"/>
      <c r="W25">
        <v>6.9984260000000003</v>
      </c>
      <c r="X25" s="6">
        <v>2.8E-3</v>
      </c>
      <c r="Y25" s="6"/>
      <c r="Z25" s="6"/>
      <c r="AA25">
        <v>6.3194559999999997</v>
      </c>
      <c r="AB25" s="6">
        <v>2.8999999999999998E-3</v>
      </c>
      <c r="AC25" s="6"/>
      <c r="AD25" s="6"/>
      <c r="AE25">
        <v>6.9315559999999996</v>
      </c>
      <c r="AF25" s="6">
        <v>3.0000000000000001E-3</v>
      </c>
      <c r="AG25" s="6"/>
      <c r="AH25" s="6"/>
      <c r="AI25">
        <v>6.253374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68</v>
      </c>
      <c r="C30" s="16"/>
      <c r="D30" s="16"/>
      <c r="E30" s="16"/>
      <c r="F30" s="16" t="s">
        <v>69</v>
      </c>
      <c r="G30" s="16"/>
      <c r="H30" s="16"/>
      <c r="I30" s="16"/>
      <c r="J30" s="16" t="s">
        <v>70</v>
      </c>
      <c r="K30" s="16"/>
      <c r="L30" s="16"/>
      <c r="M30" s="16"/>
      <c r="N30" s="16" t="s">
        <v>71</v>
      </c>
      <c r="O30" s="16"/>
      <c r="P30" s="16"/>
      <c r="Q30" s="16"/>
      <c r="S30" s="22" t="s">
        <v>12</v>
      </c>
      <c r="T30" s="16" t="s">
        <v>68</v>
      </c>
      <c r="U30" s="16"/>
      <c r="V30" s="16"/>
      <c r="W30" s="16"/>
      <c r="X30" s="16" t="s">
        <v>69</v>
      </c>
      <c r="Y30" s="16"/>
      <c r="Z30" s="16"/>
      <c r="AA30" s="16"/>
      <c r="AB30" s="16" t="s">
        <v>70</v>
      </c>
      <c r="AC30" s="16"/>
      <c r="AD30" s="16"/>
      <c r="AE30" s="16"/>
      <c r="AF30" s="16" t="s">
        <v>71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2.0999999999999999E-3</v>
      </c>
      <c r="D34">
        <v>2.3999999999999998E-3</v>
      </c>
      <c r="E34">
        <v>7.3493579999999996</v>
      </c>
      <c r="F34" t="s">
        <v>22</v>
      </c>
      <c r="G34">
        <v>2.0999999999999999E-3</v>
      </c>
      <c r="H34">
        <v>2.5000000000000001E-3</v>
      </c>
      <c r="I34">
        <v>8.0886019999999998</v>
      </c>
      <c r="J34" t="s">
        <v>22</v>
      </c>
      <c r="K34" s="8">
        <v>2.2000000000000001E-3</v>
      </c>
      <c r="L34" s="10">
        <v>2.5999999999999999E-3</v>
      </c>
      <c r="M34">
        <v>7.2953729999999997</v>
      </c>
      <c r="N34" t="s">
        <v>22</v>
      </c>
      <c r="O34">
        <v>2.3E-3</v>
      </c>
      <c r="P34">
        <v>2.8E-3</v>
      </c>
      <c r="Q34">
        <v>8.1227470000000004</v>
      </c>
      <c r="S34" s="22"/>
      <c r="T34" t="s">
        <v>22</v>
      </c>
      <c r="U34">
        <v>1E-3</v>
      </c>
      <c r="V34">
        <v>2E-3</v>
      </c>
      <c r="W34">
        <v>7.7238379999999998</v>
      </c>
      <c r="X34" t="s">
        <v>22</v>
      </c>
      <c r="Y34">
        <v>1E-3</v>
      </c>
      <c r="Z34">
        <v>2.0999999999999999E-3</v>
      </c>
      <c r="AA34">
        <v>7.6603440000000003</v>
      </c>
      <c r="AB34" t="s">
        <v>22</v>
      </c>
      <c r="AC34">
        <v>1.1000000000000001E-3</v>
      </c>
      <c r="AD34">
        <v>2.2000000000000001E-3</v>
      </c>
      <c r="AE34">
        <v>7.8584069999999997</v>
      </c>
      <c r="AF34" t="s">
        <v>22</v>
      </c>
      <c r="AG34">
        <v>1.1000000000000001E-3</v>
      </c>
      <c r="AH34" s="10">
        <v>2.3E-3</v>
      </c>
      <c r="AI34">
        <v>7.5175049999999999</v>
      </c>
    </row>
    <row r="37" spans="1:35" x14ac:dyDescent="0.25">
      <c r="A37" s="18" t="s">
        <v>23</v>
      </c>
      <c r="B37" s="16" t="s">
        <v>68</v>
      </c>
      <c r="C37" s="16"/>
      <c r="D37" s="16"/>
      <c r="E37" s="16"/>
      <c r="F37" s="16" t="s">
        <v>69</v>
      </c>
      <c r="G37" s="16"/>
      <c r="H37" s="16"/>
      <c r="I37" s="16"/>
      <c r="J37" s="16" t="s">
        <v>70</v>
      </c>
      <c r="K37" s="16"/>
      <c r="L37" s="16"/>
      <c r="M37" s="16"/>
      <c r="N37" s="16" t="s">
        <v>71</v>
      </c>
      <c r="O37" s="16"/>
      <c r="P37" s="16"/>
      <c r="Q37" s="16"/>
      <c r="S37" s="18" t="s">
        <v>23</v>
      </c>
      <c r="T37" s="16" t="s">
        <v>68</v>
      </c>
      <c r="U37" s="16"/>
      <c r="V37" s="16"/>
      <c r="W37" s="16"/>
      <c r="X37" s="16" t="s">
        <v>69</v>
      </c>
      <c r="Y37" s="16"/>
      <c r="Z37" s="16"/>
      <c r="AA37" s="16"/>
      <c r="AB37" s="16" t="s">
        <v>70</v>
      </c>
      <c r="AC37" s="16"/>
      <c r="AD37" s="16"/>
      <c r="AE37" s="16"/>
      <c r="AF37" s="16" t="s">
        <v>71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68</v>
      </c>
      <c r="C44" s="16"/>
      <c r="D44" s="16"/>
      <c r="E44" s="16"/>
      <c r="F44" s="16" t="s">
        <v>69</v>
      </c>
      <c r="G44" s="16"/>
      <c r="H44" s="16"/>
      <c r="I44" s="16"/>
      <c r="J44" s="16" t="s">
        <v>70</v>
      </c>
      <c r="K44" s="16"/>
      <c r="L44" s="16"/>
      <c r="M44" s="16"/>
      <c r="N44" s="16" t="s">
        <v>71</v>
      </c>
      <c r="O44" s="16"/>
      <c r="P44" s="16"/>
      <c r="Q44" s="16"/>
      <c r="S44" s="23" t="s">
        <v>24</v>
      </c>
      <c r="T44" s="16" t="s">
        <v>68</v>
      </c>
      <c r="U44" s="16"/>
      <c r="V44" s="16"/>
      <c r="W44" s="16"/>
      <c r="X44" s="16" t="s">
        <v>69</v>
      </c>
      <c r="Y44" s="16"/>
      <c r="Z44" s="16"/>
      <c r="AA44" s="16"/>
      <c r="AB44" s="16" t="s">
        <v>70</v>
      </c>
      <c r="AC44" s="16"/>
      <c r="AD44" s="16"/>
      <c r="AE44" s="16"/>
      <c r="AF44" s="16" t="s">
        <v>71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2.3E-3</v>
      </c>
      <c r="C46" s="6"/>
      <c r="D46" s="6"/>
      <c r="E46">
        <v>6.1971800000000004</v>
      </c>
      <c r="F46" s="6">
        <v>2.3999999999999998E-3</v>
      </c>
      <c r="G46" s="6"/>
      <c r="H46" s="6"/>
      <c r="I46">
        <v>6.781803</v>
      </c>
      <c r="J46" s="6">
        <v>2.5000000000000001E-3</v>
      </c>
      <c r="K46" s="6"/>
      <c r="L46" s="6"/>
      <c r="M46">
        <v>6.2073499999999999</v>
      </c>
      <c r="N46" s="6">
        <v>2.5999999999999999E-3</v>
      </c>
      <c r="O46" s="6"/>
      <c r="P46" s="6"/>
      <c r="Q46">
        <v>6.1856600000000004</v>
      </c>
      <c r="S46" s="23"/>
      <c r="T46" s="6">
        <v>1.6000000000000001E-3</v>
      </c>
      <c r="U46" s="6"/>
      <c r="V46" s="6"/>
      <c r="W46">
        <v>6.9641659999999996</v>
      </c>
      <c r="X46" s="6">
        <v>1.6999999999999999E-3</v>
      </c>
      <c r="Y46" s="6"/>
      <c r="Z46" s="6"/>
      <c r="AA46">
        <v>6.9461630000000003</v>
      </c>
      <c r="AB46" s="6">
        <v>1.8E-3</v>
      </c>
      <c r="AC46" s="6"/>
      <c r="AD46" s="6"/>
      <c r="AE46">
        <v>6.2727320000000004</v>
      </c>
      <c r="AF46" s="6">
        <v>1.8E-3</v>
      </c>
      <c r="AG46" s="6"/>
      <c r="AH46" s="6"/>
      <c r="AI46">
        <v>6.4801719999999996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68</v>
      </c>
      <c r="C50" s="16"/>
      <c r="D50" s="16"/>
      <c r="E50" s="16"/>
      <c r="F50" s="16" t="s">
        <v>69</v>
      </c>
      <c r="G50" s="16"/>
      <c r="H50" s="16"/>
      <c r="I50" s="16"/>
      <c r="J50" s="16" t="s">
        <v>70</v>
      </c>
      <c r="K50" s="16"/>
      <c r="L50" s="16"/>
      <c r="M50" s="16"/>
      <c r="N50" s="16" t="s">
        <v>71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1.1999999999999999E-3</v>
      </c>
      <c r="E54">
        <v>6.7493420000000004</v>
      </c>
      <c r="F54" t="s">
        <v>22</v>
      </c>
      <c r="G54">
        <v>4.0000000000000002E-4</v>
      </c>
      <c r="H54">
        <v>1.2999999999999999E-3</v>
      </c>
      <c r="I54">
        <v>7.3802070000000004</v>
      </c>
      <c r="J54" t="s">
        <v>22</v>
      </c>
      <c r="K54">
        <v>4.0000000000000002E-4</v>
      </c>
      <c r="L54">
        <v>1.4E-3</v>
      </c>
      <c r="M54">
        <v>7.1837590000000002</v>
      </c>
      <c r="N54" t="s">
        <v>22</v>
      </c>
      <c r="O54">
        <v>4.0000000000000002E-4</v>
      </c>
      <c r="P54">
        <v>1.4E-3</v>
      </c>
      <c r="Q54">
        <v>7.3639539999999997</v>
      </c>
    </row>
    <row r="57" spans="1:17" x14ac:dyDescent="0.25">
      <c r="A57" s="18" t="s">
        <v>23</v>
      </c>
      <c r="B57" s="16" t="s">
        <v>68</v>
      </c>
      <c r="C57" s="16"/>
      <c r="D57" s="16"/>
      <c r="E57" s="16"/>
      <c r="F57" s="16" t="s">
        <v>69</v>
      </c>
      <c r="G57" s="16"/>
      <c r="H57" s="16"/>
      <c r="I57" s="16"/>
      <c r="J57" s="16" t="s">
        <v>70</v>
      </c>
      <c r="K57" s="16"/>
      <c r="L57" s="16"/>
      <c r="M57" s="16"/>
      <c r="N57" s="16" t="s">
        <v>71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68</v>
      </c>
      <c r="C64" s="16"/>
      <c r="D64" s="16"/>
      <c r="E64" s="16"/>
      <c r="F64" s="16" t="s">
        <v>69</v>
      </c>
      <c r="G64" s="16"/>
      <c r="H64" s="16"/>
      <c r="I64" s="16"/>
      <c r="J64" s="16" t="s">
        <v>70</v>
      </c>
      <c r="K64" s="16"/>
      <c r="L64" s="16"/>
      <c r="M64" s="16"/>
      <c r="N64" s="16" t="s">
        <v>71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7.0750000000000001E-4</v>
      </c>
      <c r="C66" s="6"/>
      <c r="D66" s="6"/>
      <c r="E66">
        <v>6.6756010000000003</v>
      </c>
      <c r="F66" s="3">
        <v>7.4019999999999999E-4</v>
      </c>
      <c r="G66" s="6"/>
      <c r="H66" s="6"/>
      <c r="I66">
        <v>6.3732740000000003</v>
      </c>
      <c r="J66" s="3">
        <v>7.9140000000000005E-4</v>
      </c>
      <c r="K66" s="6"/>
      <c r="L66" s="6"/>
      <c r="M66">
        <v>6.5243969999999996</v>
      </c>
      <c r="N66" s="3">
        <v>8.1990000000000003E-4</v>
      </c>
      <c r="O66" s="6"/>
      <c r="P66" s="6"/>
      <c r="Q66">
        <v>6.2363280000000003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2.8050000000000002E-3</v>
      </c>
      <c r="G75">
        <f t="shared" si="1"/>
        <v>2.8050000000000002E-3</v>
      </c>
      <c r="H75">
        <f t="shared" si="2"/>
        <v>4.2178610000000001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2.8050000000000002E-3</v>
      </c>
      <c r="M75">
        <f>I25+E25</f>
        <v>13.384727999999999</v>
      </c>
      <c r="P75" s="21"/>
      <c r="Q75" t="s">
        <v>37</v>
      </c>
      <c r="R75">
        <f t="shared" si="6"/>
        <v>2.81E-3</v>
      </c>
      <c r="S75">
        <f t="shared" si="7"/>
        <v>2.81E-3</v>
      </c>
      <c r="U75">
        <f t="shared" si="8"/>
        <v>1.9819999999999997E-2</v>
      </c>
      <c r="V75">
        <f t="shared" si="9"/>
        <v>1.9910000000000004E-2</v>
      </c>
      <c r="X75">
        <f>0.1*F25+(1-0.1)*B25</f>
        <v>2.81E-3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2.8200000000000005E-3</v>
      </c>
      <c r="G81">
        <f t="shared" si="11"/>
        <v>2.8200000000000005E-3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2.8200000000000005E-3</v>
      </c>
      <c r="P81" s="21"/>
      <c r="Q81" t="s">
        <v>37</v>
      </c>
      <c r="R81">
        <f t="shared" si="14"/>
        <v>2.8300000000000001E-3</v>
      </c>
      <c r="S81">
        <f t="shared" si="15"/>
        <v>2.8300000000000001E-3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2.8300000000000001E-3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2.81E-3</v>
      </c>
      <c r="G88">
        <f t="shared" si="19"/>
        <v>2.8102500000000002E-3</v>
      </c>
      <c r="H88">
        <f t="shared" si="20"/>
        <v>6.3259059999999998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2.81E-3</v>
      </c>
      <c r="M88">
        <f>M25+I25+E25</f>
        <v>20.116477</v>
      </c>
      <c r="O88" s="20"/>
      <c r="P88" s="21"/>
      <c r="Q88" t="s">
        <v>37</v>
      </c>
      <c r="R88">
        <f t="shared" si="24"/>
        <v>2.82E-3</v>
      </c>
      <c r="S88">
        <f t="shared" si="25"/>
        <v>2.8210000000000002E-3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2.82E-3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2.8399999999999996E-3</v>
      </c>
      <c r="G94">
        <f t="shared" si="29"/>
        <v>2.8440000000000002E-3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2.8399999999999996E-3</v>
      </c>
      <c r="O94" s="20"/>
      <c r="P94" s="21"/>
      <c r="Q94" t="s">
        <v>37</v>
      </c>
      <c r="R94">
        <f t="shared" si="32"/>
        <v>2.8600000000000001E-3</v>
      </c>
      <c r="S94">
        <f t="shared" si="33"/>
        <v>2.869E-3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2.8600000000000001E-3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2.8150124999999997E-3</v>
      </c>
      <c r="G101">
        <f t="shared" si="37"/>
        <v>2.8157249999999998E-3</v>
      </c>
      <c r="H101">
        <f t="shared" si="38"/>
        <v>8.4295760000000008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2.8150124999999997E-3</v>
      </c>
      <c r="M101">
        <f>Q25+M25+I25+E25</f>
        <v>26.240327000000001</v>
      </c>
      <c r="N101" s="24"/>
      <c r="O101" s="20"/>
      <c r="P101" s="21"/>
      <c r="Q101" t="s">
        <v>37</v>
      </c>
      <c r="R101">
        <f t="shared" si="42"/>
        <v>2.8300999999999995E-3</v>
      </c>
      <c r="S101">
        <f t="shared" si="43"/>
        <v>2.8327999999999999E-3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2.8300999999999995E-3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2.8607999999999997E-3</v>
      </c>
      <c r="G107">
        <f t="shared" si="47"/>
        <v>2.8703999999999995E-3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2.8607999999999997E-3</v>
      </c>
      <c r="N107" s="24"/>
      <c r="O107" s="20"/>
      <c r="P107" s="21"/>
      <c r="Q107" t="s">
        <v>37</v>
      </c>
      <c r="R107">
        <f t="shared" si="50"/>
        <v>2.8927000000000002E-3</v>
      </c>
      <c r="S107">
        <f t="shared" si="51"/>
        <v>2.9116000000000003E-3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2.8927000000000002E-3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2.7049999999999999E-3</v>
      </c>
      <c r="G114">
        <f t="shared" si="55"/>
        <v>2.7049999999999999E-3</v>
      </c>
      <c r="H114">
        <f t="shared" si="56"/>
        <v>14.773092999999999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2.7049999999999999E-3</v>
      </c>
      <c r="M114">
        <f>AA25+W25</f>
        <v>13.317882000000001</v>
      </c>
      <c r="P114" s="21"/>
      <c r="Q114" t="s">
        <v>37</v>
      </c>
      <c r="R114">
        <f t="shared" si="60"/>
        <v>2.7100000000000002E-3</v>
      </c>
      <c r="S114">
        <f t="shared" si="61"/>
        <v>2.7100000000000002E-3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2.7100000000000002E-3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2.7200000000000002E-3</v>
      </c>
      <c r="G120">
        <f t="shared" si="65"/>
        <v>2.7200000000000002E-3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2.7200000000000002E-3</v>
      </c>
      <c r="P120" s="21"/>
      <c r="Q120" t="s">
        <v>37</v>
      </c>
      <c r="R120">
        <f t="shared" si="68"/>
        <v>2.7299999999999998E-3</v>
      </c>
      <c r="S120">
        <f t="shared" si="69"/>
        <v>2.7299999999999998E-3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2.7299999999999998E-3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2.7100000000000006E-3</v>
      </c>
      <c r="G127">
        <f t="shared" si="73"/>
        <v>2.7100000000000006E-3</v>
      </c>
      <c r="H127">
        <f t="shared" si="74"/>
        <v>22.633265999999999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2.7100000000000006E-3</v>
      </c>
      <c r="M127">
        <f>AE25+AA25+W25</f>
        <v>20.249437999999998</v>
      </c>
      <c r="O127" s="20"/>
      <c r="P127" s="21"/>
      <c r="Q127" t="s">
        <v>37</v>
      </c>
      <c r="R127">
        <f t="shared" si="78"/>
        <v>2.7200000000000002E-3</v>
      </c>
      <c r="S127">
        <f t="shared" si="79"/>
        <v>2.7200000000000002E-3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2.7200000000000002E-3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2.7400000000000002E-3</v>
      </c>
      <c r="G133">
        <f t="shared" si="83"/>
        <v>2.7400000000000002E-3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2.7400000000000002E-3</v>
      </c>
      <c r="O133" s="20"/>
      <c r="P133" s="21"/>
      <c r="Q133" t="s">
        <v>37</v>
      </c>
      <c r="R133">
        <f t="shared" si="86"/>
        <v>2.7600000000000003E-3</v>
      </c>
      <c r="S133">
        <f t="shared" si="87"/>
        <v>2.7600000000000003E-3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2.7600000000000003E-3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2.715E-3</v>
      </c>
      <c r="G140">
        <f t="shared" si="91"/>
        <v>2.715E-3</v>
      </c>
      <c r="H140">
        <f t="shared" si="92"/>
        <v>30.018311999999998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2.715E-3</v>
      </c>
      <c r="M140">
        <f>AI25+AE25+AA25+W25</f>
        <v>26.502811999999999</v>
      </c>
      <c r="N140" s="24"/>
      <c r="O140" s="20"/>
      <c r="P140" s="21"/>
      <c r="Q140" t="s">
        <v>37</v>
      </c>
      <c r="R140">
        <f t="shared" si="96"/>
        <v>2.7299999999999998E-3</v>
      </c>
      <c r="S140">
        <f t="shared" si="97"/>
        <v>2.7299999999999998E-3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2.7299999999999998E-3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2.7599999999999999E-3</v>
      </c>
      <c r="G146">
        <f t="shared" si="101"/>
        <v>2.7599999999999999E-3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2.7599999999999999E-3</v>
      </c>
      <c r="N146" s="24"/>
      <c r="O146" s="20"/>
      <c r="P146" s="21"/>
      <c r="Q146" t="s">
        <v>37</v>
      </c>
      <c r="R146">
        <f t="shared" si="104"/>
        <v>2.7899999999999999E-3</v>
      </c>
      <c r="S146">
        <f t="shared" si="105"/>
        <v>2.7899999999999999E-3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2.7899999999999999E-3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2.0999999999999999E-3</v>
      </c>
      <c r="G153">
        <f t="shared" si="109"/>
        <v>2.405E-3</v>
      </c>
      <c r="H153">
        <f t="shared" si="110"/>
        <v>15.43796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2.3049999999999998E-3</v>
      </c>
      <c r="M153">
        <f>I46+E46</f>
        <v>12.978982999999999</v>
      </c>
      <c r="P153" s="21"/>
      <c r="Q153" t="s">
        <v>37</v>
      </c>
      <c r="R153">
        <f t="shared" si="114"/>
        <v>2.0999999999999999E-3</v>
      </c>
      <c r="S153">
        <f t="shared" si="115"/>
        <v>2.4099999999999998E-3</v>
      </c>
      <c r="U153">
        <f t="shared" si="116"/>
        <v>1.311E-2</v>
      </c>
      <c r="V153">
        <f t="shared" si="117"/>
        <v>1.6389999999999998E-2</v>
      </c>
      <c r="X153">
        <f>0.1*F46+(1-0.1)*B46</f>
        <v>2.3100000000000004E-3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2.1000000000000003E-3</v>
      </c>
      <c r="G159">
        <f t="shared" si="119"/>
        <v>2.4199999999999998E-3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2.32E-3</v>
      </c>
      <c r="P159" s="21"/>
      <c r="Q159" t="s">
        <v>37</v>
      </c>
      <c r="R159">
        <f t="shared" si="122"/>
        <v>2.0999999999999994E-3</v>
      </c>
      <c r="S159">
        <f t="shared" si="123"/>
        <v>2.4299999999999999E-3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2.3299999999999996E-3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2.1002500000000001E-3</v>
      </c>
      <c r="G166">
        <f t="shared" si="127"/>
        <v>2.4099999999999998E-3</v>
      </c>
      <c r="H166">
        <f t="shared" si="128"/>
        <v>22.733332999999998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2.3100000000000004E-3</v>
      </c>
      <c r="M166">
        <f>M46+I46+E46</f>
        <v>19.186333000000001</v>
      </c>
      <c r="O166" s="20"/>
      <c r="P166" s="21"/>
      <c r="Q166" t="s">
        <v>37</v>
      </c>
      <c r="R166">
        <f t="shared" si="132"/>
        <v>2.101E-3</v>
      </c>
      <c r="S166">
        <f t="shared" si="133"/>
        <v>2.4199999999999998E-3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2.32E-3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2.104E-3</v>
      </c>
      <c r="G172">
        <f t="shared" si="137"/>
        <v>2.4399999999999999E-3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2.3400000000000001E-3</v>
      </c>
      <c r="O172" s="20"/>
      <c r="P172" s="21"/>
      <c r="Q172" t="s">
        <v>37</v>
      </c>
      <c r="R172">
        <f t="shared" si="140"/>
        <v>2.1089999999999998E-3</v>
      </c>
      <c r="S172">
        <f t="shared" si="141"/>
        <v>2.4600000000000004E-3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2.3600000000000001E-3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2.1007374999999998E-3</v>
      </c>
      <c r="G179">
        <f t="shared" si="145"/>
        <v>2.4150124999999995E-3</v>
      </c>
      <c r="H179">
        <f t="shared" si="146"/>
        <v>30.856079999999999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2.3149999999999993E-3</v>
      </c>
      <c r="M179">
        <f>Q46+M46+I46+E46</f>
        <v>25.371993</v>
      </c>
      <c r="N179" s="24"/>
      <c r="O179" s="20"/>
      <c r="P179" s="21"/>
      <c r="Q179" t="s">
        <v>37</v>
      </c>
      <c r="R179">
        <f t="shared" si="150"/>
        <v>2.1028999999999996E-3</v>
      </c>
      <c r="S179">
        <f t="shared" si="151"/>
        <v>2.4300999999999997E-3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2.3299999999999996E-3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2.1111999999999997E-3</v>
      </c>
      <c r="G185">
        <f t="shared" si="155"/>
        <v>2.4608E-3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2.3600000000000001E-3</v>
      </c>
      <c r="N185" s="24"/>
      <c r="O185" s="20"/>
      <c r="P185" s="21"/>
      <c r="Q185" t="s">
        <v>37</v>
      </c>
      <c r="R185">
        <f t="shared" si="158"/>
        <v>2.1243E-3</v>
      </c>
      <c r="S185">
        <f t="shared" si="159"/>
        <v>2.4927E-3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2.3900000000000002E-3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2.0049999999999998E-3</v>
      </c>
      <c r="H192">
        <f t="shared" si="164"/>
        <v>15.384181999999999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1.6050000000000001E-3</v>
      </c>
      <c r="M192">
        <f>AA46+W46</f>
        <v>13.910329000000001</v>
      </c>
      <c r="P192" s="21"/>
      <c r="Q192" t="s">
        <v>37</v>
      </c>
      <c r="R192">
        <f t="shared" si="168"/>
        <v>1E-3</v>
      </c>
      <c r="S192">
        <f t="shared" si="169"/>
        <v>2.0100000000000001E-3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1.6100000000000001E-3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2.0200000000000001E-3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1.6200000000000001E-3</v>
      </c>
      <c r="P198" s="21"/>
      <c r="Q198" t="s">
        <v>37</v>
      </c>
      <c r="R198">
        <f t="shared" si="176"/>
        <v>1E-3</v>
      </c>
      <c r="S198">
        <f t="shared" si="177"/>
        <v>2.0299999999999997E-3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1.6299999999999999E-3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1.0002500000000001E-3</v>
      </c>
      <c r="G205">
        <f t="shared" si="181"/>
        <v>2.0100000000000001E-3</v>
      </c>
      <c r="H205">
        <f t="shared" si="182"/>
        <v>23.242588999999999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1.6100000000000001E-3</v>
      </c>
      <c r="M205">
        <f>AE46+AA46+W46</f>
        <v>20.183060999999999</v>
      </c>
      <c r="O205" s="20"/>
      <c r="P205" s="21"/>
      <c r="Q205" t="s">
        <v>37</v>
      </c>
      <c r="R205">
        <f t="shared" si="185"/>
        <v>1.0010000000000002E-3</v>
      </c>
      <c r="S205">
        <f t="shared" si="186"/>
        <v>2.0200000000000001E-3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1.6200000000000001E-3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1.0040000000000001E-3</v>
      </c>
      <c r="G211">
        <f t="shared" si="190"/>
        <v>2.0400000000000001E-3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1.64E-3</v>
      </c>
      <c r="O211" s="20"/>
      <c r="P211" s="21"/>
      <c r="Q211" t="s">
        <v>37</v>
      </c>
      <c r="R211">
        <f t="shared" si="193"/>
        <v>1.0090000000000001E-3</v>
      </c>
      <c r="S211">
        <f t="shared" si="194"/>
        <v>2.0600000000000002E-3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1.66E-3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1.0007250000000001E-3</v>
      </c>
      <c r="G218">
        <f t="shared" si="198"/>
        <v>2.0149999999999999E-3</v>
      </c>
      <c r="H218">
        <f t="shared" si="199"/>
        <v>30.760094000000002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1.6149874999999998E-3</v>
      </c>
      <c r="M218">
        <f>AI46+AE46+AA46+W46</f>
        <v>26.663232999999998</v>
      </c>
      <c r="N218" s="24"/>
      <c r="O218" s="20"/>
      <c r="P218" s="21"/>
      <c r="Q218" t="s">
        <v>37</v>
      </c>
      <c r="R218">
        <f t="shared" si="203"/>
        <v>1.0028000000000001E-3</v>
      </c>
      <c r="S218">
        <f t="shared" si="204"/>
        <v>2.0300000000000001E-3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1.6299000000000001E-3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1.0103999999999998E-3</v>
      </c>
      <c r="G224">
        <f t="shared" si="208"/>
        <v>2.0599999999999998E-3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1.6592E-3</v>
      </c>
      <c r="N224" s="24"/>
      <c r="O224" s="20"/>
      <c r="P224" s="21"/>
      <c r="Q224" t="s">
        <v>37</v>
      </c>
      <c r="R224">
        <f t="shared" si="211"/>
        <v>1.0216000000000001E-3</v>
      </c>
      <c r="S224">
        <f t="shared" si="212"/>
        <v>2.0899999999999998E-3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1.6872999999999999E-3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1.2049999999999999E-3</v>
      </c>
      <c r="H231">
        <f t="shared" si="217"/>
        <v>14.129549000000001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6.7212499999999998E-4</v>
      </c>
      <c r="M231">
        <f>I66+E66</f>
        <v>13.048875000000001</v>
      </c>
      <c r="P231" s="21"/>
      <c r="Q231" t="s">
        <v>37</v>
      </c>
      <c r="R231">
        <f t="shared" si="221"/>
        <v>4.0000000000000002E-4</v>
      </c>
      <c r="S231">
        <f t="shared" si="222"/>
        <v>1.2099999999999999E-3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6.3675000000000005E-4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1.2199999999999999E-3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5.6599999999999999E-4</v>
      </c>
      <c r="P237" s="21"/>
      <c r="Q237" t="s">
        <v>37</v>
      </c>
      <c r="R237">
        <f t="shared" si="229"/>
        <v>3.9999999999999996E-4</v>
      </c>
      <c r="S237">
        <f t="shared" si="230"/>
        <v>1.23E-3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4.9525000000000003E-4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1.2099999999999999E-3</v>
      </c>
      <c r="H244">
        <f t="shared" si="235"/>
        <v>21.313307999999999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6.4049725000000005E-4</v>
      </c>
      <c r="M244">
        <f>M66+I66+E66</f>
        <v>19.573271999999999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1.2199999999999999E-3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5.8098900000000007E-4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1.2399999999999998E-3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4.8445599999999997E-4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1.2600000000000001E-3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4.1790100000000004E-4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1.2149874999999998E-3</v>
      </c>
      <c r="H257">
        <f t="shared" si="253"/>
        <v>28.677261999999999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6.1233402499999987E-4</v>
      </c>
      <c r="M257">
        <f>Q66+M66+I66+E66</f>
        <v>25.809600000000003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1.2298999999999999E-3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5.3795519999999997E-4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1.2591999999999998E-3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4.4477359999999986E-4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1.2872999999999999E-3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4.1438440000000015E-4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1.7773437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72</v>
      </c>
      <c r="C9" s="16"/>
      <c r="D9" s="16"/>
      <c r="E9" s="16"/>
      <c r="F9" s="16" t="s">
        <v>73</v>
      </c>
      <c r="G9" s="16"/>
      <c r="H9" s="16"/>
      <c r="I9" s="16"/>
      <c r="J9" s="16" t="s">
        <v>74</v>
      </c>
      <c r="K9" s="16"/>
      <c r="L9" s="16"/>
      <c r="M9" s="16"/>
      <c r="N9" s="16" t="s">
        <v>75</v>
      </c>
      <c r="O9" s="16"/>
      <c r="P9" s="16"/>
      <c r="Q9" s="16"/>
      <c r="S9" s="22" t="s">
        <v>12</v>
      </c>
      <c r="T9" s="16" t="s">
        <v>72</v>
      </c>
      <c r="U9" s="16"/>
      <c r="V9" s="16"/>
      <c r="W9" s="16"/>
      <c r="X9" s="16" t="s">
        <v>73</v>
      </c>
      <c r="Y9" s="16"/>
      <c r="Z9" s="16"/>
      <c r="AA9" s="16"/>
      <c r="AB9" s="16" t="s">
        <v>74</v>
      </c>
      <c r="AC9" s="16"/>
      <c r="AD9" s="16"/>
      <c r="AE9" s="16"/>
      <c r="AF9" s="16" t="s">
        <v>75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2.5999999999999999E-3</v>
      </c>
      <c r="D13" s="10">
        <v>2.5999999999999999E-3</v>
      </c>
      <c r="E13" s="10">
        <v>1.7634559999999999</v>
      </c>
      <c r="F13" t="s">
        <v>22</v>
      </c>
      <c r="G13" s="10">
        <v>2.7000000000000001E-3</v>
      </c>
      <c r="H13" s="10">
        <v>2.7000000000000001E-3</v>
      </c>
      <c r="I13" s="10">
        <v>1.76671</v>
      </c>
      <c r="J13" t="s">
        <v>22</v>
      </c>
      <c r="K13" s="10">
        <v>2.8E-3</v>
      </c>
      <c r="L13" s="10">
        <v>2.8E-3</v>
      </c>
      <c r="M13" s="10">
        <v>1.7218819999999999</v>
      </c>
      <c r="N13" t="s">
        <v>22</v>
      </c>
      <c r="O13" s="10">
        <v>2.8999999999999998E-3</v>
      </c>
      <c r="P13" s="10">
        <v>3.0000000000000001E-3</v>
      </c>
      <c r="Q13" s="10">
        <v>1.757997</v>
      </c>
      <c r="S13" s="22"/>
      <c r="T13" t="s">
        <v>22</v>
      </c>
      <c r="U13">
        <v>2.5000000000000001E-3</v>
      </c>
      <c r="V13">
        <v>2.5000000000000001E-3</v>
      </c>
      <c r="W13">
        <v>5.2184140000000001</v>
      </c>
      <c r="X13" t="s">
        <v>22</v>
      </c>
      <c r="Y13">
        <v>2.0000000000000001E-4</v>
      </c>
      <c r="Z13">
        <v>2.7000000000000001E-3</v>
      </c>
      <c r="AA13">
        <v>1.1459680000000001</v>
      </c>
      <c r="AB13" t="s">
        <v>22</v>
      </c>
      <c r="AC13">
        <v>2.7000000000000001E-3</v>
      </c>
      <c r="AD13">
        <v>2.7000000000000001E-3</v>
      </c>
      <c r="AE13">
        <v>4.7126390000000002</v>
      </c>
      <c r="AF13" t="s">
        <v>22</v>
      </c>
      <c r="AG13">
        <v>2.8E-3</v>
      </c>
      <c r="AH13">
        <v>2.8E-3</v>
      </c>
      <c r="AI13">
        <v>5.0465790000000004</v>
      </c>
    </row>
    <row r="16" spans="1:35" x14ac:dyDescent="0.25">
      <c r="A16" s="18" t="s">
        <v>23</v>
      </c>
      <c r="B16" s="16" t="s">
        <v>72</v>
      </c>
      <c r="C16" s="16"/>
      <c r="D16" s="16"/>
      <c r="E16" s="16"/>
      <c r="F16" s="16" t="s">
        <v>73</v>
      </c>
      <c r="G16" s="16"/>
      <c r="H16" s="16"/>
      <c r="I16" s="16"/>
      <c r="J16" s="16" t="s">
        <v>74</v>
      </c>
      <c r="K16" s="16"/>
      <c r="L16" s="16"/>
      <c r="M16" s="16"/>
      <c r="N16" s="16" t="s">
        <v>75</v>
      </c>
      <c r="O16" s="16"/>
      <c r="P16" s="16"/>
      <c r="Q16" s="16"/>
      <c r="S16" s="18" t="s">
        <v>23</v>
      </c>
      <c r="T16" s="16" t="s">
        <v>72</v>
      </c>
      <c r="U16" s="16"/>
      <c r="V16" s="16"/>
      <c r="W16" s="16"/>
      <c r="X16" s="16" t="s">
        <v>73</v>
      </c>
      <c r="Y16" s="16"/>
      <c r="Z16" s="16"/>
      <c r="AA16" s="16"/>
      <c r="AB16" s="16" t="s">
        <v>74</v>
      </c>
      <c r="AC16" s="16"/>
      <c r="AD16" s="16"/>
      <c r="AE16" s="16"/>
      <c r="AF16" s="16" t="s">
        <v>75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72</v>
      </c>
      <c r="C23" s="16"/>
      <c r="D23" s="16"/>
      <c r="E23" s="16"/>
      <c r="F23" s="16" t="s">
        <v>73</v>
      </c>
      <c r="G23" s="16"/>
      <c r="H23" s="16"/>
      <c r="I23" s="16"/>
      <c r="J23" s="16" t="s">
        <v>74</v>
      </c>
      <c r="K23" s="16"/>
      <c r="L23" s="16"/>
      <c r="M23" s="16"/>
      <c r="N23" s="16" t="s">
        <v>75</v>
      </c>
      <c r="O23" s="16"/>
      <c r="P23" s="16"/>
      <c r="Q23" s="16"/>
      <c r="S23" s="23" t="s">
        <v>24</v>
      </c>
      <c r="T23" s="16" t="s">
        <v>72</v>
      </c>
      <c r="U23" s="16"/>
      <c r="V23" s="16"/>
      <c r="W23" s="16"/>
      <c r="X23" s="16" t="s">
        <v>73</v>
      </c>
      <c r="Y23" s="16"/>
      <c r="Z23" s="16"/>
      <c r="AA23" s="16"/>
      <c r="AB23" s="16" t="s">
        <v>74</v>
      </c>
      <c r="AC23" s="16"/>
      <c r="AD23" s="16"/>
      <c r="AE23" s="16"/>
      <c r="AF23" s="16" t="s">
        <v>75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2.5999999999999999E-3</v>
      </c>
      <c r="C25" s="6"/>
      <c r="D25" s="6"/>
      <c r="E25">
        <v>6.6257760000000001</v>
      </c>
      <c r="F25" s="6">
        <v>2.7000000000000001E-3</v>
      </c>
      <c r="G25" s="6"/>
      <c r="H25" s="6"/>
      <c r="I25">
        <v>5.6905239999999999</v>
      </c>
      <c r="J25">
        <v>2.8E-3</v>
      </c>
      <c r="K25" s="6"/>
      <c r="L25" s="6"/>
      <c r="M25" s="8">
        <v>5.9416469999999997</v>
      </c>
      <c r="N25" s="6">
        <v>2.8999999999999998E-3</v>
      </c>
      <c r="O25" s="6"/>
      <c r="P25" s="6"/>
      <c r="Q25">
        <v>5.7560169999999999</v>
      </c>
      <c r="S25" s="23"/>
      <c r="T25" s="6">
        <v>2.5000000000000001E-3</v>
      </c>
      <c r="U25" s="6"/>
      <c r="V25" s="6"/>
      <c r="W25">
        <v>5.6100120000000002</v>
      </c>
      <c r="X25" s="6">
        <v>2.5999999999999999E-3</v>
      </c>
      <c r="Y25" s="6"/>
      <c r="Z25" s="6"/>
      <c r="AA25">
        <v>6.2405189999999999</v>
      </c>
      <c r="AB25" s="6">
        <v>2.7000000000000001E-3</v>
      </c>
      <c r="AC25" s="6"/>
      <c r="AD25" s="6"/>
      <c r="AE25">
        <v>5.5993919999999999</v>
      </c>
      <c r="AF25" s="6">
        <v>2.8E-3</v>
      </c>
      <c r="AG25" s="6"/>
      <c r="AH25" s="6"/>
      <c r="AI25">
        <v>6.346838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72</v>
      </c>
      <c r="C30" s="16"/>
      <c r="D30" s="16"/>
      <c r="E30" s="16"/>
      <c r="F30" s="16" t="s">
        <v>73</v>
      </c>
      <c r="G30" s="16"/>
      <c r="H30" s="16"/>
      <c r="I30" s="16"/>
      <c r="J30" s="16" t="s">
        <v>74</v>
      </c>
      <c r="K30" s="16"/>
      <c r="L30" s="16"/>
      <c r="M30" s="16"/>
      <c r="N30" s="16" t="s">
        <v>75</v>
      </c>
      <c r="O30" s="16"/>
      <c r="P30" s="16"/>
      <c r="Q30" s="16"/>
      <c r="S30" s="22" t="s">
        <v>12</v>
      </c>
      <c r="T30" s="16" t="s">
        <v>72</v>
      </c>
      <c r="U30" s="16"/>
      <c r="V30" s="16"/>
      <c r="W30" s="16"/>
      <c r="X30" s="16" t="s">
        <v>73</v>
      </c>
      <c r="Y30" s="16"/>
      <c r="Z30" s="16"/>
      <c r="AA30" s="16"/>
      <c r="AB30" s="16" t="s">
        <v>74</v>
      </c>
      <c r="AC30" s="16"/>
      <c r="AD30" s="16"/>
      <c r="AE30" s="16"/>
      <c r="AF30" s="16" t="s">
        <v>75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1.9E-3</v>
      </c>
      <c r="D34">
        <v>2.3E-3</v>
      </c>
      <c r="E34">
        <v>4.7554059999999998</v>
      </c>
      <c r="F34" t="s">
        <v>22</v>
      </c>
      <c r="G34">
        <v>2E-3</v>
      </c>
      <c r="H34">
        <v>2.3999999999999998E-3</v>
      </c>
      <c r="I34">
        <v>5.1775950000000002</v>
      </c>
      <c r="J34" t="s">
        <v>22</v>
      </c>
      <c r="K34" s="8">
        <v>2.0999999999999999E-3</v>
      </c>
      <c r="L34" s="10">
        <v>2.5000000000000001E-3</v>
      </c>
      <c r="M34">
        <v>5.3512230000000001</v>
      </c>
      <c r="N34" t="s">
        <v>22</v>
      </c>
      <c r="O34">
        <v>2.2000000000000001E-3</v>
      </c>
      <c r="P34">
        <v>2.5999999999999999E-3</v>
      </c>
      <c r="Q34">
        <v>5.219233</v>
      </c>
      <c r="S34" s="22"/>
      <c r="T34" t="s">
        <v>22</v>
      </c>
      <c r="U34">
        <v>1E-3</v>
      </c>
      <c r="V34">
        <v>1.9E-3</v>
      </c>
      <c r="W34">
        <v>5.0513719999999998</v>
      </c>
      <c r="X34" t="s">
        <v>22</v>
      </c>
      <c r="Y34">
        <v>1E-3</v>
      </c>
      <c r="Z34">
        <v>2E-3</v>
      </c>
      <c r="AA34">
        <v>5.0789650000000002</v>
      </c>
      <c r="AB34" t="s">
        <v>22</v>
      </c>
      <c r="AC34">
        <v>1E-3</v>
      </c>
      <c r="AD34">
        <v>2.0999999999999999E-3</v>
      </c>
      <c r="AE34">
        <v>4.8875580000000003</v>
      </c>
      <c r="AF34" t="s">
        <v>22</v>
      </c>
      <c r="AG34">
        <v>1.1000000000000001E-3</v>
      </c>
      <c r="AH34" s="10">
        <v>2.0999999999999999E-3</v>
      </c>
      <c r="AI34">
        <v>5.0524290000000001</v>
      </c>
    </row>
    <row r="37" spans="1:35" x14ac:dyDescent="0.25">
      <c r="A37" s="18" t="s">
        <v>23</v>
      </c>
      <c r="B37" s="16" t="s">
        <v>72</v>
      </c>
      <c r="C37" s="16"/>
      <c r="D37" s="16"/>
      <c r="E37" s="16"/>
      <c r="F37" s="16" t="s">
        <v>73</v>
      </c>
      <c r="G37" s="16"/>
      <c r="H37" s="16"/>
      <c r="I37" s="16"/>
      <c r="J37" s="16" t="s">
        <v>74</v>
      </c>
      <c r="K37" s="16"/>
      <c r="L37" s="16"/>
      <c r="M37" s="16"/>
      <c r="N37" s="16" t="s">
        <v>75</v>
      </c>
      <c r="O37" s="16"/>
      <c r="P37" s="16"/>
      <c r="Q37" s="16"/>
      <c r="S37" s="18" t="s">
        <v>23</v>
      </c>
      <c r="T37" s="16" t="s">
        <v>72</v>
      </c>
      <c r="U37" s="16"/>
      <c r="V37" s="16"/>
      <c r="W37" s="16"/>
      <c r="X37" s="16" t="s">
        <v>73</v>
      </c>
      <c r="Y37" s="16"/>
      <c r="Z37" s="16"/>
      <c r="AA37" s="16"/>
      <c r="AB37" s="16" t="s">
        <v>74</v>
      </c>
      <c r="AC37" s="16"/>
      <c r="AD37" s="16"/>
      <c r="AE37" s="16"/>
      <c r="AF37" s="16" t="s">
        <v>75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72</v>
      </c>
      <c r="C44" s="16"/>
      <c r="D44" s="16"/>
      <c r="E44" s="16"/>
      <c r="F44" s="16" t="s">
        <v>73</v>
      </c>
      <c r="G44" s="16"/>
      <c r="H44" s="16"/>
      <c r="I44" s="16"/>
      <c r="J44" s="16" t="s">
        <v>74</v>
      </c>
      <c r="K44" s="16"/>
      <c r="L44" s="16"/>
      <c r="M44" s="16"/>
      <c r="N44" s="16" t="s">
        <v>75</v>
      </c>
      <c r="O44" s="16"/>
      <c r="P44" s="16"/>
      <c r="Q44" s="16"/>
      <c r="S44" s="23" t="s">
        <v>24</v>
      </c>
      <c r="T44" s="16" t="s">
        <v>72</v>
      </c>
      <c r="U44" s="16"/>
      <c r="V44" s="16"/>
      <c r="W44" s="16"/>
      <c r="X44" s="16" t="s">
        <v>73</v>
      </c>
      <c r="Y44" s="16"/>
      <c r="Z44" s="16"/>
      <c r="AA44" s="16"/>
      <c r="AB44" s="16" t="s">
        <v>74</v>
      </c>
      <c r="AC44" s="16"/>
      <c r="AD44" s="16"/>
      <c r="AE44" s="16"/>
      <c r="AF44" s="16" t="s">
        <v>75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2.0999999999999999E-3</v>
      </c>
      <c r="C46" s="6"/>
      <c r="D46" s="6"/>
      <c r="E46">
        <v>6.3244910000000001</v>
      </c>
      <c r="F46" s="6">
        <v>2.2000000000000001E-3</v>
      </c>
      <c r="G46" s="6"/>
      <c r="H46" s="6"/>
      <c r="I46">
        <v>5.7479849999999999</v>
      </c>
      <c r="J46" s="6">
        <v>2.3999999999999998E-3</v>
      </c>
      <c r="K46" s="6"/>
      <c r="L46" s="6"/>
      <c r="M46">
        <v>5.7760410000000002</v>
      </c>
      <c r="N46" s="6">
        <v>2.5000000000000001E-3</v>
      </c>
      <c r="O46" s="6"/>
      <c r="P46" s="6"/>
      <c r="Q46">
        <v>5.594919</v>
      </c>
      <c r="S46" s="23"/>
      <c r="T46" s="6">
        <v>1.6000000000000001E-3</v>
      </c>
      <c r="U46" s="6"/>
      <c r="V46" s="6"/>
      <c r="W46">
        <v>5.7559180000000003</v>
      </c>
      <c r="X46" s="6">
        <v>1.6000000000000001E-3</v>
      </c>
      <c r="Y46" s="6"/>
      <c r="Z46" s="6"/>
      <c r="AA46">
        <v>5.5831249999999999</v>
      </c>
      <c r="AB46" s="6">
        <v>1.6999999999999999E-3</v>
      </c>
      <c r="AC46" s="6"/>
      <c r="AD46" s="6"/>
      <c r="AE46">
        <v>5.6765340000000002</v>
      </c>
      <c r="AF46" s="6">
        <v>1.8E-3</v>
      </c>
      <c r="AG46" s="6"/>
      <c r="AH46" s="6"/>
      <c r="AI46">
        <v>6.249269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72</v>
      </c>
      <c r="C50" s="16"/>
      <c r="D50" s="16"/>
      <c r="E50" s="16"/>
      <c r="F50" s="16" t="s">
        <v>73</v>
      </c>
      <c r="G50" s="16"/>
      <c r="H50" s="16"/>
      <c r="I50" s="16"/>
      <c r="J50" s="16" t="s">
        <v>74</v>
      </c>
      <c r="K50" s="16"/>
      <c r="L50" s="16"/>
      <c r="M50" s="16"/>
      <c r="N50" s="16" t="s">
        <v>75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1.1000000000000001E-3</v>
      </c>
      <c r="E54">
        <v>4.2272480000000003</v>
      </c>
      <c r="F54" t="s">
        <v>22</v>
      </c>
      <c r="G54">
        <v>4.0000000000000002E-4</v>
      </c>
      <c r="H54">
        <v>1.1999999999999999E-3</v>
      </c>
      <c r="I54">
        <v>4.6378370000000002</v>
      </c>
      <c r="J54" t="s">
        <v>22</v>
      </c>
      <c r="K54">
        <v>4.0000000000000002E-4</v>
      </c>
      <c r="L54">
        <v>1.2999999999999999E-3</v>
      </c>
      <c r="M54">
        <v>4.7581170000000004</v>
      </c>
      <c r="N54" t="s">
        <v>22</v>
      </c>
      <c r="O54">
        <v>4.0000000000000002E-4</v>
      </c>
      <c r="P54">
        <v>1.2999999999999999E-3</v>
      </c>
      <c r="Q54">
        <v>4.7552339999999997</v>
      </c>
    </row>
    <row r="57" spans="1:17" x14ac:dyDescent="0.25">
      <c r="A57" s="18" t="s">
        <v>23</v>
      </c>
      <c r="B57" s="16" t="s">
        <v>72</v>
      </c>
      <c r="C57" s="16"/>
      <c r="D57" s="16"/>
      <c r="E57" s="16"/>
      <c r="F57" s="16" t="s">
        <v>73</v>
      </c>
      <c r="G57" s="16"/>
      <c r="H57" s="16"/>
      <c r="I57" s="16"/>
      <c r="J57" s="16" t="s">
        <v>74</v>
      </c>
      <c r="K57" s="16"/>
      <c r="L57" s="16"/>
      <c r="M57" s="16"/>
      <c r="N57" s="16" t="s">
        <v>75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72</v>
      </c>
      <c r="C64" s="16"/>
      <c r="D64" s="16"/>
      <c r="E64" s="16"/>
      <c r="F64" s="16" t="s">
        <v>73</v>
      </c>
      <c r="G64" s="16"/>
      <c r="H64" s="16"/>
      <c r="I64" s="16"/>
      <c r="J64" s="16" t="s">
        <v>74</v>
      </c>
      <c r="K64" s="16"/>
      <c r="L64" s="16"/>
      <c r="M64" s="16"/>
      <c r="N64" s="16" t="s">
        <v>75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6.8599999999999998E-4</v>
      </c>
      <c r="C66" s="6"/>
      <c r="D66" s="6"/>
      <c r="E66">
        <v>5.8870129999999996</v>
      </c>
      <c r="F66" s="3">
        <v>7.2009999999999999E-4</v>
      </c>
      <c r="G66" s="6"/>
      <c r="H66" s="6"/>
      <c r="I66">
        <v>5.8594739999999996</v>
      </c>
      <c r="J66" s="3">
        <v>7.7240000000000002E-4</v>
      </c>
      <c r="K66" s="6"/>
      <c r="L66" s="6"/>
      <c r="M66">
        <v>6.396503</v>
      </c>
      <c r="N66" s="3">
        <v>8.0610000000000002E-4</v>
      </c>
      <c r="O66" s="6"/>
      <c r="P66" s="6"/>
      <c r="Q66">
        <v>5.6421859999999997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2.6050000000000001E-3</v>
      </c>
      <c r="G75">
        <f t="shared" si="1"/>
        <v>2.6050000000000001E-3</v>
      </c>
      <c r="H75">
        <f t="shared" si="2"/>
        <v>3.5301659999999999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2.6050000000000001E-3</v>
      </c>
      <c r="M75">
        <f>I25+E25</f>
        <v>12.3163</v>
      </c>
      <c r="P75" s="21"/>
      <c r="Q75" t="s">
        <v>37</v>
      </c>
      <c r="R75">
        <f t="shared" si="6"/>
        <v>2.6099999999999999E-3</v>
      </c>
      <c r="S75">
        <f t="shared" si="7"/>
        <v>2.6099999999999999E-3</v>
      </c>
      <c r="U75">
        <f t="shared" si="8"/>
        <v>1.9819999999999997E-2</v>
      </c>
      <c r="V75">
        <f t="shared" si="9"/>
        <v>1.9910000000000004E-2</v>
      </c>
      <c r="X75">
        <f>0.1*F25+(1-0.1)*B25</f>
        <v>2.6099999999999999E-3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2.6199999999999999E-3</v>
      </c>
      <c r="G81">
        <f t="shared" si="11"/>
        <v>2.6199999999999999E-3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2.6199999999999999E-3</v>
      </c>
      <c r="P81" s="21"/>
      <c r="Q81" t="s">
        <v>37</v>
      </c>
      <c r="R81">
        <f t="shared" si="14"/>
        <v>2.63E-3</v>
      </c>
      <c r="S81">
        <f t="shared" si="15"/>
        <v>2.63E-3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2.63E-3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2.6099999999999999E-3</v>
      </c>
      <c r="G88">
        <f t="shared" si="19"/>
        <v>2.6099999999999999E-3</v>
      </c>
      <c r="H88">
        <f t="shared" si="20"/>
        <v>5.2520479999999994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2.6099999999999999E-3</v>
      </c>
      <c r="M88">
        <f>M25+I25+E25</f>
        <v>18.257947000000001</v>
      </c>
      <c r="O88" s="20"/>
      <c r="P88" s="21"/>
      <c r="Q88" t="s">
        <v>37</v>
      </c>
      <c r="R88">
        <f t="shared" si="24"/>
        <v>2.6200000000000004E-3</v>
      </c>
      <c r="S88">
        <f t="shared" si="25"/>
        <v>2.6200000000000004E-3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2.6200000000000004E-3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2.64E-3</v>
      </c>
      <c r="G94">
        <f t="shared" si="29"/>
        <v>2.64E-3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2.64E-3</v>
      </c>
      <c r="O94" s="20"/>
      <c r="P94" s="21"/>
      <c r="Q94" t="s">
        <v>37</v>
      </c>
      <c r="R94">
        <f t="shared" si="32"/>
        <v>2.66E-3</v>
      </c>
      <c r="S94">
        <f t="shared" si="33"/>
        <v>2.66E-3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2.66E-3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2.6149999999999997E-3</v>
      </c>
      <c r="G101">
        <f t="shared" si="37"/>
        <v>2.6150124999999996E-3</v>
      </c>
      <c r="H101">
        <f t="shared" si="38"/>
        <v>7.0100449999999999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2.6149999999999997E-3</v>
      </c>
      <c r="M101">
        <f>Q25+M25+I25+E25</f>
        <v>24.013964000000001</v>
      </c>
      <c r="N101" s="24"/>
      <c r="O101" s="20"/>
      <c r="P101" s="21"/>
      <c r="Q101" t="s">
        <v>37</v>
      </c>
      <c r="R101">
        <f t="shared" si="42"/>
        <v>2.63E-3</v>
      </c>
      <c r="S101">
        <f t="shared" si="43"/>
        <v>2.6300999999999998E-3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2.63E-3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2.66E-3</v>
      </c>
      <c r="G107">
        <f t="shared" si="47"/>
        <v>2.6607999999999996E-3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2.66E-3</v>
      </c>
      <c r="N107" s="24"/>
      <c r="O107" s="20"/>
      <c r="P107" s="21"/>
      <c r="Q107" t="s">
        <v>37</v>
      </c>
      <c r="R107">
        <f t="shared" si="50"/>
        <v>2.6900000000000001E-3</v>
      </c>
      <c r="S107">
        <f t="shared" si="51"/>
        <v>2.6927000000000001E-3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2.6900000000000001E-3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2.385E-3</v>
      </c>
      <c r="G114">
        <f t="shared" si="55"/>
        <v>2.5100000000000001E-3</v>
      </c>
      <c r="H114">
        <f t="shared" si="56"/>
        <v>6.364382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2.5049999999999998E-3</v>
      </c>
      <c r="M114">
        <f>AA25+W25</f>
        <v>11.850531</v>
      </c>
      <c r="P114" s="21"/>
      <c r="Q114" t="s">
        <v>37</v>
      </c>
      <c r="R114">
        <f t="shared" si="60"/>
        <v>2.2700000000000003E-3</v>
      </c>
      <c r="S114">
        <f t="shared" si="61"/>
        <v>2.5200000000000001E-3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2.5100000000000001E-3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2.0400000000000001E-3</v>
      </c>
      <c r="G120">
        <f t="shared" si="65"/>
        <v>2.5400000000000002E-3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2.5200000000000001E-3</v>
      </c>
      <c r="P120" s="21"/>
      <c r="Q120" t="s">
        <v>37</v>
      </c>
      <c r="R120">
        <f t="shared" si="68"/>
        <v>1.8099999999999998E-3</v>
      </c>
      <c r="S120">
        <f t="shared" si="69"/>
        <v>2.5599999999999998E-3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2.5299999999999997E-3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2.2820000000000006E-3</v>
      </c>
      <c r="G127">
        <f t="shared" si="73"/>
        <v>2.5195000000000005E-3</v>
      </c>
      <c r="H127">
        <f t="shared" si="74"/>
        <v>11.077021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2.5100000000000005E-3</v>
      </c>
      <c r="M127">
        <f>AE25+AA25+W25</f>
        <v>17.449923000000002</v>
      </c>
      <c r="O127" s="20"/>
      <c r="P127" s="21"/>
      <c r="Q127" t="s">
        <v>37</v>
      </c>
      <c r="R127">
        <f t="shared" si="78"/>
        <v>2.0880000000000004E-3</v>
      </c>
      <c r="S127">
        <f t="shared" si="79"/>
        <v>2.5380000000000003E-3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2.5200000000000005E-3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1.7719999999999999E-3</v>
      </c>
      <c r="G133">
        <f t="shared" si="83"/>
        <v>2.5720000000000001E-3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2.5400000000000002E-3</v>
      </c>
      <c r="O133" s="20"/>
      <c r="P133" s="21"/>
      <c r="Q133" t="s">
        <v>37</v>
      </c>
      <c r="R133">
        <f t="shared" si="86"/>
        <v>1.5520000000000002E-3</v>
      </c>
      <c r="S133">
        <f t="shared" si="87"/>
        <v>2.6020000000000001E-3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2.5599999999999998E-3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2.1900999999999999E-3</v>
      </c>
      <c r="G140">
        <f t="shared" si="91"/>
        <v>2.5285375000000001E-3</v>
      </c>
      <c r="H140">
        <f t="shared" si="92"/>
        <v>16.1236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2.5149999999999999E-3</v>
      </c>
      <c r="M140">
        <f>AI25+AE25+AA25+W25</f>
        <v>23.796761</v>
      </c>
      <c r="N140" s="24"/>
      <c r="O140" s="20"/>
      <c r="P140" s="21"/>
      <c r="Q140" t="s">
        <v>37</v>
      </c>
      <c r="R140">
        <f t="shared" si="96"/>
        <v>1.9467999999999998E-3</v>
      </c>
      <c r="S140">
        <f t="shared" si="97"/>
        <v>2.5542999999999998E-3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2.5299999999999997E-3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1.6383999999999995E-3</v>
      </c>
      <c r="G146">
        <f t="shared" si="101"/>
        <v>2.5984000000000003E-3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2.5599999999999998E-3</v>
      </c>
      <c r="N146" s="24"/>
      <c r="O146" s="20"/>
      <c r="P146" s="21"/>
      <c r="Q146" t="s">
        <v>37</v>
      </c>
      <c r="R146">
        <f t="shared" si="104"/>
        <v>1.5316000000000006E-3</v>
      </c>
      <c r="S146">
        <f t="shared" si="105"/>
        <v>2.6341000000000003E-3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2.5900000000000003E-3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1.905E-3</v>
      </c>
      <c r="G153">
        <f t="shared" si="109"/>
        <v>2.3049999999999998E-3</v>
      </c>
      <c r="H153">
        <f t="shared" si="110"/>
        <v>9.9330010000000009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2.1049999999999997E-3</v>
      </c>
      <c r="M153">
        <f>I46+E46</f>
        <v>12.072476</v>
      </c>
      <c r="P153" s="21"/>
      <c r="Q153" t="s">
        <v>37</v>
      </c>
      <c r="R153">
        <f t="shared" si="114"/>
        <v>1.91E-3</v>
      </c>
      <c r="S153">
        <f t="shared" si="115"/>
        <v>2.3100000000000004E-3</v>
      </c>
      <c r="U153">
        <f t="shared" si="116"/>
        <v>1.311E-2</v>
      </c>
      <c r="V153">
        <f t="shared" si="117"/>
        <v>1.6389999999999998E-2</v>
      </c>
      <c r="X153">
        <f>0.1*F46+(1-0.1)*B46</f>
        <v>2.1099999999999999E-3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1.92E-3</v>
      </c>
      <c r="G159">
        <f t="shared" si="119"/>
        <v>2.32E-3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2.1200000000000004E-3</v>
      </c>
      <c r="P159" s="21"/>
      <c r="Q159" t="s">
        <v>37</v>
      </c>
      <c r="R159">
        <f t="shared" si="122"/>
        <v>1.9299999999999999E-3</v>
      </c>
      <c r="S159">
        <f t="shared" si="123"/>
        <v>2.3299999999999996E-3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2.1299999999999999E-3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1.9100000000000002E-3</v>
      </c>
      <c r="G166">
        <f t="shared" si="127"/>
        <v>2.3100000000000004E-3</v>
      </c>
      <c r="H166">
        <f t="shared" si="128"/>
        <v>15.284224000000002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2.1102500000000001E-3</v>
      </c>
      <c r="M166">
        <f>M46+I46+E46</f>
        <v>17.848517000000001</v>
      </c>
      <c r="O166" s="20"/>
      <c r="P166" s="21"/>
      <c r="Q166" t="s">
        <v>37</v>
      </c>
      <c r="R166">
        <f t="shared" si="132"/>
        <v>1.92E-3</v>
      </c>
      <c r="S166">
        <f t="shared" si="133"/>
        <v>2.32E-3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2.1210000000000001E-3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1.9399999999999999E-3</v>
      </c>
      <c r="G172">
        <f t="shared" si="137"/>
        <v>2.3400000000000001E-3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2.1440000000000001E-3</v>
      </c>
      <c r="O172" s="20"/>
      <c r="P172" s="21"/>
      <c r="Q172" t="s">
        <v>37</v>
      </c>
      <c r="R172">
        <f t="shared" si="140"/>
        <v>1.9599999999999999E-3</v>
      </c>
      <c r="S172">
        <f t="shared" si="141"/>
        <v>2.3600000000000001E-3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2.1689999999999999E-3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1.9149999999999996E-3</v>
      </c>
      <c r="G179">
        <f t="shared" si="145"/>
        <v>2.3149999999999993E-3</v>
      </c>
      <c r="H179">
        <f t="shared" si="146"/>
        <v>20.503457000000001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2.1157249999999997E-3</v>
      </c>
      <c r="M179">
        <f>Q46+M46+I46+E46</f>
        <v>23.443435999999998</v>
      </c>
      <c r="N179" s="24"/>
      <c r="O179" s="20"/>
      <c r="P179" s="21"/>
      <c r="Q179" t="s">
        <v>37</v>
      </c>
      <c r="R179">
        <f t="shared" si="150"/>
        <v>1.9299999999999999E-3</v>
      </c>
      <c r="S179">
        <f t="shared" si="151"/>
        <v>2.3299999999999996E-3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2.1327999999999998E-3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1.9599999999999999E-3</v>
      </c>
      <c r="G185">
        <f t="shared" si="155"/>
        <v>2.3600000000000001E-3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2.1703999999999998E-3</v>
      </c>
      <c r="N185" s="24"/>
      <c r="O185" s="20"/>
      <c r="P185" s="21"/>
      <c r="Q185" t="s">
        <v>37</v>
      </c>
      <c r="R185">
        <f t="shared" si="158"/>
        <v>1.99E-3</v>
      </c>
      <c r="S185">
        <f t="shared" si="159"/>
        <v>2.3900000000000002E-3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2.2116000000000002E-3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1E-3</v>
      </c>
      <c r="G192">
        <f t="shared" si="163"/>
        <v>1.905E-3</v>
      </c>
      <c r="H192">
        <f t="shared" si="164"/>
        <v>10.130337000000001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 s="8">
        <f>0.05*X46+(1-0.05)*T46</f>
        <v>1.6000000000000001E-3</v>
      </c>
      <c r="M192" s="8">
        <f>AA46+W46</f>
        <v>11.339043</v>
      </c>
      <c r="P192" s="21"/>
      <c r="Q192" t="s">
        <v>37</v>
      </c>
      <c r="R192">
        <f t="shared" si="168"/>
        <v>1E-3</v>
      </c>
      <c r="S192">
        <f t="shared" si="169"/>
        <v>1.91E-3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1.6000000000000001E-3</v>
      </c>
    </row>
    <row r="193" spans="2:25" x14ac:dyDescent="0.25">
      <c r="C193" s="22"/>
      <c r="L193" s="8"/>
      <c r="M193" s="8"/>
    </row>
    <row r="194" spans="2:25" x14ac:dyDescent="0.25">
      <c r="C194" s="22"/>
      <c r="L194" s="8"/>
      <c r="M194" s="8"/>
    </row>
    <row r="195" spans="2:25" x14ac:dyDescent="0.25">
      <c r="C195" s="22"/>
      <c r="L195" s="8"/>
      <c r="M195" s="8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 s="8"/>
      <c r="M196" s="8"/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L197" s="8"/>
      <c r="M197" s="8"/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1E-3</v>
      </c>
      <c r="G198">
        <f t="shared" si="173"/>
        <v>1.92E-3</v>
      </c>
      <c r="I198">
        <f t="shared" si="174"/>
        <v>7.6800000000000002E-3</v>
      </c>
      <c r="J198">
        <f t="shared" si="175"/>
        <v>1.3339999999999999E-2</v>
      </c>
      <c r="L198" s="8">
        <f>0.2*X46+(1-0.2)*T46</f>
        <v>1.6000000000000001E-3</v>
      </c>
      <c r="M198" s="8"/>
      <c r="P198" s="21"/>
      <c r="Q198" t="s">
        <v>37</v>
      </c>
      <c r="R198">
        <f t="shared" si="176"/>
        <v>1E-3</v>
      </c>
      <c r="S198">
        <f t="shared" si="177"/>
        <v>1.9299999999999999E-3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1.5999999999999999E-3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1E-3</v>
      </c>
      <c r="G205">
        <f t="shared" si="181"/>
        <v>1.9100000000000002E-3</v>
      </c>
      <c r="H205">
        <f t="shared" si="182"/>
        <v>15.017894999999999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1.6002500000000001E-3</v>
      </c>
      <c r="M205">
        <f>AE46+AA46+W46</f>
        <v>17.015577</v>
      </c>
      <c r="O205" s="20"/>
      <c r="P205" s="21"/>
      <c r="Q205" t="s">
        <v>37</v>
      </c>
      <c r="R205">
        <f t="shared" si="186"/>
        <v>1E-3</v>
      </c>
      <c r="S205">
        <f t="shared" si="187"/>
        <v>1.92E-3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1.601E-3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1E-3</v>
      </c>
      <c r="G211">
        <f t="shared" si="191"/>
        <v>1.9399999999999999E-3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1.604E-3</v>
      </c>
      <c r="O211" s="20"/>
      <c r="P211" s="21"/>
      <c r="Q211" t="s">
        <v>37</v>
      </c>
      <c r="R211">
        <f t="shared" si="194"/>
        <v>1E-3</v>
      </c>
      <c r="S211">
        <f t="shared" si="195"/>
        <v>1.9599999999999999E-3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1.6090000000000002E-3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1.0000124999999999E-3</v>
      </c>
      <c r="G218">
        <f t="shared" si="199"/>
        <v>1.9149874999999997E-3</v>
      </c>
      <c r="H218">
        <f t="shared" si="200"/>
        <v>20.070323999999999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1.6007374999999998E-3</v>
      </c>
      <c r="M218">
        <f>AI46+AE46+AA46+W46</f>
        <v>23.264846000000002</v>
      </c>
      <c r="N218" s="24"/>
      <c r="O218" s="20"/>
      <c r="P218" s="21"/>
      <c r="Q218" t="s">
        <v>37</v>
      </c>
      <c r="R218">
        <f t="shared" si="204"/>
        <v>1.0001000000000001E-3</v>
      </c>
      <c r="S218">
        <f t="shared" si="205"/>
        <v>1.9299E-3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1.6029E-3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1.0008E-3</v>
      </c>
      <c r="G224">
        <f t="shared" si="209"/>
        <v>1.9591999999999999E-3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1.6112000000000001E-3</v>
      </c>
      <c r="N224" s="24"/>
      <c r="O224" s="20"/>
      <c r="P224" s="21"/>
      <c r="Q224" t="s">
        <v>37</v>
      </c>
      <c r="R224">
        <f t="shared" si="212"/>
        <v>1.0027E-3</v>
      </c>
      <c r="S224">
        <f t="shared" si="213"/>
        <v>1.9873E-3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1.6243000000000002E-3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4.0000000000000002E-4</v>
      </c>
      <c r="G231">
        <f t="shared" si="217"/>
        <v>1.1049999999999999E-3</v>
      </c>
      <c r="H231">
        <f t="shared" si="218"/>
        <v>8.8650850000000005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6.5169999999999996E-4</v>
      </c>
      <c r="M231">
        <f>I66+E66</f>
        <v>11.746486999999998</v>
      </c>
      <c r="P231" s="21"/>
      <c r="Q231" t="s">
        <v>37</v>
      </c>
      <c r="R231">
        <f t="shared" si="222"/>
        <v>4.0000000000000002E-4</v>
      </c>
      <c r="S231">
        <f t="shared" si="223"/>
        <v>1.1099999999999999E-3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6.1740000000000005E-4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4.0000000000000002E-4</v>
      </c>
      <c r="G237">
        <f t="shared" si="227"/>
        <v>1.1200000000000001E-3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5.488E-4</v>
      </c>
      <c r="P237" s="21"/>
      <c r="Q237" t="s">
        <v>37</v>
      </c>
      <c r="R237">
        <f t="shared" si="230"/>
        <v>3.9999999999999996E-4</v>
      </c>
      <c r="S237">
        <f t="shared" si="231"/>
        <v>1.1299999999999999E-3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4.8019999999999996E-4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4.0000000000000007E-4</v>
      </c>
      <c r="G244">
        <f t="shared" si="235"/>
        <v>1.1100000000000001E-3</v>
      </c>
      <c r="H244">
        <f t="shared" si="236"/>
        <v>13.623201999999999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6.210460000000001E-4</v>
      </c>
      <c r="M244">
        <f>M66+I66+E66</f>
        <v>18.142989999999998</v>
      </c>
      <c r="O244" s="20"/>
      <c r="P244" s="21"/>
      <c r="Q244" t="s">
        <v>37</v>
      </c>
      <c r="R244">
        <f t="shared" si="240"/>
        <v>4.0000000000000002E-4</v>
      </c>
      <c r="S244">
        <f t="shared" si="241"/>
        <v>1.1200000000000001E-3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5.63384E-4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4.0000000000000002E-4</v>
      </c>
      <c r="G250">
        <f t="shared" si="245"/>
        <v>1.14E-3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4.699359999999999E-4</v>
      </c>
      <c r="O250" s="20"/>
      <c r="P250" s="21"/>
      <c r="Q250" t="s">
        <v>37</v>
      </c>
      <c r="R250">
        <f t="shared" si="248"/>
        <v>4.0000000000000007E-4</v>
      </c>
      <c r="S250">
        <f t="shared" si="249"/>
        <v>1.16E-3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4.0565600000000006E-4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3.9999999999999996E-4</v>
      </c>
      <c r="G257">
        <f t="shared" si="253"/>
        <v>1.1149875E-3</v>
      </c>
      <c r="H257">
        <f t="shared" si="254"/>
        <v>18.378436000000001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5.9376336249999983E-4</v>
      </c>
      <c r="M257">
        <f>Q66+M66+I66+E66</f>
        <v>23.785176</v>
      </c>
      <c r="N257" s="24"/>
      <c r="O257" s="20"/>
      <c r="P257" s="21"/>
      <c r="Q257" t="s">
        <v>37</v>
      </c>
      <c r="R257">
        <f t="shared" si="258"/>
        <v>4.0000000000000002E-4</v>
      </c>
      <c r="S257">
        <f t="shared" si="259"/>
        <v>1.1298999999999999E-3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5.2175489999999991E-4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3.9999999999999996E-4</v>
      </c>
      <c r="G263">
        <f t="shared" si="263"/>
        <v>1.1592E-3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4.3183119999999988E-4</v>
      </c>
      <c r="N263" s="24"/>
      <c r="O263" s="20"/>
      <c r="P263" s="21"/>
      <c r="Q263" t="s">
        <v>37</v>
      </c>
      <c r="R263">
        <f t="shared" si="266"/>
        <v>4.0000000000000002E-4</v>
      </c>
      <c r="S263">
        <f t="shared" si="267"/>
        <v>1.1873000000000001E-3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4.0304630000000011E-4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1.7773437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72</v>
      </c>
      <c r="C9" s="16"/>
      <c r="D9" s="16"/>
      <c r="E9" s="16"/>
      <c r="F9" s="16" t="s">
        <v>73</v>
      </c>
      <c r="G9" s="16"/>
      <c r="H9" s="16"/>
      <c r="I9" s="16"/>
      <c r="J9" s="16" t="s">
        <v>74</v>
      </c>
      <c r="K9" s="16"/>
      <c r="L9" s="16"/>
      <c r="M9" s="16"/>
      <c r="N9" s="16" t="s">
        <v>75</v>
      </c>
      <c r="O9" s="16"/>
      <c r="P9" s="16"/>
      <c r="Q9" s="16"/>
      <c r="S9" s="22" t="s">
        <v>12</v>
      </c>
      <c r="T9" s="16" t="s">
        <v>72</v>
      </c>
      <c r="U9" s="16"/>
      <c r="V9" s="16"/>
      <c r="W9" s="16"/>
      <c r="X9" s="16" t="s">
        <v>73</v>
      </c>
      <c r="Y9" s="16"/>
      <c r="Z9" s="16"/>
      <c r="AA9" s="16"/>
      <c r="AB9" s="16" t="s">
        <v>74</v>
      </c>
      <c r="AC9" s="16"/>
      <c r="AD9" s="16"/>
      <c r="AE9" s="16"/>
      <c r="AF9" s="16" t="s">
        <v>75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2.5000000000000001E-3</v>
      </c>
      <c r="D13" s="10">
        <v>2.5000000000000001E-3</v>
      </c>
      <c r="E13" s="10">
        <v>1.354946</v>
      </c>
      <c r="F13" t="s">
        <v>22</v>
      </c>
      <c r="G13" s="10">
        <v>2.5999999999999999E-3</v>
      </c>
      <c r="H13" s="10">
        <v>2.5999999999999999E-3</v>
      </c>
      <c r="I13" s="10">
        <v>1.220707</v>
      </c>
      <c r="J13" t="s">
        <v>22</v>
      </c>
      <c r="K13" s="10">
        <v>2.7000000000000001E-3</v>
      </c>
      <c r="L13" s="10">
        <v>2.7000000000000001E-3</v>
      </c>
      <c r="M13" s="10">
        <v>1.284613</v>
      </c>
      <c r="N13" t="s">
        <v>22</v>
      </c>
      <c r="O13" s="10">
        <v>2.8E-3</v>
      </c>
      <c r="P13" s="10">
        <v>2.8999999999999998E-3</v>
      </c>
      <c r="Q13" s="10">
        <v>1.253071</v>
      </c>
      <c r="S13" s="22"/>
      <c r="T13" t="s">
        <v>22</v>
      </c>
      <c r="U13">
        <v>2.3999999999999998E-3</v>
      </c>
      <c r="V13">
        <v>2.3999999999999998E-3</v>
      </c>
      <c r="W13">
        <v>3.9199190000000002</v>
      </c>
      <c r="X13" t="s">
        <v>22</v>
      </c>
      <c r="Y13">
        <v>2.5000000000000001E-3</v>
      </c>
      <c r="Z13">
        <v>2.5000000000000001E-3</v>
      </c>
      <c r="AA13">
        <v>3.5026329999999999</v>
      </c>
      <c r="AB13" t="s">
        <v>22</v>
      </c>
      <c r="AC13">
        <v>2.5999999999999999E-3</v>
      </c>
      <c r="AD13">
        <v>2.5999999999999999E-3</v>
      </c>
      <c r="AE13">
        <v>4.0342200000000004</v>
      </c>
      <c r="AF13" t="s">
        <v>22</v>
      </c>
      <c r="AG13">
        <v>2.7000000000000001E-3</v>
      </c>
      <c r="AH13">
        <v>2.7000000000000001E-3</v>
      </c>
      <c r="AI13">
        <v>3.3575750000000002</v>
      </c>
    </row>
    <row r="16" spans="1:35" x14ac:dyDescent="0.25">
      <c r="A16" s="18" t="s">
        <v>23</v>
      </c>
      <c r="B16" s="16" t="s">
        <v>72</v>
      </c>
      <c r="C16" s="16"/>
      <c r="D16" s="16"/>
      <c r="E16" s="16"/>
      <c r="F16" s="16" t="s">
        <v>73</v>
      </c>
      <c r="G16" s="16"/>
      <c r="H16" s="16"/>
      <c r="I16" s="16"/>
      <c r="J16" s="16" t="s">
        <v>74</v>
      </c>
      <c r="K16" s="16"/>
      <c r="L16" s="16"/>
      <c r="M16" s="16"/>
      <c r="N16" s="16" t="s">
        <v>75</v>
      </c>
      <c r="O16" s="16"/>
      <c r="P16" s="16"/>
      <c r="Q16" s="16"/>
      <c r="S16" s="18" t="s">
        <v>23</v>
      </c>
      <c r="T16" s="16" t="s">
        <v>72</v>
      </c>
      <c r="U16" s="16"/>
      <c r="V16" s="16"/>
      <c r="W16" s="16"/>
      <c r="X16" s="16" t="s">
        <v>73</v>
      </c>
      <c r="Y16" s="16"/>
      <c r="Z16" s="16"/>
      <c r="AA16" s="16"/>
      <c r="AB16" s="16" t="s">
        <v>74</v>
      </c>
      <c r="AC16" s="16"/>
      <c r="AD16" s="16"/>
      <c r="AE16" s="16"/>
      <c r="AF16" s="16" t="s">
        <v>75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72</v>
      </c>
      <c r="C23" s="16"/>
      <c r="D23" s="16"/>
      <c r="E23" s="16"/>
      <c r="F23" s="16" t="s">
        <v>73</v>
      </c>
      <c r="G23" s="16"/>
      <c r="H23" s="16"/>
      <c r="I23" s="16"/>
      <c r="J23" s="16" t="s">
        <v>74</v>
      </c>
      <c r="K23" s="16"/>
      <c r="L23" s="16"/>
      <c r="M23" s="16"/>
      <c r="N23" s="16" t="s">
        <v>75</v>
      </c>
      <c r="O23" s="16"/>
      <c r="P23" s="16"/>
      <c r="Q23" s="16"/>
      <c r="S23" s="23" t="s">
        <v>24</v>
      </c>
      <c r="T23" s="16" t="s">
        <v>72</v>
      </c>
      <c r="U23" s="16"/>
      <c r="V23" s="16"/>
      <c r="W23" s="16"/>
      <c r="X23" s="16" t="s">
        <v>73</v>
      </c>
      <c r="Y23" s="16"/>
      <c r="Z23" s="16"/>
      <c r="AA23" s="16"/>
      <c r="AB23" s="16" t="s">
        <v>74</v>
      </c>
      <c r="AC23" s="16"/>
      <c r="AD23" s="16"/>
      <c r="AE23" s="16"/>
      <c r="AF23" s="16" t="s">
        <v>75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2.5000000000000001E-3</v>
      </c>
      <c r="C25" s="6"/>
      <c r="D25" s="6"/>
      <c r="E25">
        <v>5.1603149999999998</v>
      </c>
      <c r="F25" s="6">
        <v>2.5999999999999999E-3</v>
      </c>
      <c r="G25" s="6"/>
      <c r="H25" s="6"/>
      <c r="I25">
        <v>6.2459730000000002</v>
      </c>
      <c r="J25">
        <v>2.7000000000000001E-3</v>
      </c>
      <c r="K25" s="6"/>
      <c r="L25" s="6"/>
      <c r="M25" s="8">
        <v>5.9591909999999997</v>
      </c>
      <c r="N25" s="13">
        <v>2.8E-3</v>
      </c>
      <c r="O25" s="6"/>
      <c r="P25" s="6"/>
      <c r="Q25">
        <v>5.3137030000000003</v>
      </c>
      <c r="S25" s="23"/>
      <c r="T25" s="6">
        <v>2.3999999999999998E-3</v>
      </c>
      <c r="U25" s="6"/>
      <c r="V25" s="6"/>
      <c r="W25">
        <v>5.5289849999999996</v>
      </c>
      <c r="X25" s="6">
        <v>2.5000000000000001E-3</v>
      </c>
      <c r="Y25" s="6"/>
      <c r="Z25" s="6"/>
      <c r="AA25">
        <v>6.2405189999999999</v>
      </c>
      <c r="AB25" s="6">
        <v>2.5999999999999999E-3</v>
      </c>
      <c r="AC25" s="6"/>
      <c r="AD25" s="6"/>
      <c r="AE25">
        <v>6.0504100000000003</v>
      </c>
      <c r="AF25" s="6">
        <v>2.7000000000000001E-3</v>
      </c>
      <c r="AG25" s="6"/>
      <c r="AH25" s="6"/>
      <c r="AI25">
        <v>6.053337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72</v>
      </c>
      <c r="C30" s="16"/>
      <c r="D30" s="16"/>
      <c r="E30" s="16"/>
      <c r="F30" s="16" t="s">
        <v>73</v>
      </c>
      <c r="G30" s="16"/>
      <c r="H30" s="16"/>
      <c r="I30" s="16"/>
      <c r="J30" s="16" t="s">
        <v>74</v>
      </c>
      <c r="K30" s="16"/>
      <c r="L30" s="16"/>
      <c r="M30" s="16"/>
      <c r="N30" s="16" t="s">
        <v>75</v>
      </c>
      <c r="O30" s="16"/>
      <c r="P30" s="16"/>
      <c r="Q30" s="16"/>
      <c r="S30" s="22" t="s">
        <v>12</v>
      </c>
      <c r="T30" s="16" t="s">
        <v>72</v>
      </c>
      <c r="U30" s="16"/>
      <c r="V30" s="16"/>
      <c r="W30" s="16"/>
      <c r="X30" s="16" t="s">
        <v>73</v>
      </c>
      <c r="Y30" s="16"/>
      <c r="Z30" s="16"/>
      <c r="AA30" s="16"/>
      <c r="AB30" s="16" t="s">
        <v>74</v>
      </c>
      <c r="AC30" s="16"/>
      <c r="AD30" s="16"/>
      <c r="AE30" s="16"/>
      <c r="AF30" s="16" t="s">
        <v>75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1.9E-3</v>
      </c>
      <c r="D34">
        <v>2.2000000000000001E-3</v>
      </c>
      <c r="E34">
        <v>3.7923290000000001</v>
      </c>
      <c r="F34" t="s">
        <v>22</v>
      </c>
      <c r="G34">
        <v>2E-3</v>
      </c>
      <c r="H34">
        <v>2.3E-3</v>
      </c>
      <c r="I34">
        <v>3.4463900000000001</v>
      </c>
      <c r="J34" t="s">
        <v>22</v>
      </c>
      <c r="K34" s="8">
        <v>2.0999999999999999E-3</v>
      </c>
      <c r="L34" s="10">
        <v>2.3999999999999998E-3</v>
      </c>
      <c r="M34">
        <v>3.4368720000000001</v>
      </c>
      <c r="N34" t="s">
        <v>22</v>
      </c>
      <c r="O34">
        <v>2.2000000000000001E-3</v>
      </c>
      <c r="P34">
        <v>2.5000000000000001E-3</v>
      </c>
      <c r="Q34">
        <v>3.359</v>
      </c>
      <c r="S34" s="22"/>
      <c r="T34" t="s">
        <v>22</v>
      </c>
      <c r="U34">
        <v>8.9999999999999998E-4</v>
      </c>
      <c r="V34">
        <v>1.8E-3</v>
      </c>
      <c r="W34">
        <v>3.2415970000000001</v>
      </c>
      <c r="X34" t="s">
        <v>22</v>
      </c>
      <c r="Y34">
        <v>1E-3</v>
      </c>
      <c r="Z34">
        <v>1.9E-3</v>
      </c>
      <c r="AA34">
        <v>3.417646</v>
      </c>
      <c r="AB34" t="s">
        <v>22</v>
      </c>
      <c r="AC34">
        <v>1E-3</v>
      </c>
      <c r="AD34">
        <v>2E-3</v>
      </c>
      <c r="AE34">
        <v>3.477328</v>
      </c>
      <c r="AF34" t="s">
        <v>22</v>
      </c>
      <c r="AG34">
        <v>1.1000000000000001E-3</v>
      </c>
      <c r="AH34" s="10">
        <v>2.0999999999999999E-3</v>
      </c>
      <c r="AI34">
        <v>3.2859080000000001</v>
      </c>
    </row>
    <row r="37" spans="1:35" x14ac:dyDescent="0.25">
      <c r="A37" s="18" t="s">
        <v>23</v>
      </c>
      <c r="B37" s="16" t="s">
        <v>72</v>
      </c>
      <c r="C37" s="16"/>
      <c r="D37" s="16"/>
      <c r="E37" s="16"/>
      <c r="F37" s="16" t="s">
        <v>73</v>
      </c>
      <c r="G37" s="16"/>
      <c r="H37" s="16"/>
      <c r="I37" s="16"/>
      <c r="J37" s="16" t="s">
        <v>74</v>
      </c>
      <c r="K37" s="16"/>
      <c r="L37" s="16"/>
      <c r="M37" s="16"/>
      <c r="N37" s="16" t="s">
        <v>75</v>
      </c>
      <c r="O37" s="16"/>
      <c r="P37" s="16"/>
      <c r="Q37" s="16"/>
      <c r="S37" s="18" t="s">
        <v>23</v>
      </c>
      <c r="T37" s="16" t="s">
        <v>72</v>
      </c>
      <c r="U37" s="16"/>
      <c r="V37" s="16"/>
      <c r="W37" s="16"/>
      <c r="X37" s="16" t="s">
        <v>73</v>
      </c>
      <c r="Y37" s="16"/>
      <c r="Z37" s="16"/>
      <c r="AA37" s="16"/>
      <c r="AB37" s="16" t="s">
        <v>74</v>
      </c>
      <c r="AC37" s="16"/>
      <c r="AD37" s="16"/>
      <c r="AE37" s="16"/>
      <c r="AF37" s="16" t="s">
        <v>75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72</v>
      </c>
      <c r="C44" s="16"/>
      <c r="D44" s="16"/>
      <c r="E44" s="16"/>
      <c r="F44" s="16" t="s">
        <v>73</v>
      </c>
      <c r="G44" s="16"/>
      <c r="H44" s="16"/>
      <c r="I44" s="16"/>
      <c r="J44" s="16" t="s">
        <v>74</v>
      </c>
      <c r="K44" s="16"/>
      <c r="L44" s="16"/>
      <c r="M44" s="16"/>
      <c r="N44" s="16" t="s">
        <v>75</v>
      </c>
      <c r="O44" s="16"/>
      <c r="P44" s="16"/>
      <c r="Q44" s="16"/>
      <c r="S44" s="23" t="s">
        <v>24</v>
      </c>
      <c r="T44" s="16" t="s">
        <v>72</v>
      </c>
      <c r="U44" s="16"/>
      <c r="V44" s="16"/>
      <c r="W44" s="16"/>
      <c r="X44" s="16" t="s">
        <v>73</v>
      </c>
      <c r="Y44" s="16"/>
      <c r="Z44" s="16"/>
      <c r="AA44" s="16"/>
      <c r="AB44" s="16" t="s">
        <v>74</v>
      </c>
      <c r="AC44" s="16"/>
      <c r="AD44" s="16"/>
      <c r="AE44" s="16"/>
      <c r="AF44" s="16" t="s">
        <v>75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2.0999999999999999E-3</v>
      </c>
      <c r="C46" s="6"/>
      <c r="D46" s="6"/>
      <c r="E46">
        <v>5.4370479999999999</v>
      </c>
      <c r="F46" s="6">
        <v>2.2000000000000001E-3</v>
      </c>
      <c r="G46" s="6"/>
      <c r="H46" s="6"/>
      <c r="I46">
        <v>6.1932850000000004</v>
      </c>
      <c r="J46" s="6">
        <v>2.3E-3</v>
      </c>
      <c r="K46" s="6"/>
      <c r="L46" s="6"/>
      <c r="M46">
        <v>6.081575</v>
      </c>
      <c r="N46" s="6">
        <v>2.3999999999999998E-3</v>
      </c>
      <c r="O46" s="6"/>
      <c r="P46" s="6"/>
      <c r="Q46">
        <v>6.0436420000000002</v>
      </c>
      <c r="S46" s="23"/>
      <c r="T46" s="6">
        <v>1.5E-3</v>
      </c>
      <c r="U46" s="6"/>
      <c r="V46" s="6"/>
      <c r="W46">
        <v>5.447457</v>
      </c>
      <c r="X46" s="6">
        <v>1.6000000000000001E-3</v>
      </c>
      <c r="Y46" s="6"/>
      <c r="Z46" s="6"/>
      <c r="AA46">
        <v>6.2011370000000001</v>
      </c>
      <c r="AB46" s="6">
        <v>1.6000000000000001E-3</v>
      </c>
      <c r="AC46" s="6"/>
      <c r="AD46" s="6"/>
      <c r="AE46">
        <v>6.3549059999999997</v>
      </c>
      <c r="AF46" s="6">
        <v>1.6999999999999999E-3</v>
      </c>
      <c r="AG46" s="6"/>
      <c r="AH46" s="6"/>
      <c r="AI46">
        <v>6.4481510000000002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72</v>
      </c>
      <c r="C50" s="16"/>
      <c r="D50" s="16"/>
      <c r="E50" s="16"/>
      <c r="F50" s="16" t="s">
        <v>73</v>
      </c>
      <c r="G50" s="16"/>
      <c r="H50" s="16"/>
      <c r="I50" s="16"/>
      <c r="J50" s="16" t="s">
        <v>74</v>
      </c>
      <c r="K50" s="16"/>
      <c r="L50" s="16"/>
      <c r="M50" s="16"/>
      <c r="N50" s="16" t="s">
        <v>75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1.1000000000000001E-3</v>
      </c>
      <c r="E54">
        <v>3.2243390000000001</v>
      </c>
      <c r="F54" t="s">
        <v>22</v>
      </c>
      <c r="G54">
        <v>4.0000000000000002E-4</v>
      </c>
      <c r="H54">
        <v>1.1999999999999999E-3</v>
      </c>
      <c r="I54">
        <v>3.1555309999999999</v>
      </c>
      <c r="J54" t="s">
        <v>22</v>
      </c>
      <c r="K54">
        <v>4.0000000000000002E-4</v>
      </c>
      <c r="L54">
        <v>1.1999999999999999E-3</v>
      </c>
      <c r="M54">
        <v>3.4508130000000001</v>
      </c>
      <c r="N54" t="s">
        <v>22</v>
      </c>
      <c r="O54">
        <v>4.0000000000000002E-4</v>
      </c>
      <c r="P54">
        <v>1.2999999999999999E-3</v>
      </c>
      <c r="Q54">
        <v>3.7954659999999998</v>
      </c>
    </row>
    <row r="57" spans="1:17" x14ac:dyDescent="0.25">
      <c r="A57" s="18" t="s">
        <v>23</v>
      </c>
      <c r="B57" s="16" t="s">
        <v>72</v>
      </c>
      <c r="C57" s="16"/>
      <c r="D57" s="16"/>
      <c r="E57" s="16"/>
      <c r="F57" s="16" t="s">
        <v>73</v>
      </c>
      <c r="G57" s="16"/>
      <c r="H57" s="16"/>
      <c r="I57" s="16"/>
      <c r="J57" s="16" t="s">
        <v>74</v>
      </c>
      <c r="K57" s="16"/>
      <c r="L57" s="16"/>
      <c r="M57" s="16"/>
      <c r="N57" s="16" t="s">
        <v>75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72</v>
      </c>
      <c r="C64" s="16"/>
      <c r="D64" s="16"/>
      <c r="E64" s="16"/>
      <c r="F64" s="16" t="s">
        <v>73</v>
      </c>
      <c r="G64" s="16"/>
      <c r="H64" s="16"/>
      <c r="I64" s="16"/>
      <c r="J64" s="16" t="s">
        <v>74</v>
      </c>
      <c r="K64" s="16"/>
      <c r="L64" s="16"/>
      <c r="M64" s="16"/>
      <c r="N64" s="16" t="s">
        <v>75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6.692E-4</v>
      </c>
      <c r="C66" s="6"/>
      <c r="D66" s="6"/>
      <c r="E66">
        <v>6.0818060000000003</v>
      </c>
      <c r="F66" s="3">
        <v>7.1730000000000003E-4</v>
      </c>
      <c r="G66" s="6"/>
      <c r="H66" s="6"/>
      <c r="I66">
        <v>6.0685529999999996</v>
      </c>
      <c r="J66" s="3">
        <v>7.607E-4</v>
      </c>
      <c r="K66" s="6"/>
      <c r="L66" s="6"/>
      <c r="M66">
        <v>5.355016</v>
      </c>
      <c r="N66" s="3">
        <v>8.0650000000000003E-4</v>
      </c>
      <c r="O66" s="6"/>
      <c r="P66" s="6"/>
      <c r="Q66">
        <v>5.8485290000000001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2.5049999999999998E-3</v>
      </c>
      <c r="G75">
        <f t="shared" si="1"/>
        <v>2.5049999999999998E-3</v>
      </c>
      <c r="H75">
        <f t="shared" si="2"/>
        <v>2.575653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2.5049999999999998E-3</v>
      </c>
      <c r="M75">
        <f>I25+E25</f>
        <v>11.406288</v>
      </c>
      <c r="P75" s="21"/>
      <c r="Q75" t="s">
        <v>37</v>
      </c>
      <c r="R75">
        <f t="shared" si="6"/>
        <v>2.5100000000000001E-3</v>
      </c>
      <c r="S75">
        <f t="shared" si="7"/>
        <v>2.5100000000000001E-3</v>
      </c>
      <c r="U75">
        <f t="shared" si="8"/>
        <v>1.9819999999999997E-2</v>
      </c>
      <c r="V75">
        <f t="shared" si="9"/>
        <v>1.9910000000000004E-2</v>
      </c>
      <c r="X75">
        <f>0.1*F25+(1-0.1)*B25</f>
        <v>2.5100000000000001E-3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2.5200000000000001E-3</v>
      </c>
      <c r="G81">
        <f t="shared" si="11"/>
        <v>2.5200000000000001E-3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2.5200000000000001E-3</v>
      </c>
      <c r="P81" s="21"/>
      <c r="Q81" t="s">
        <v>37</v>
      </c>
      <c r="R81">
        <f t="shared" si="14"/>
        <v>2.5299999999999997E-3</v>
      </c>
      <c r="S81">
        <f t="shared" si="15"/>
        <v>2.5299999999999997E-3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2.5299999999999997E-3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2.5100000000000005E-3</v>
      </c>
      <c r="G88">
        <f t="shared" si="19"/>
        <v>2.5100000000000005E-3</v>
      </c>
      <c r="H88">
        <f t="shared" si="20"/>
        <v>3.8602660000000002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2.5100000000000005E-3</v>
      </c>
      <c r="M88">
        <f>M25+I25+E25</f>
        <v>17.365479000000001</v>
      </c>
      <c r="O88" s="20"/>
      <c r="P88" s="21"/>
      <c r="Q88" t="s">
        <v>37</v>
      </c>
      <c r="R88">
        <f t="shared" si="24"/>
        <v>2.5200000000000005E-3</v>
      </c>
      <c r="S88">
        <f t="shared" si="25"/>
        <v>2.5200000000000005E-3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2.5200000000000005E-3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2.5400000000000002E-3</v>
      </c>
      <c r="G94">
        <f t="shared" si="29"/>
        <v>2.5400000000000002E-3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2.5400000000000002E-3</v>
      </c>
      <c r="O94" s="20"/>
      <c r="P94" s="21"/>
      <c r="Q94" t="s">
        <v>37</v>
      </c>
      <c r="R94">
        <f t="shared" si="32"/>
        <v>2.5599999999999998E-3</v>
      </c>
      <c r="S94">
        <f t="shared" si="33"/>
        <v>2.5599999999999998E-3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2.5599999999999998E-3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2.5149999999999999E-3</v>
      </c>
      <c r="G101">
        <f t="shared" si="37"/>
        <v>2.5150124999999998E-3</v>
      </c>
      <c r="H101">
        <f t="shared" si="38"/>
        <v>5.1133369999999996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2.5149999999999999E-3</v>
      </c>
      <c r="M101">
        <f>Q25+M25+I25+E25</f>
        <v>22.679182000000001</v>
      </c>
      <c r="N101" s="24"/>
      <c r="O101" s="20"/>
      <c r="P101" s="21"/>
      <c r="Q101" t="s">
        <v>37</v>
      </c>
      <c r="R101">
        <f t="shared" si="42"/>
        <v>2.5299999999999997E-3</v>
      </c>
      <c r="S101">
        <f t="shared" si="43"/>
        <v>2.5301E-3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2.5299999999999997E-3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2.5599999999999998E-3</v>
      </c>
      <c r="G107">
        <f t="shared" si="47"/>
        <v>2.5607999999999994E-3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2.5599999999999998E-3</v>
      </c>
      <c r="N107" s="24"/>
      <c r="O107" s="20"/>
      <c r="P107" s="21"/>
      <c r="Q107" t="s">
        <v>37</v>
      </c>
      <c r="R107">
        <f t="shared" si="50"/>
        <v>2.5900000000000003E-3</v>
      </c>
      <c r="S107">
        <f t="shared" si="51"/>
        <v>2.5926999999999999E-3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2.5900000000000003E-3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2.405E-3</v>
      </c>
      <c r="G114">
        <f t="shared" si="55"/>
        <v>2.405E-3</v>
      </c>
      <c r="H114">
        <f t="shared" si="56"/>
        <v>7.4225519999999996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2.405E-3</v>
      </c>
      <c r="M114">
        <f>AA25+W25</f>
        <v>11.769504</v>
      </c>
      <c r="P114" s="21"/>
      <c r="Q114" t="s">
        <v>37</v>
      </c>
      <c r="R114">
        <f t="shared" si="60"/>
        <v>2.4099999999999998E-3</v>
      </c>
      <c r="S114">
        <f t="shared" si="61"/>
        <v>2.4099999999999998E-3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2.4099999999999998E-3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2.4199999999999998E-3</v>
      </c>
      <c r="G120">
        <f t="shared" si="65"/>
        <v>2.4199999999999998E-3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2.4199999999999998E-3</v>
      </c>
      <c r="P120" s="21"/>
      <c r="Q120" t="s">
        <v>37</v>
      </c>
      <c r="R120">
        <f t="shared" si="68"/>
        <v>2.4299999999999999E-3</v>
      </c>
      <c r="S120">
        <f t="shared" si="69"/>
        <v>2.4299999999999999E-3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2.4299999999999999E-3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2.4099999999999998E-3</v>
      </c>
      <c r="G127">
        <f t="shared" si="73"/>
        <v>2.4099999999999998E-3</v>
      </c>
      <c r="H127">
        <f t="shared" si="74"/>
        <v>11.456772000000001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2.4099999999999998E-3</v>
      </c>
      <c r="M127">
        <f>AE25+AA25+W25</f>
        <v>17.819914000000001</v>
      </c>
      <c r="O127" s="20"/>
      <c r="P127" s="21"/>
      <c r="Q127" t="s">
        <v>37</v>
      </c>
      <c r="R127">
        <f t="shared" si="78"/>
        <v>2.4199999999999998E-3</v>
      </c>
      <c r="S127">
        <f t="shared" si="79"/>
        <v>2.4199999999999998E-3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2.4199999999999998E-3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2.4399999999999999E-3</v>
      </c>
      <c r="G133">
        <f t="shared" si="83"/>
        <v>2.4399999999999999E-3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2.4399999999999999E-3</v>
      </c>
      <c r="O133" s="20"/>
      <c r="P133" s="21"/>
      <c r="Q133" t="s">
        <v>37</v>
      </c>
      <c r="R133">
        <f t="shared" si="86"/>
        <v>2.4600000000000004E-3</v>
      </c>
      <c r="S133">
        <f t="shared" si="87"/>
        <v>2.4600000000000004E-3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2.4600000000000004E-3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2.4149999999999996E-3</v>
      </c>
      <c r="G140">
        <f t="shared" si="91"/>
        <v>2.4149999999999996E-3</v>
      </c>
      <c r="H140">
        <f t="shared" si="92"/>
        <v>14.814347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2.4149999999999996E-3</v>
      </c>
      <c r="M140">
        <f>AI25+AE25+AA25+W25</f>
        <v>23.873251</v>
      </c>
      <c r="N140" s="24"/>
      <c r="O140" s="20"/>
      <c r="P140" s="21"/>
      <c r="Q140" t="s">
        <v>37</v>
      </c>
      <c r="R140">
        <f t="shared" si="96"/>
        <v>2.4299999999999999E-3</v>
      </c>
      <c r="S140">
        <f t="shared" si="97"/>
        <v>2.4299999999999999E-3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2.4299999999999999E-3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2.4599999999999995E-3</v>
      </c>
      <c r="G146">
        <f t="shared" si="101"/>
        <v>2.4599999999999995E-3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2.4599999999999995E-3</v>
      </c>
      <c r="N146" s="24"/>
      <c r="O146" s="20"/>
      <c r="P146" s="21"/>
      <c r="Q146" t="s">
        <v>37</v>
      </c>
      <c r="R146">
        <f t="shared" si="104"/>
        <v>2.49E-3</v>
      </c>
      <c r="S146">
        <f t="shared" si="105"/>
        <v>2.49E-3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2.49E-3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1.905E-3</v>
      </c>
      <c r="G153">
        <f t="shared" si="109"/>
        <v>2.2049999999999999E-3</v>
      </c>
      <c r="H153">
        <f t="shared" si="110"/>
        <v>7.2387189999999997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2.1049999999999997E-3</v>
      </c>
      <c r="M153">
        <f>I46+E46</f>
        <v>11.630333</v>
      </c>
      <c r="P153" s="21"/>
      <c r="Q153" t="s">
        <v>37</v>
      </c>
      <c r="R153">
        <f t="shared" si="114"/>
        <v>1.91E-3</v>
      </c>
      <c r="S153">
        <f t="shared" si="115"/>
        <v>2.2100000000000002E-3</v>
      </c>
      <c r="U153">
        <f t="shared" si="116"/>
        <v>1.311E-2</v>
      </c>
      <c r="V153">
        <f t="shared" si="117"/>
        <v>1.6389999999999998E-2</v>
      </c>
      <c r="X153">
        <f>0.1*F46+(1-0.1)*B46</f>
        <v>2.1099999999999999E-3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1.92E-3</v>
      </c>
      <c r="G159">
        <f t="shared" si="119"/>
        <v>2.2200000000000002E-3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2.1200000000000004E-3</v>
      </c>
      <c r="P159" s="21"/>
      <c r="Q159" t="s">
        <v>37</v>
      </c>
      <c r="R159">
        <f t="shared" si="122"/>
        <v>1.9299999999999999E-3</v>
      </c>
      <c r="S159">
        <f t="shared" si="123"/>
        <v>2.2299999999999998E-3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2.1299999999999999E-3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1.9100000000000002E-3</v>
      </c>
      <c r="G166">
        <f t="shared" si="127"/>
        <v>2.2100000000000002E-3</v>
      </c>
      <c r="H166">
        <f t="shared" si="128"/>
        <v>10.675591000000001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2.1099999999999999E-3</v>
      </c>
      <c r="M166">
        <f>M46+I46+E46</f>
        <v>17.711908000000001</v>
      </c>
      <c r="O166" s="20"/>
      <c r="P166" s="21"/>
      <c r="Q166" t="s">
        <v>37</v>
      </c>
      <c r="R166">
        <f t="shared" si="132"/>
        <v>1.92E-3</v>
      </c>
      <c r="S166">
        <f t="shared" si="133"/>
        <v>2.2200000000000002E-3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2.1200000000000004E-3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1.9399999999999999E-3</v>
      </c>
      <c r="G172">
        <f t="shared" si="137"/>
        <v>2.2400000000000002E-3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2.14E-3</v>
      </c>
      <c r="O172" s="20"/>
      <c r="P172" s="21"/>
      <c r="Q172" t="s">
        <v>37</v>
      </c>
      <c r="R172">
        <f t="shared" si="140"/>
        <v>1.9599999999999999E-3</v>
      </c>
      <c r="S172">
        <f t="shared" si="141"/>
        <v>2.2599999999999999E-3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2.1600000000000005E-3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1.9149999999999996E-3</v>
      </c>
      <c r="G179">
        <f t="shared" si="145"/>
        <v>2.215E-3</v>
      </c>
      <c r="H179">
        <f t="shared" si="146"/>
        <v>14.034591000000001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2.1149999999999997E-3</v>
      </c>
      <c r="M179">
        <f>Q46+M46+I46+E46</f>
        <v>23.755549999999999</v>
      </c>
      <c r="N179" s="24"/>
      <c r="O179" s="20"/>
      <c r="P179" s="21"/>
      <c r="Q179" t="s">
        <v>37</v>
      </c>
      <c r="R179">
        <f t="shared" si="150"/>
        <v>1.9299999999999999E-3</v>
      </c>
      <c r="S179">
        <f t="shared" si="151"/>
        <v>2.2300000000000002E-3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2.1299999999999999E-3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1.9599999999999999E-3</v>
      </c>
      <c r="G185">
        <f t="shared" si="155"/>
        <v>2.2599999999999999E-3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2.1599999999999996E-3</v>
      </c>
      <c r="N185" s="24"/>
      <c r="O185" s="20"/>
      <c r="P185" s="21"/>
      <c r="Q185" t="s">
        <v>37</v>
      </c>
      <c r="R185">
        <f t="shared" si="158"/>
        <v>1.99E-3</v>
      </c>
      <c r="S185">
        <f t="shared" si="159"/>
        <v>2.2900000000000004E-3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2.1900000000000001E-3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9.0499999999999999E-4</v>
      </c>
      <c r="G192">
        <f t="shared" si="163"/>
        <v>1.805E-3</v>
      </c>
      <c r="H192">
        <f t="shared" si="164"/>
        <v>6.659243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 s="8">
        <f>0.05*X46+(1-0.05)*T46</f>
        <v>1.505E-3</v>
      </c>
      <c r="M192" s="8">
        <f>AA46+W46</f>
        <v>11.648593999999999</v>
      </c>
      <c r="P192" s="21"/>
      <c r="Q192" t="s">
        <v>37</v>
      </c>
      <c r="R192">
        <f t="shared" si="168"/>
        <v>9.1E-4</v>
      </c>
      <c r="S192">
        <f t="shared" si="169"/>
        <v>1.81E-3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1.5100000000000001E-3</v>
      </c>
    </row>
    <row r="193" spans="2:25" x14ac:dyDescent="0.25">
      <c r="C193" s="22"/>
      <c r="L193" s="8"/>
      <c r="M193" s="8"/>
    </row>
    <row r="194" spans="2:25" x14ac:dyDescent="0.25">
      <c r="C194" s="22"/>
      <c r="L194" s="8"/>
      <c r="M194" s="8"/>
    </row>
    <row r="195" spans="2:25" x14ac:dyDescent="0.25">
      <c r="C195" s="22"/>
      <c r="L195" s="8"/>
      <c r="M195" s="8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 s="8"/>
      <c r="M196" s="8"/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L197" s="8"/>
      <c r="M197" s="8"/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9.2000000000000003E-4</v>
      </c>
      <c r="G198">
        <f t="shared" si="173"/>
        <v>1.82E-3</v>
      </c>
      <c r="I198">
        <f t="shared" si="174"/>
        <v>7.6800000000000002E-3</v>
      </c>
      <c r="J198">
        <f t="shared" si="175"/>
        <v>1.3339999999999999E-2</v>
      </c>
      <c r="L198" s="8">
        <f>0.2*X46+(1-0.2)*T46</f>
        <v>1.5200000000000001E-3</v>
      </c>
      <c r="M198" s="8"/>
      <c r="P198" s="21"/>
      <c r="Q198" t="s">
        <v>37</v>
      </c>
      <c r="R198">
        <f t="shared" si="176"/>
        <v>9.2999999999999984E-4</v>
      </c>
      <c r="S198">
        <f t="shared" si="177"/>
        <v>1.8299999999999998E-3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1.5299999999999999E-3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9.0975000000000008E-4</v>
      </c>
      <c r="G205">
        <f t="shared" si="181"/>
        <v>1.81E-3</v>
      </c>
      <c r="H205">
        <f t="shared" si="182"/>
        <v>10.136571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1.5097500000000002E-3</v>
      </c>
      <c r="M205">
        <f>AE46+AA46+W46</f>
        <v>18.003499999999999</v>
      </c>
      <c r="O205" s="20"/>
      <c r="P205" s="21"/>
      <c r="Q205" t="s">
        <v>37</v>
      </c>
      <c r="R205">
        <f t="shared" si="185"/>
        <v>9.1900000000000011E-4</v>
      </c>
      <c r="S205">
        <f t="shared" si="186"/>
        <v>1.82E-3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1.5190000000000002E-3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9.3599999999999998E-4</v>
      </c>
      <c r="G211">
        <f t="shared" si="190"/>
        <v>1.8400000000000001E-3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1.536E-3</v>
      </c>
      <c r="O211" s="20"/>
      <c r="P211" s="21"/>
      <c r="Q211" t="s">
        <v>37</v>
      </c>
      <c r="R211">
        <f t="shared" si="193"/>
        <v>9.5100000000000013E-4</v>
      </c>
      <c r="S211">
        <f t="shared" si="194"/>
        <v>1.8600000000000001E-3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1.5510000000000003E-3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9.1427499999999988E-4</v>
      </c>
      <c r="G218">
        <f t="shared" si="198"/>
        <v>1.8149999999999998E-3</v>
      </c>
      <c r="H218">
        <f t="shared" si="199"/>
        <v>13.422479000000001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1.5142749999999998E-3</v>
      </c>
      <c r="M218">
        <f>AI46+AE46+AA46+W46</f>
        <v>24.451650999999998</v>
      </c>
      <c r="N218" s="24"/>
      <c r="O218" s="20"/>
      <c r="P218" s="21"/>
      <c r="Q218" t="s">
        <v>37</v>
      </c>
      <c r="R218">
        <f t="shared" si="203"/>
        <v>9.2719999999999999E-4</v>
      </c>
      <c r="S218">
        <f t="shared" si="204"/>
        <v>1.83E-3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1.5272E-3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9.4959999999999999E-4</v>
      </c>
      <c r="G224">
        <f t="shared" si="208"/>
        <v>1.8599999999999999E-3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1.5495999999999999E-3</v>
      </c>
      <c r="N224" s="24"/>
      <c r="O224" s="20"/>
      <c r="P224" s="21"/>
      <c r="Q224" t="s">
        <v>37</v>
      </c>
      <c r="R224">
        <f t="shared" si="211"/>
        <v>9.6840000000000012E-4</v>
      </c>
      <c r="S224">
        <f t="shared" si="212"/>
        <v>1.8900000000000002E-3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1.5684000000000002E-3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1.1049999999999999E-3</v>
      </c>
      <c r="H231">
        <f t="shared" si="217"/>
        <v>6.3798700000000004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6.3573999999999998E-4</v>
      </c>
      <c r="M231">
        <f>I66+E66</f>
        <v>12.150359</v>
      </c>
      <c r="P231" s="21"/>
      <c r="Q231" t="s">
        <v>37</v>
      </c>
      <c r="R231">
        <f t="shared" si="221"/>
        <v>4.0000000000000002E-4</v>
      </c>
      <c r="S231">
        <f t="shared" si="222"/>
        <v>1.1099999999999999E-3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6.0228000000000007E-4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1.1200000000000001E-3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5.3536000000000002E-4</v>
      </c>
      <c r="P237" s="21"/>
      <c r="Q237" t="s">
        <v>37</v>
      </c>
      <c r="R237">
        <f t="shared" si="229"/>
        <v>3.9999999999999996E-4</v>
      </c>
      <c r="S237">
        <f t="shared" si="230"/>
        <v>1.1299999999999999E-3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4.6843999999999998E-4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1.1097500000000001E-3</v>
      </c>
      <c r="H244">
        <f t="shared" si="235"/>
        <v>9.8306830000000005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6.0585475000000011E-4</v>
      </c>
      <c r="M244">
        <f>M66+I66+E66</f>
        <v>17.505375000000001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1.1190000000000002E-3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5.4965899999999998E-4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1.1360000000000001E-3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4.5871599999999991E-4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1.1510000000000001E-3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3.9637100000000007E-4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1.1142749999999999E-3</v>
      </c>
      <c r="H257">
        <f t="shared" si="253"/>
        <v>13.626149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5.7927614999999993E-4</v>
      </c>
      <c r="M257">
        <f>Q66+M66+I66+E66</f>
        <v>23.353904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1.1272000000000001E-3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5.0919219999999985E-4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1.1496E-3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4.2210959999999993E-4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1.1684E-3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3.9508340000000009E-4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76</v>
      </c>
      <c r="C9" s="16"/>
      <c r="D9" s="16"/>
      <c r="E9" s="16"/>
      <c r="F9" s="16" t="s">
        <v>77</v>
      </c>
      <c r="G9" s="16"/>
      <c r="H9" s="16"/>
      <c r="I9" s="16"/>
      <c r="J9" s="16" t="s">
        <v>78</v>
      </c>
      <c r="K9" s="16"/>
      <c r="L9" s="16"/>
      <c r="M9" s="16"/>
      <c r="N9" s="16" t="s">
        <v>79</v>
      </c>
      <c r="O9" s="16"/>
      <c r="P9" s="16"/>
      <c r="Q9" s="16"/>
      <c r="S9" s="22" t="s">
        <v>12</v>
      </c>
      <c r="T9" s="16" t="s">
        <v>76</v>
      </c>
      <c r="U9" s="16"/>
      <c r="V9" s="16"/>
      <c r="W9" s="16"/>
      <c r="X9" s="16" t="s">
        <v>77</v>
      </c>
      <c r="Y9" s="16"/>
      <c r="Z9" s="16"/>
      <c r="AA9" s="16"/>
      <c r="AB9" s="16" t="s">
        <v>78</v>
      </c>
      <c r="AC9" s="16"/>
      <c r="AD9" s="16"/>
      <c r="AE9" s="16"/>
      <c r="AF9" s="16" t="s">
        <v>79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2.3999999999999998E-3</v>
      </c>
      <c r="D13" s="10">
        <v>2.3999999999999998E-3</v>
      </c>
      <c r="E13" s="10">
        <v>1.3771789999999999</v>
      </c>
      <c r="F13" t="s">
        <v>22</v>
      </c>
      <c r="G13" s="10">
        <v>2.5000000000000001E-3</v>
      </c>
      <c r="H13" s="10">
        <v>2.5000000000000001E-3</v>
      </c>
      <c r="I13" s="10">
        <v>1.5323329999999999</v>
      </c>
      <c r="J13" t="s">
        <v>22</v>
      </c>
      <c r="K13" s="10">
        <v>2.5999999999999999E-3</v>
      </c>
      <c r="L13" s="10">
        <v>2.5999999999999999E-3</v>
      </c>
      <c r="M13" s="10">
        <v>1.5350600000000001</v>
      </c>
      <c r="N13" t="s">
        <v>22</v>
      </c>
      <c r="O13" s="10">
        <v>2.7000000000000001E-3</v>
      </c>
      <c r="P13" s="10">
        <v>2.7000000000000001E-3</v>
      </c>
      <c r="Q13" s="10">
        <v>1.515353</v>
      </c>
      <c r="S13" s="22"/>
      <c r="T13" t="s">
        <v>22</v>
      </c>
      <c r="U13">
        <v>2.3E-3</v>
      </c>
      <c r="V13">
        <v>2.3E-3</v>
      </c>
      <c r="W13">
        <v>3.4802569999999999</v>
      </c>
      <c r="X13" t="s">
        <v>22</v>
      </c>
      <c r="Y13">
        <v>2.3999999999999998E-3</v>
      </c>
      <c r="Z13">
        <v>2.3999999999999998E-3</v>
      </c>
      <c r="AA13">
        <v>3.50407</v>
      </c>
      <c r="AB13" t="s">
        <v>22</v>
      </c>
      <c r="AC13">
        <v>2.5000000000000001E-3</v>
      </c>
      <c r="AD13">
        <v>2.5000000000000001E-3</v>
      </c>
      <c r="AE13">
        <v>3.1173570000000002</v>
      </c>
      <c r="AF13" t="s">
        <v>22</v>
      </c>
      <c r="AG13">
        <v>2.5999999999999999E-3</v>
      </c>
      <c r="AH13">
        <v>2.5999999999999999E-3</v>
      </c>
      <c r="AI13">
        <v>3.5324460000000002</v>
      </c>
    </row>
    <row r="16" spans="1:35" x14ac:dyDescent="0.25">
      <c r="A16" s="18" t="s">
        <v>23</v>
      </c>
      <c r="B16" s="16" t="s">
        <v>76</v>
      </c>
      <c r="C16" s="16"/>
      <c r="D16" s="16"/>
      <c r="E16" s="16"/>
      <c r="F16" s="16" t="s">
        <v>77</v>
      </c>
      <c r="G16" s="16"/>
      <c r="H16" s="16"/>
      <c r="I16" s="16"/>
      <c r="J16" s="16" t="s">
        <v>78</v>
      </c>
      <c r="K16" s="16"/>
      <c r="L16" s="16"/>
      <c r="M16" s="16"/>
      <c r="N16" s="16" t="s">
        <v>79</v>
      </c>
      <c r="O16" s="16"/>
      <c r="P16" s="16"/>
      <c r="Q16" s="16"/>
      <c r="S16" s="18" t="s">
        <v>23</v>
      </c>
      <c r="T16" s="16" t="s">
        <v>76</v>
      </c>
      <c r="U16" s="16"/>
      <c r="V16" s="16"/>
      <c r="W16" s="16"/>
      <c r="X16" s="16" t="s">
        <v>77</v>
      </c>
      <c r="Y16" s="16"/>
      <c r="Z16" s="16"/>
      <c r="AA16" s="16"/>
      <c r="AB16" s="16" t="s">
        <v>78</v>
      </c>
      <c r="AC16" s="16"/>
      <c r="AD16" s="16"/>
      <c r="AE16" s="16"/>
      <c r="AF16" s="16" t="s">
        <v>79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2.5000000000000001E-3</v>
      </c>
      <c r="AD20">
        <v>2.5000000000000001E-3</v>
      </c>
      <c r="AE20">
        <v>3.1173570000000002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76</v>
      </c>
      <c r="C23" s="16"/>
      <c r="D23" s="16"/>
      <c r="E23" s="16"/>
      <c r="F23" s="16" t="s">
        <v>77</v>
      </c>
      <c r="G23" s="16"/>
      <c r="H23" s="16"/>
      <c r="I23" s="16"/>
      <c r="J23" s="16" t="s">
        <v>78</v>
      </c>
      <c r="K23" s="16"/>
      <c r="L23" s="16"/>
      <c r="M23" s="16"/>
      <c r="N23" s="16" t="s">
        <v>79</v>
      </c>
      <c r="O23" s="16"/>
      <c r="P23" s="16"/>
      <c r="Q23" s="16"/>
      <c r="S23" s="23" t="s">
        <v>24</v>
      </c>
      <c r="T23" s="16" t="s">
        <v>76</v>
      </c>
      <c r="U23" s="16"/>
      <c r="V23" s="16"/>
      <c r="W23" s="16"/>
      <c r="X23" s="16" t="s">
        <v>77</v>
      </c>
      <c r="Y23" s="16"/>
      <c r="Z23" s="16"/>
      <c r="AA23" s="16"/>
      <c r="AB23" s="16" t="s">
        <v>78</v>
      </c>
      <c r="AC23" s="16"/>
      <c r="AD23" s="16"/>
      <c r="AE23" s="16"/>
      <c r="AF23" s="16" t="s">
        <v>79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2.3999999999999998E-3</v>
      </c>
      <c r="C25" s="6"/>
      <c r="D25" s="6"/>
      <c r="E25">
        <v>5.2312760000000003</v>
      </c>
      <c r="F25" s="6">
        <v>2.5000000000000001E-3</v>
      </c>
      <c r="G25" s="6"/>
      <c r="H25" s="6"/>
      <c r="I25">
        <v>5.2061710000000003</v>
      </c>
      <c r="J25">
        <v>2.5999999999999999E-3</v>
      </c>
      <c r="K25" s="6"/>
      <c r="L25" s="6"/>
      <c r="M25">
        <v>5.1144550000000004</v>
      </c>
      <c r="N25" s="6">
        <v>3.2000000000000001E-2</v>
      </c>
      <c r="O25" s="6"/>
      <c r="P25" s="6"/>
      <c r="Q25">
        <v>5.0235180000000001</v>
      </c>
      <c r="S25" s="23"/>
      <c r="T25" s="6">
        <v>2.3E-3</v>
      </c>
      <c r="U25" s="6"/>
      <c r="V25" s="6"/>
      <c r="W25">
        <v>5.6954099999999999</v>
      </c>
      <c r="X25" s="6">
        <v>2.3999999999999998E-3</v>
      </c>
      <c r="Y25" s="6"/>
      <c r="Z25" s="6"/>
      <c r="AA25">
        <v>5.6876470000000001</v>
      </c>
      <c r="AB25" s="6">
        <v>2.5000000000000001E-3</v>
      </c>
      <c r="AC25" s="6"/>
      <c r="AD25" s="6"/>
      <c r="AE25">
        <v>5.1747329999999998</v>
      </c>
      <c r="AF25" s="6">
        <v>2.5999999999999999E-3</v>
      </c>
      <c r="AG25" s="6"/>
      <c r="AH25" s="6"/>
      <c r="AI25">
        <v>5.1485260000000004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76</v>
      </c>
      <c r="C30" s="16"/>
      <c r="D30" s="16"/>
      <c r="E30" s="16"/>
      <c r="F30" s="16" t="s">
        <v>77</v>
      </c>
      <c r="G30" s="16"/>
      <c r="H30" s="16"/>
      <c r="I30" s="16"/>
      <c r="J30" s="16" t="s">
        <v>78</v>
      </c>
      <c r="K30" s="16"/>
      <c r="L30" s="16"/>
      <c r="M30" s="16"/>
      <c r="N30" s="16" t="s">
        <v>79</v>
      </c>
      <c r="O30" s="16"/>
      <c r="P30" s="16"/>
      <c r="Q30" s="16"/>
      <c r="S30" s="22" t="s">
        <v>12</v>
      </c>
      <c r="T30" s="16" t="s">
        <v>76</v>
      </c>
      <c r="U30" s="16"/>
      <c r="V30" s="16"/>
      <c r="W30" s="16"/>
      <c r="X30" s="16" t="s">
        <v>77</v>
      </c>
      <c r="Y30" s="16"/>
      <c r="Z30" s="16"/>
      <c r="AA30" s="16"/>
      <c r="AB30" s="16" t="s">
        <v>78</v>
      </c>
      <c r="AC30" s="16"/>
      <c r="AD30" s="16"/>
      <c r="AE30" s="16"/>
      <c r="AF30" s="16" t="s">
        <v>79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1.8E-3</v>
      </c>
      <c r="D34">
        <v>2.0999999999999999E-3</v>
      </c>
      <c r="E34">
        <v>3.3042950000000002</v>
      </c>
      <c r="F34" t="s">
        <v>22</v>
      </c>
      <c r="G34">
        <v>1.9E-3</v>
      </c>
      <c r="H34">
        <v>2.2000000000000001E-3</v>
      </c>
      <c r="I34">
        <v>3.519396</v>
      </c>
      <c r="J34" t="s">
        <v>22</v>
      </c>
      <c r="K34" s="8">
        <v>2E-3</v>
      </c>
      <c r="L34" s="10">
        <v>2.3E-3</v>
      </c>
      <c r="M34">
        <v>3.3437450000000002</v>
      </c>
      <c r="N34" t="s">
        <v>22</v>
      </c>
      <c r="O34">
        <v>2.0999999999999999E-3</v>
      </c>
      <c r="P34">
        <v>2.3999999999999998E-3</v>
      </c>
      <c r="Q34">
        <v>3.1136379999999999</v>
      </c>
      <c r="S34" s="22"/>
      <c r="T34" t="s">
        <v>22</v>
      </c>
      <c r="U34">
        <v>8.9999999999999998E-4</v>
      </c>
      <c r="V34">
        <v>1.6999999999999999E-3</v>
      </c>
      <c r="W34">
        <v>3.423616</v>
      </c>
      <c r="X34" t="s">
        <v>22</v>
      </c>
      <c r="Y34">
        <v>1E-3</v>
      </c>
      <c r="Z34">
        <v>1.8E-3</v>
      </c>
      <c r="AA34">
        <v>3.5039419999999999</v>
      </c>
      <c r="AB34" t="s">
        <v>22</v>
      </c>
      <c r="AC34">
        <v>1E-3</v>
      </c>
      <c r="AD34">
        <v>1.9E-3</v>
      </c>
      <c r="AE34">
        <v>3.362835</v>
      </c>
      <c r="AF34" t="s">
        <v>22</v>
      </c>
      <c r="AG34">
        <v>1.1000000000000001E-3</v>
      </c>
      <c r="AH34" s="11">
        <v>2E-3</v>
      </c>
      <c r="AI34">
        <v>3.3778090000000001</v>
      </c>
    </row>
    <row r="37" spans="1:35" x14ac:dyDescent="0.25">
      <c r="A37" s="18" t="s">
        <v>23</v>
      </c>
      <c r="B37" s="16" t="s">
        <v>76</v>
      </c>
      <c r="C37" s="16"/>
      <c r="D37" s="16"/>
      <c r="E37" s="16"/>
      <c r="F37" s="16" t="s">
        <v>77</v>
      </c>
      <c r="G37" s="16"/>
      <c r="H37" s="16"/>
      <c r="I37" s="16"/>
      <c r="J37" s="16" t="s">
        <v>78</v>
      </c>
      <c r="K37" s="16"/>
      <c r="L37" s="16"/>
      <c r="M37" s="16"/>
      <c r="N37" s="16" t="s">
        <v>79</v>
      </c>
      <c r="O37" s="16"/>
      <c r="P37" s="16"/>
      <c r="Q37" s="16"/>
      <c r="S37" s="18" t="s">
        <v>23</v>
      </c>
      <c r="T37" s="16" t="s">
        <v>76</v>
      </c>
      <c r="U37" s="16"/>
      <c r="V37" s="16"/>
      <c r="W37" s="16"/>
      <c r="X37" s="16" t="s">
        <v>77</v>
      </c>
      <c r="Y37" s="16"/>
      <c r="Z37" s="16"/>
      <c r="AA37" s="16"/>
      <c r="AB37" s="16" t="s">
        <v>78</v>
      </c>
      <c r="AC37" s="16"/>
      <c r="AD37" s="16"/>
      <c r="AE37" s="16"/>
      <c r="AF37" s="16" t="s">
        <v>79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76</v>
      </c>
      <c r="C44" s="16"/>
      <c r="D44" s="16"/>
      <c r="E44" s="16"/>
      <c r="F44" s="16" t="s">
        <v>77</v>
      </c>
      <c r="G44" s="16"/>
      <c r="H44" s="16"/>
      <c r="I44" s="16"/>
      <c r="J44" s="16" t="s">
        <v>78</v>
      </c>
      <c r="K44" s="16"/>
      <c r="L44" s="16"/>
      <c r="M44" s="16"/>
      <c r="N44" s="16" t="s">
        <v>79</v>
      </c>
      <c r="O44" s="16"/>
      <c r="P44" s="16"/>
      <c r="Q44" s="16"/>
      <c r="S44" s="23" t="s">
        <v>24</v>
      </c>
      <c r="T44" s="16" t="s">
        <v>76</v>
      </c>
      <c r="U44" s="16"/>
      <c r="V44" s="16"/>
      <c r="W44" s="16"/>
      <c r="X44" s="16" t="s">
        <v>77</v>
      </c>
      <c r="Y44" s="16"/>
      <c r="Z44" s="16"/>
      <c r="AA44" s="16"/>
      <c r="AB44" s="16" t="s">
        <v>78</v>
      </c>
      <c r="AC44" s="16"/>
      <c r="AD44" s="16"/>
      <c r="AE44" s="16"/>
      <c r="AF44" s="16" t="s">
        <v>79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2E-3</v>
      </c>
      <c r="C46" s="6"/>
      <c r="D46" s="6"/>
      <c r="E46">
        <v>5.0517089999999998</v>
      </c>
      <c r="F46" s="6">
        <v>2.0999999999999999E-3</v>
      </c>
      <c r="G46" s="6"/>
      <c r="H46" s="6"/>
      <c r="I46">
        <v>5.1827500000000004</v>
      </c>
      <c r="J46" s="6">
        <v>2.2000000000000001E-3</v>
      </c>
      <c r="K46" s="6"/>
      <c r="L46" s="6"/>
      <c r="M46">
        <v>5.075761</v>
      </c>
      <c r="N46" s="6">
        <v>2.3E-3</v>
      </c>
      <c r="O46" s="6"/>
      <c r="P46" s="6"/>
      <c r="Q46">
        <v>5.2545450000000002</v>
      </c>
      <c r="S46" s="23"/>
      <c r="T46" s="6">
        <v>1.5E-3</v>
      </c>
      <c r="U46" s="6"/>
      <c r="V46" s="6"/>
      <c r="W46">
        <v>5.6882869999999999</v>
      </c>
      <c r="X46" s="6">
        <v>1.5E-3</v>
      </c>
      <c r="Y46" s="6"/>
      <c r="Z46" s="6"/>
      <c r="AA46">
        <v>5.0733980000000001</v>
      </c>
      <c r="AB46" s="6">
        <v>1.6000000000000001E-3</v>
      </c>
      <c r="AC46" s="6"/>
      <c r="AD46" s="6"/>
      <c r="AE46">
        <v>5.4504349999999997</v>
      </c>
      <c r="AF46" s="6">
        <v>1.6999999999999999E-3</v>
      </c>
      <c r="AG46" s="6"/>
      <c r="AH46" s="6"/>
      <c r="AI46">
        <v>5.6915040000000001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76</v>
      </c>
      <c r="C50" s="16"/>
      <c r="D50" s="16"/>
      <c r="E50" s="16"/>
      <c r="F50" s="16" t="s">
        <v>77</v>
      </c>
      <c r="G50" s="16"/>
      <c r="H50" s="16"/>
      <c r="I50" s="16"/>
      <c r="J50" s="16" t="s">
        <v>78</v>
      </c>
      <c r="K50" s="16"/>
      <c r="L50" s="16"/>
      <c r="M50" s="16"/>
      <c r="N50" s="16" t="s">
        <v>79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>
        <v>4.0000000000000002E-4</v>
      </c>
      <c r="D54">
        <v>1.1000000000000001E-3</v>
      </c>
      <c r="E54">
        <v>3.035838</v>
      </c>
      <c r="F54" t="s">
        <v>22</v>
      </c>
      <c r="G54">
        <v>4.0000000000000002E-4</v>
      </c>
      <c r="H54">
        <v>1.1000000000000001E-3</v>
      </c>
      <c r="I54">
        <v>3.208199</v>
      </c>
      <c r="J54" t="s">
        <v>22</v>
      </c>
      <c r="K54">
        <v>4.0000000000000002E-4</v>
      </c>
      <c r="L54">
        <v>1.1999999999999999E-3</v>
      </c>
      <c r="M54">
        <v>3.1718229999999998</v>
      </c>
      <c r="N54" t="s">
        <v>22</v>
      </c>
      <c r="O54">
        <v>4.0000000000000002E-4</v>
      </c>
      <c r="P54">
        <v>1.1999999999999999E-3</v>
      </c>
      <c r="Q54">
        <v>3.2303739999999999</v>
      </c>
    </row>
    <row r="57" spans="1:17" x14ac:dyDescent="0.25">
      <c r="A57" s="18" t="s">
        <v>23</v>
      </c>
      <c r="B57" s="16" t="s">
        <v>76</v>
      </c>
      <c r="C57" s="16"/>
      <c r="D57" s="16"/>
      <c r="E57" s="16"/>
      <c r="F57" s="16" t="s">
        <v>77</v>
      </c>
      <c r="G57" s="16"/>
      <c r="H57" s="16"/>
      <c r="I57" s="16"/>
      <c r="J57" s="16" t="s">
        <v>78</v>
      </c>
      <c r="K57" s="16"/>
      <c r="L57" s="16"/>
      <c r="M57" s="16"/>
      <c r="N57" s="16" t="s">
        <v>79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76</v>
      </c>
      <c r="C64" s="16"/>
      <c r="D64" s="16"/>
      <c r="E64" s="16"/>
      <c r="F64" s="16" t="s">
        <v>77</v>
      </c>
      <c r="G64" s="16"/>
      <c r="H64" s="16"/>
      <c r="I64" s="16"/>
      <c r="J64" s="16" t="s">
        <v>78</v>
      </c>
      <c r="K64" s="16"/>
      <c r="L64" s="16"/>
      <c r="M64" s="16"/>
      <c r="N64" s="16" t="s">
        <v>79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6.5530000000000004E-4</v>
      </c>
      <c r="C66" s="6"/>
      <c r="D66" s="6"/>
      <c r="E66">
        <v>5.3579749999999997</v>
      </c>
      <c r="F66" s="6"/>
      <c r="G66" s="3">
        <v>7.0989999999999996E-4</v>
      </c>
      <c r="H66" s="6"/>
      <c r="I66">
        <v>5.1255129999999998</v>
      </c>
      <c r="J66" s="3">
        <v>7.3890000000000002E-4</v>
      </c>
      <c r="K66" s="6"/>
      <c r="L66" s="6"/>
      <c r="M66">
        <v>5.1542599999999998</v>
      </c>
      <c r="N66" s="3">
        <v>7.9230000000000001E-4</v>
      </c>
      <c r="O66" s="6"/>
      <c r="P66" s="6"/>
      <c r="Q66">
        <v>5.3995389999999999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2.405E-3</v>
      </c>
      <c r="G75">
        <f t="shared" si="1"/>
        <v>2.405E-3</v>
      </c>
      <c r="H75">
        <f t="shared" si="2"/>
        <v>2.9095119999999999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2.405E-3</v>
      </c>
      <c r="M75">
        <f>I25+E25</f>
        <v>10.437447000000001</v>
      </c>
      <c r="P75" s="21"/>
      <c r="Q75" t="s">
        <v>37</v>
      </c>
      <c r="R75">
        <f t="shared" si="6"/>
        <v>2.4099999999999998E-3</v>
      </c>
      <c r="S75">
        <f t="shared" si="7"/>
        <v>2.4099999999999998E-3</v>
      </c>
      <c r="U75">
        <f t="shared" si="8"/>
        <v>1.9819999999999997E-2</v>
      </c>
      <c r="V75">
        <f t="shared" si="9"/>
        <v>1.9910000000000004E-2</v>
      </c>
      <c r="X75">
        <f>0.1*F25+(1-0.1)*B25</f>
        <v>2.4099999999999998E-3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2.4199999999999998E-3</v>
      </c>
      <c r="G81">
        <f t="shared" si="11"/>
        <v>2.4199999999999998E-3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2.4199999999999998E-3</v>
      </c>
      <c r="P81" s="21"/>
      <c r="Q81" t="s">
        <v>37</v>
      </c>
      <c r="R81">
        <f t="shared" si="14"/>
        <v>2.4299999999999999E-3</v>
      </c>
      <c r="S81">
        <f t="shared" si="15"/>
        <v>2.4299999999999999E-3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2.4299999999999999E-3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2.4099999999999998E-3</v>
      </c>
      <c r="G88">
        <f t="shared" si="19"/>
        <v>2.4099999999999998E-3</v>
      </c>
      <c r="H88">
        <f t="shared" si="20"/>
        <v>4.444572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2.4099999999999998E-3</v>
      </c>
      <c r="M88">
        <f>M25+I25+E25</f>
        <v>15.551902000000002</v>
      </c>
      <c r="O88" s="20"/>
      <c r="P88" s="21"/>
      <c r="Q88" t="s">
        <v>37</v>
      </c>
      <c r="R88">
        <f t="shared" si="24"/>
        <v>2.4199999999999998E-3</v>
      </c>
      <c r="S88">
        <f t="shared" si="25"/>
        <v>2.4199999999999998E-3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2.4199999999999998E-3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2.4399999999999999E-3</v>
      </c>
      <c r="G94">
        <f t="shared" si="29"/>
        <v>2.4399999999999999E-3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2.4399999999999999E-3</v>
      </c>
      <c r="O94" s="20"/>
      <c r="P94" s="21"/>
      <c r="Q94" t="s">
        <v>37</v>
      </c>
      <c r="R94">
        <f t="shared" si="32"/>
        <v>2.4600000000000004E-3</v>
      </c>
      <c r="S94">
        <f t="shared" si="33"/>
        <v>2.4600000000000004E-3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2.4600000000000004E-3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2.4149999999999996E-3</v>
      </c>
      <c r="G101">
        <f t="shared" si="37"/>
        <v>2.4149999999999996E-3</v>
      </c>
      <c r="H101">
        <f t="shared" si="38"/>
        <v>5.9599250000000001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2.4186624999999995E-3</v>
      </c>
      <c r="M101">
        <f>Q25+M25+I25+E25</f>
        <v>20.575420000000001</v>
      </c>
      <c r="N101" s="24"/>
      <c r="O101" s="20"/>
      <c r="P101" s="21"/>
      <c r="Q101" t="s">
        <v>37</v>
      </c>
      <c r="R101">
        <f t="shared" si="42"/>
        <v>2.4299999999999999E-3</v>
      </c>
      <c r="S101">
        <f t="shared" si="43"/>
        <v>2.4299999999999999E-3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2.4592999999999998E-3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2.4599999999999995E-3</v>
      </c>
      <c r="G107">
        <f t="shared" si="47"/>
        <v>2.4599999999999995E-3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2.6943999999999996E-3</v>
      </c>
      <c r="N107" s="24"/>
      <c r="O107" s="20"/>
      <c r="P107" s="21"/>
      <c r="Q107" t="s">
        <v>37</v>
      </c>
      <c r="R107">
        <f t="shared" si="50"/>
        <v>2.49E-3</v>
      </c>
      <c r="S107">
        <f t="shared" si="51"/>
        <v>2.49E-3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3.2811000000000003E-3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2.3049999999999998E-3</v>
      </c>
      <c r="G114">
        <f t="shared" si="55"/>
        <v>2.3049999999999998E-3</v>
      </c>
      <c r="H114">
        <f t="shared" si="56"/>
        <v>6.9843270000000004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2.3049999999999998E-3</v>
      </c>
      <c r="M114">
        <f>AA25+W25</f>
        <v>11.383057000000001</v>
      </c>
      <c r="P114" s="21"/>
      <c r="Q114" t="s">
        <v>37</v>
      </c>
      <c r="R114">
        <f t="shared" si="60"/>
        <v>2.3100000000000004E-3</v>
      </c>
      <c r="S114">
        <f t="shared" si="61"/>
        <v>2.3100000000000004E-3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2.3100000000000004E-3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2.32E-3</v>
      </c>
      <c r="G120">
        <f t="shared" si="65"/>
        <v>2.32E-3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2.32E-3</v>
      </c>
      <c r="P120" s="21"/>
      <c r="Q120" t="s">
        <v>37</v>
      </c>
      <c r="R120">
        <f t="shared" si="68"/>
        <v>2.3299999999999996E-3</v>
      </c>
      <c r="S120">
        <f t="shared" si="69"/>
        <v>2.3299999999999996E-3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2.3299999999999996E-3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2.3100000000000004E-3</v>
      </c>
      <c r="G127">
        <f t="shared" si="73"/>
        <v>2.3100000000000004E-3</v>
      </c>
      <c r="H127">
        <f t="shared" si="74"/>
        <v>10.101684000000001</v>
      </c>
      <c r="I127">
        <f t="shared" si="75"/>
        <v>1.7956500000000004E-2</v>
      </c>
      <c r="J127">
        <f t="shared" si="76"/>
        <v>1.8455250000000003E-2</v>
      </c>
      <c r="K127">
        <f t="shared" si="77"/>
        <v>784.58625200000006</v>
      </c>
      <c r="L127">
        <f>(0.05*(1-0.05)+0.05*(1-0.05))*X25+0.05*0.05*AB25+(1-0.05*(1-0.05)-0.05*(1-0.05)-0.05*0.05)*T25</f>
        <v>2.3100000000000004E-3</v>
      </c>
      <c r="M127">
        <f>AE25+AA25+W25</f>
        <v>16.557790000000001</v>
      </c>
      <c r="O127" s="20"/>
      <c r="P127" s="21"/>
      <c r="Q127" t="s">
        <v>37</v>
      </c>
      <c r="R127">
        <f t="shared" si="78"/>
        <v>2.32E-3</v>
      </c>
      <c r="S127">
        <f t="shared" si="79"/>
        <v>2.32E-3</v>
      </c>
      <c r="U127">
        <f t="shared" si="80"/>
        <v>1.7926000000000001E-2</v>
      </c>
      <c r="V127">
        <f t="shared" si="81"/>
        <v>1.8421E-2</v>
      </c>
      <c r="X127">
        <f>(0.1*0.9+0.1*0.9)*X25+0.1*0.1*AB25+(1-0.1*0.9-0.1*0.9-0.1*0.1)*T25</f>
        <v>2.32E-3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2.3400000000000001E-3</v>
      </c>
      <c r="G133">
        <f t="shared" si="83"/>
        <v>2.3400000000000001E-3</v>
      </c>
      <c r="I133">
        <f t="shared" si="84"/>
        <v>1.7603999999999998E-2</v>
      </c>
      <c r="J133">
        <f t="shared" si="85"/>
        <v>1.8083999999999999E-2</v>
      </c>
      <c r="L133">
        <f>(0.2*0.8+0.2*0.8)*X25+0.2*0.2*AB25+(1-0.2*0.8-0.2*0.8-0.2*0.2)*T25</f>
        <v>2.3400000000000001E-3</v>
      </c>
      <c r="O133" s="20"/>
      <c r="P133" s="21"/>
      <c r="Q133" t="s">
        <v>37</v>
      </c>
      <c r="R133">
        <f t="shared" si="86"/>
        <v>2.3600000000000001E-3</v>
      </c>
      <c r="S133">
        <f t="shared" si="87"/>
        <v>2.3600000000000001E-3</v>
      </c>
      <c r="U133">
        <f t="shared" si="88"/>
        <v>1.6934000000000001E-2</v>
      </c>
      <c r="V133">
        <f t="shared" si="89"/>
        <v>1.7389000000000002E-2</v>
      </c>
      <c r="X133">
        <f>(0.3*0.7+0.3*0.7)*X25+0.3*0.3*AB25+(1-0.3*0.7-0.3*0.7-0.3*0.3)*T25</f>
        <v>2.3600000000000001E-3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2.3149999999999993E-3</v>
      </c>
      <c r="G140">
        <f t="shared" si="91"/>
        <v>2.3149999999999993E-3</v>
      </c>
      <c r="H140">
        <f t="shared" si="92"/>
        <v>13.634130000000001</v>
      </c>
      <c r="I140">
        <f t="shared" si="93"/>
        <v>1.7926024999999998E-2</v>
      </c>
      <c r="J140">
        <f t="shared" si="94"/>
        <v>1.8422474999999997E-2</v>
      </c>
      <c r="K140">
        <f t="shared" si="95"/>
        <v>1238.8928989999999</v>
      </c>
      <c r="L140">
        <f>3*0.05*(1-0.05)*(1-0.05)*X25+3*0.05*0.05*(1-0.05)*AB25+0.05*0.05*0.05*AF25+(1-3*0.05*(1-0.05)*(1-0.05)-3*0.05*0.05*(1-0.05)-0.05*0.05*0.05)*T25</f>
        <v>2.3149999999999993E-3</v>
      </c>
      <c r="M140">
        <f>AI25+AE25+AA25+W25</f>
        <v>21.706315999999998</v>
      </c>
      <c r="N140" s="24"/>
      <c r="O140" s="20"/>
      <c r="P140" s="21"/>
      <c r="Q140" t="s">
        <v>37</v>
      </c>
      <c r="R140">
        <f t="shared" si="96"/>
        <v>2.3299999999999996E-3</v>
      </c>
      <c r="S140">
        <f t="shared" si="97"/>
        <v>2.3299999999999996E-3</v>
      </c>
      <c r="U140">
        <f t="shared" si="98"/>
        <v>1.7730199999999998E-2</v>
      </c>
      <c r="V140">
        <f t="shared" si="99"/>
        <v>1.8216799999999998E-2</v>
      </c>
      <c r="X140">
        <f>3*0.1*(1-0.1)*(1-0.1)*X25+3*0.1*0.1*(1-0.1)*AB25+0.1*0.1*0.1*AF25+(1-3*0.1*(1-0.1)*(1-0.1)-3*0.1*0.1*(1-0.1)-0.1*0.1*0.1)*T25</f>
        <v>2.3299999999999996E-3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2.3600000000000001E-3</v>
      </c>
      <c r="G146">
        <f t="shared" si="101"/>
        <v>2.3600000000000001E-3</v>
      </c>
      <c r="I146">
        <f t="shared" si="102"/>
        <v>1.6829599999999997E-2</v>
      </c>
      <c r="J146">
        <f t="shared" si="103"/>
        <v>1.7282399999999996E-2</v>
      </c>
      <c r="L146">
        <f>3*0.2*(1-0.2)*(1-0.2)*X25+3*0.2*0.2*(1-0.2)*AB25+0.2*0.2*0.2*AF25+(1-3*0.2*(1-0.2)*(1-0.2)-3*0.2*0.2*(1-0.2)-0.2*0.2*0.2)*T25</f>
        <v>2.3600000000000001E-3</v>
      </c>
      <c r="N146" s="24"/>
      <c r="O146" s="20"/>
      <c r="P146" s="21"/>
      <c r="Q146" t="s">
        <v>37</v>
      </c>
      <c r="R146">
        <f t="shared" si="104"/>
        <v>2.3900000000000002E-3</v>
      </c>
      <c r="S146">
        <f t="shared" si="105"/>
        <v>2.3900000000000002E-3</v>
      </c>
      <c r="U146">
        <f t="shared" si="106"/>
        <v>1.5511400000000002E-2</v>
      </c>
      <c r="V146">
        <f t="shared" si="107"/>
        <v>1.5919600000000002E-2</v>
      </c>
      <c r="X146">
        <f>3*0.3*(1-0.3)*(1-0.3)*X25+3*0.3*0.3*(1-0.3)*AB25+0.3*0.3*0.3*AF25+(1-3*0.3*(1-0.3)*(1-0.3)-3*0.3*0.3*(1-0.3)-0.3*0.3*0.3)*T25</f>
        <v>2.3900000000000002E-3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1.805E-3</v>
      </c>
      <c r="G153">
        <f t="shared" si="109"/>
        <v>2.1049999999999997E-3</v>
      </c>
      <c r="H153">
        <f t="shared" si="110"/>
        <v>6.8236910000000002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2.0049999999999998E-3</v>
      </c>
      <c r="M153">
        <f>I46+E46</f>
        <v>10.234459000000001</v>
      </c>
      <c r="P153" s="21"/>
      <c r="Q153" t="s">
        <v>37</v>
      </c>
      <c r="R153">
        <f t="shared" si="114"/>
        <v>1.81E-3</v>
      </c>
      <c r="S153">
        <f t="shared" si="115"/>
        <v>2.1099999999999999E-3</v>
      </c>
      <c r="U153">
        <f t="shared" si="116"/>
        <v>1.311E-2</v>
      </c>
      <c r="V153">
        <f t="shared" si="117"/>
        <v>1.6389999999999998E-2</v>
      </c>
      <c r="X153">
        <f>0.1*F46+(1-0.1)*B46</f>
        <v>2.0100000000000001E-3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1.82E-3</v>
      </c>
      <c r="G159">
        <f t="shared" si="119"/>
        <v>2.1200000000000004E-3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2.0200000000000001E-3</v>
      </c>
      <c r="P159" s="21"/>
      <c r="Q159" t="s">
        <v>37</v>
      </c>
      <c r="R159">
        <f t="shared" si="122"/>
        <v>1.8299999999999998E-3</v>
      </c>
      <c r="S159">
        <f t="shared" si="123"/>
        <v>2.1299999999999999E-3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2.0299999999999997E-3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1.81E-3</v>
      </c>
      <c r="G166">
        <f t="shared" si="127"/>
        <v>2.1099999999999999E-3</v>
      </c>
      <c r="H166">
        <f t="shared" si="128"/>
        <v>10.167436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2.0100000000000001E-3</v>
      </c>
      <c r="M166">
        <f>M46+I46+E46</f>
        <v>15.310220000000001</v>
      </c>
      <c r="O166" s="20"/>
      <c r="P166" s="21"/>
      <c r="Q166" t="s">
        <v>37</v>
      </c>
      <c r="R166">
        <f t="shared" si="132"/>
        <v>1.82E-3</v>
      </c>
      <c r="S166">
        <f t="shared" si="133"/>
        <v>2.1200000000000004E-3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2.0200000000000001E-3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1.8400000000000001E-3</v>
      </c>
      <c r="G172">
        <f t="shared" si="137"/>
        <v>2.14E-3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2.0400000000000001E-3</v>
      </c>
      <c r="O172" s="20"/>
      <c r="P172" s="21"/>
      <c r="Q172" t="s">
        <v>37</v>
      </c>
      <c r="R172">
        <f t="shared" si="140"/>
        <v>1.8600000000000001E-3</v>
      </c>
      <c r="S172">
        <f t="shared" si="141"/>
        <v>2.1600000000000005E-3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2.0600000000000002E-3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1.8149999999999998E-3</v>
      </c>
      <c r="G179">
        <f t="shared" si="145"/>
        <v>2.1149999999999997E-3</v>
      </c>
      <c r="H179">
        <f t="shared" si="146"/>
        <v>13.281074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2.0149999999999999E-3</v>
      </c>
      <c r="M179">
        <f>Q46+M46+I46+E46</f>
        <v>20.564765000000001</v>
      </c>
      <c r="N179" s="24"/>
      <c r="O179" s="20"/>
      <c r="P179" s="21"/>
      <c r="Q179" t="s">
        <v>37</v>
      </c>
      <c r="R179">
        <f t="shared" si="150"/>
        <v>1.83E-3</v>
      </c>
      <c r="S179">
        <f t="shared" si="151"/>
        <v>2.1299999999999999E-3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2.0300000000000001E-3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1.8599999999999999E-3</v>
      </c>
      <c r="G185">
        <f t="shared" si="155"/>
        <v>2.1599999999999996E-3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2.0599999999999998E-3</v>
      </c>
      <c r="N185" s="24"/>
      <c r="O185" s="20"/>
      <c r="P185" s="21"/>
      <c r="Q185" t="s">
        <v>37</v>
      </c>
      <c r="R185">
        <f t="shared" si="158"/>
        <v>1.8900000000000002E-3</v>
      </c>
      <c r="S185">
        <f t="shared" si="159"/>
        <v>2.1900000000000001E-3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2.0899999999999998E-3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9.0499999999999999E-4</v>
      </c>
      <c r="G192">
        <f t="shared" si="163"/>
        <v>1.7049999999999999E-3</v>
      </c>
      <c r="H192">
        <f t="shared" si="164"/>
        <v>6.9275579999999994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1.5E-3</v>
      </c>
      <c r="M192">
        <f>AA46+W46</f>
        <v>10.761685</v>
      </c>
      <c r="P192" s="21"/>
      <c r="Q192" t="s">
        <v>37</v>
      </c>
      <c r="R192">
        <f t="shared" si="168"/>
        <v>9.1E-4</v>
      </c>
      <c r="S192">
        <f t="shared" si="169"/>
        <v>1.7099999999999999E-3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1.5E-3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9.2000000000000003E-4</v>
      </c>
      <c r="G198">
        <f t="shared" si="173"/>
        <v>1.7200000000000002E-3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1.5E-3</v>
      </c>
      <c r="P198" s="21"/>
      <c r="Q198" t="s">
        <v>37</v>
      </c>
      <c r="R198">
        <f t="shared" si="176"/>
        <v>9.2999999999999984E-4</v>
      </c>
      <c r="S198">
        <f t="shared" si="177"/>
        <v>1.7299999999999998E-3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1.5E-3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9.0975000000000008E-4</v>
      </c>
      <c r="G205">
        <f t="shared" si="181"/>
        <v>1.7100000000000001E-3</v>
      </c>
      <c r="H205">
        <f t="shared" si="182"/>
        <v>10.290393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1.5002500000000001E-3</v>
      </c>
      <c r="M205">
        <f>AE46+AA46+W46</f>
        <v>16.212119999999999</v>
      </c>
      <c r="O205" s="20"/>
      <c r="P205" s="21"/>
      <c r="Q205" t="s">
        <v>37</v>
      </c>
      <c r="R205">
        <f t="shared" si="185"/>
        <v>9.1900000000000011E-4</v>
      </c>
      <c r="S205">
        <f t="shared" si="186"/>
        <v>1.72E-3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1.5010000000000002E-3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9.3599999999999998E-4</v>
      </c>
      <c r="G211">
        <f t="shared" si="190"/>
        <v>1.7399999999999998E-3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1.5040000000000001E-3</v>
      </c>
      <c r="O211" s="20"/>
      <c r="P211" s="21"/>
      <c r="Q211" t="s">
        <v>37</v>
      </c>
      <c r="R211">
        <f t="shared" si="193"/>
        <v>9.5100000000000013E-4</v>
      </c>
      <c r="S211">
        <f t="shared" si="194"/>
        <v>1.7599999999999998E-3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1.5090000000000004E-3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9.1427499999999988E-4</v>
      </c>
      <c r="G218">
        <f t="shared" si="198"/>
        <v>1.7149999999999997E-3</v>
      </c>
      <c r="H218">
        <f t="shared" si="199"/>
        <v>13.668202000000001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1.5007375E-3</v>
      </c>
      <c r="M218">
        <f>AI46+AE46+AA46+W46</f>
        <v>21.903624000000001</v>
      </c>
      <c r="N218" s="24"/>
      <c r="O218" s="20"/>
      <c r="P218" s="21"/>
      <c r="Q218" t="s">
        <v>37</v>
      </c>
      <c r="R218">
        <f t="shared" si="203"/>
        <v>9.2719999999999999E-4</v>
      </c>
      <c r="S218">
        <f t="shared" si="204"/>
        <v>1.7299999999999998E-3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1.5028999999999999E-3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9.4959999999999999E-4</v>
      </c>
      <c r="G224">
        <f t="shared" si="208"/>
        <v>1.7599999999999998E-3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1.5111999999999999E-3</v>
      </c>
      <c r="N224" s="24"/>
      <c r="O224" s="20"/>
      <c r="P224" s="21"/>
      <c r="Q224" t="s">
        <v>37</v>
      </c>
      <c r="R224">
        <f t="shared" si="211"/>
        <v>9.6840000000000012E-4</v>
      </c>
      <c r="S224">
        <f t="shared" si="212"/>
        <v>1.7899999999999999E-3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1.5243000000000001E-3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4.0000000000000002E-4</v>
      </c>
      <c r="G231">
        <f t="shared" si="216"/>
        <v>1.0999999999999998E-3</v>
      </c>
      <c r="H231">
        <f t="shared" si="217"/>
        <v>6.2440370000000005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6.5802999999999999E-4</v>
      </c>
      <c r="M231">
        <f>I66+E66</f>
        <v>10.483487999999999</v>
      </c>
      <c r="P231" s="21"/>
      <c r="Q231" t="s">
        <v>37</v>
      </c>
      <c r="R231">
        <f t="shared" si="221"/>
        <v>4.0000000000000002E-4</v>
      </c>
      <c r="S231">
        <f t="shared" si="222"/>
        <v>1.1000000000000001E-3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6.6076000000000004E-4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4.0000000000000002E-4</v>
      </c>
      <c r="G237">
        <f t="shared" si="226"/>
        <v>1.1000000000000003E-3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6.6622000000000003E-4</v>
      </c>
      <c r="P237" s="21"/>
      <c r="Q237" t="s">
        <v>37</v>
      </c>
      <c r="R237">
        <f t="shared" si="229"/>
        <v>3.9999999999999996E-4</v>
      </c>
      <c r="S237">
        <f t="shared" si="230"/>
        <v>1.0999999999999998E-3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6.7168000000000002E-4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4.0000000000000007E-4</v>
      </c>
      <c r="G244">
        <f t="shared" si="234"/>
        <v>1.1002500000000001E-3</v>
      </c>
      <c r="H244">
        <f t="shared" si="235"/>
        <v>9.4158600000000003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6.6069600000000011E-4</v>
      </c>
      <c r="M244">
        <f>M66+I66+E66</f>
        <v>15.637747999999998</v>
      </c>
      <c r="O244" s="20"/>
      <c r="P244" s="21"/>
      <c r="Q244" t="s">
        <v>37</v>
      </c>
      <c r="R244">
        <f t="shared" si="239"/>
        <v>4.0000000000000002E-4</v>
      </c>
      <c r="S244">
        <f t="shared" si="240"/>
        <v>1.1010000000000002E-3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6.6596400000000012E-4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4.0000000000000002E-4</v>
      </c>
      <c r="G250">
        <f t="shared" si="244"/>
        <v>1.1040000000000002E-3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6.7611600000000004E-4</v>
      </c>
      <c r="O250" s="20"/>
      <c r="P250" s="21"/>
      <c r="Q250" t="s">
        <v>37</v>
      </c>
      <c r="R250">
        <f t="shared" si="247"/>
        <v>4.0000000000000007E-4</v>
      </c>
      <c r="S250">
        <f t="shared" si="248"/>
        <v>1.1090000000000002E-3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6.8575600000000004E-4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3.9999999999999996E-4</v>
      </c>
      <c r="G257">
        <f t="shared" si="252"/>
        <v>1.1007249999999999E-3</v>
      </c>
      <c r="H257">
        <f t="shared" si="253"/>
        <v>12.646234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6.6330424999999995E-4</v>
      </c>
      <c r="M257">
        <f>Q66+M66+I66+E66</f>
        <v>21.037286999999999</v>
      </c>
      <c r="N257" s="24"/>
      <c r="O257" s="20"/>
      <c r="P257" s="21"/>
      <c r="Q257" t="s">
        <v>37</v>
      </c>
      <c r="R257">
        <f t="shared" si="257"/>
        <v>4.0000000000000002E-4</v>
      </c>
      <c r="S257">
        <f t="shared" si="258"/>
        <v>1.1028000000000001E-3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6.7096199999999999E-4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3.9999999999999996E-4</v>
      </c>
      <c r="G263">
        <f t="shared" si="262"/>
        <v>1.1104000000000001E-3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6.8538799999999999E-4</v>
      </c>
      <c r="N263" s="24"/>
      <c r="O263" s="20"/>
      <c r="P263" s="21"/>
      <c r="Q263" t="s">
        <v>37</v>
      </c>
      <c r="R263">
        <f t="shared" si="265"/>
        <v>4.0000000000000002E-4</v>
      </c>
      <c r="S263">
        <f t="shared" si="266"/>
        <v>1.1216000000000002E-3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6.98878E-4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80</v>
      </c>
      <c r="C9" s="16"/>
      <c r="D9" s="16"/>
      <c r="E9" s="16"/>
      <c r="F9" s="16" t="s">
        <v>81</v>
      </c>
      <c r="G9" s="16"/>
      <c r="H9" s="16"/>
      <c r="I9" s="16"/>
      <c r="J9" s="16" t="s">
        <v>82</v>
      </c>
      <c r="K9" s="16"/>
      <c r="L9" s="16"/>
      <c r="M9" s="16"/>
      <c r="N9" s="16" t="s">
        <v>83</v>
      </c>
      <c r="O9" s="16"/>
      <c r="P9" s="16"/>
      <c r="Q9" s="16"/>
      <c r="S9" s="22" t="s">
        <v>12</v>
      </c>
      <c r="T9" s="16" t="s">
        <v>80</v>
      </c>
      <c r="U9" s="16"/>
      <c r="V9" s="16"/>
      <c r="W9" s="16"/>
      <c r="X9" s="16" t="s">
        <v>81</v>
      </c>
      <c r="Y9" s="16"/>
      <c r="Z9" s="16"/>
      <c r="AA9" s="16"/>
      <c r="AB9" s="16" t="s">
        <v>82</v>
      </c>
      <c r="AC9" s="16"/>
      <c r="AD9" s="16"/>
      <c r="AE9" s="16"/>
      <c r="AF9" s="16" t="s">
        <v>83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2.0999999999999999E-3</v>
      </c>
      <c r="D13" s="10">
        <v>2.2000000000000001E-3</v>
      </c>
      <c r="E13" s="10">
        <v>1.2041999999999999</v>
      </c>
      <c r="F13" t="s">
        <v>22</v>
      </c>
      <c r="G13" s="10">
        <v>2.3E-3</v>
      </c>
      <c r="H13" s="10">
        <v>2.3E-3</v>
      </c>
      <c r="I13" s="10">
        <v>1.280651</v>
      </c>
      <c r="J13" t="s">
        <v>22</v>
      </c>
      <c r="K13" s="10">
        <v>2.3999999999999998E-3</v>
      </c>
      <c r="L13" s="10">
        <v>2.3999999999999998E-3</v>
      </c>
      <c r="M13" s="10">
        <v>1.367318</v>
      </c>
      <c r="N13" t="s">
        <v>22</v>
      </c>
      <c r="O13">
        <v>2.5000000000000001E-3</v>
      </c>
      <c r="P13">
        <v>2.5000000000000001E-3</v>
      </c>
      <c r="Q13">
        <v>1.3747739999999999</v>
      </c>
      <c r="S13" s="22"/>
      <c r="T13" t="s">
        <v>22</v>
      </c>
      <c r="U13">
        <v>2.0999999999999999E-3</v>
      </c>
      <c r="V13">
        <v>2.0999999999999999E-3</v>
      </c>
      <c r="W13">
        <v>2.482567</v>
      </c>
      <c r="X13" t="s">
        <v>22</v>
      </c>
      <c r="Y13">
        <v>2.2000000000000001E-3</v>
      </c>
      <c r="Z13">
        <v>2.2000000000000001E-3</v>
      </c>
      <c r="AA13">
        <v>2.4203299999999999</v>
      </c>
      <c r="AB13" t="s">
        <v>22</v>
      </c>
      <c r="AC13">
        <v>2.3E-3</v>
      </c>
      <c r="AD13">
        <v>2.3E-3</v>
      </c>
      <c r="AE13">
        <v>2.4681289999999998</v>
      </c>
      <c r="AF13" t="s">
        <v>22</v>
      </c>
      <c r="AG13">
        <v>2.3999999999999998E-3</v>
      </c>
      <c r="AH13">
        <v>2.3999999999999998E-3</v>
      </c>
      <c r="AI13">
        <v>2.2166999999999999</v>
      </c>
    </row>
    <row r="16" spans="1:35" x14ac:dyDescent="0.25">
      <c r="A16" s="18" t="s">
        <v>23</v>
      </c>
      <c r="B16" s="16" t="s">
        <v>80</v>
      </c>
      <c r="C16" s="16"/>
      <c r="D16" s="16"/>
      <c r="E16" s="16"/>
      <c r="F16" s="16" t="s">
        <v>81</v>
      </c>
      <c r="G16" s="16"/>
      <c r="H16" s="16"/>
      <c r="I16" s="16"/>
      <c r="J16" s="16" t="s">
        <v>82</v>
      </c>
      <c r="K16" s="16"/>
      <c r="L16" s="16"/>
      <c r="M16" s="16"/>
      <c r="N16" s="16" t="s">
        <v>83</v>
      </c>
      <c r="O16" s="16"/>
      <c r="P16" s="16"/>
      <c r="Q16" s="16"/>
      <c r="S16" s="18" t="s">
        <v>23</v>
      </c>
      <c r="T16" s="16" t="s">
        <v>80</v>
      </c>
      <c r="U16" s="16"/>
      <c r="V16" s="16"/>
      <c r="W16" s="16"/>
      <c r="X16" s="16" t="s">
        <v>81</v>
      </c>
      <c r="Y16" s="16"/>
      <c r="Z16" s="16"/>
      <c r="AA16" s="16"/>
      <c r="AB16" s="16" t="s">
        <v>82</v>
      </c>
      <c r="AC16" s="16"/>
      <c r="AD16" s="16"/>
      <c r="AE16" s="16"/>
      <c r="AF16" s="16" t="s">
        <v>83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80</v>
      </c>
      <c r="C23" s="16"/>
      <c r="D23" s="16"/>
      <c r="E23" s="16"/>
      <c r="F23" s="16" t="s">
        <v>81</v>
      </c>
      <c r="G23" s="16"/>
      <c r="H23" s="16"/>
      <c r="I23" s="16"/>
      <c r="J23" s="16" t="s">
        <v>82</v>
      </c>
      <c r="K23" s="16"/>
      <c r="L23" s="16"/>
      <c r="M23" s="16"/>
      <c r="N23" s="16" t="s">
        <v>83</v>
      </c>
      <c r="O23" s="16"/>
      <c r="P23" s="16"/>
      <c r="Q23" s="16"/>
      <c r="S23" s="23" t="s">
        <v>24</v>
      </c>
      <c r="T23" s="16" t="s">
        <v>80</v>
      </c>
      <c r="U23" s="16"/>
      <c r="V23" s="16"/>
      <c r="W23" s="16"/>
      <c r="X23" s="16" t="s">
        <v>81</v>
      </c>
      <c r="Y23" s="16"/>
      <c r="Z23" s="16"/>
      <c r="AA23" s="16"/>
      <c r="AB23" s="16" t="s">
        <v>82</v>
      </c>
      <c r="AC23" s="16"/>
      <c r="AD23" s="16"/>
      <c r="AE23" s="16"/>
      <c r="AF23" s="16" t="s">
        <v>83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2.2000000000000001E-3</v>
      </c>
      <c r="C25" s="6"/>
      <c r="D25" s="6"/>
      <c r="E25">
        <v>5.3899379999999999</v>
      </c>
      <c r="F25" s="6">
        <v>2.3E-3</v>
      </c>
      <c r="G25" s="6"/>
      <c r="H25" s="6"/>
      <c r="I25">
        <v>4.6563040000000004</v>
      </c>
      <c r="J25">
        <v>2.3999999999999998E-3</v>
      </c>
      <c r="K25" s="6"/>
      <c r="L25" s="6"/>
      <c r="M25">
        <v>4.678814</v>
      </c>
      <c r="N25" s="6">
        <v>2.5000000000000001E-3</v>
      </c>
      <c r="O25" s="6"/>
      <c r="P25" s="6"/>
      <c r="Q25">
        <v>4.7418500000000003</v>
      </c>
      <c r="S25" s="23"/>
      <c r="T25" s="6">
        <v>2.0999999999999999E-3</v>
      </c>
      <c r="U25" s="6"/>
      <c r="V25" s="6"/>
      <c r="W25">
        <v>5.0531959999999998</v>
      </c>
      <c r="X25" s="6">
        <v>2.2000000000000001E-3</v>
      </c>
      <c r="Y25" s="6"/>
      <c r="Z25" s="6"/>
      <c r="AA25">
        <v>5.3189909999999996</v>
      </c>
      <c r="AB25" s="6">
        <v>2.3E-3</v>
      </c>
      <c r="AC25" s="6"/>
      <c r="AD25" s="6"/>
      <c r="AE25">
        <v>4.6789670000000001</v>
      </c>
      <c r="AF25" s="6">
        <v>2.3999999999999998E-3</v>
      </c>
      <c r="AG25" s="6"/>
      <c r="AH25" s="6"/>
      <c r="AI25">
        <v>5.2109139999999998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80</v>
      </c>
      <c r="C30" s="16"/>
      <c r="D30" s="16"/>
      <c r="E30" s="16"/>
      <c r="F30" s="16" t="s">
        <v>81</v>
      </c>
      <c r="G30" s="16"/>
      <c r="H30" s="16"/>
      <c r="I30" s="16"/>
      <c r="J30" s="16" t="s">
        <v>82</v>
      </c>
      <c r="K30" s="16"/>
      <c r="L30" s="16"/>
      <c r="M30" s="16"/>
      <c r="N30" s="16" t="s">
        <v>83</v>
      </c>
      <c r="O30" s="16"/>
      <c r="P30" s="16"/>
      <c r="Q30" s="16"/>
      <c r="S30" s="22" t="s">
        <v>12</v>
      </c>
      <c r="T30" s="16" t="s">
        <v>80</v>
      </c>
      <c r="U30" s="16"/>
      <c r="V30" s="16"/>
      <c r="W30" s="16"/>
      <c r="X30" s="16" t="s">
        <v>81</v>
      </c>
      <c r="Y30" s="16"/>
      <c r="Z30" s="16"/>
      <c r="AA30" s="16"/>
      <c r="AB30" s="16" t="s">
        <v>82</v>
      </c>
      <c r="AC30" s="16"/>
      <c r="AD30" s="16"/>
      <c r="AE30" s="16"/>
      <c r="AF30" s="16" t="s">
        <v>83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1.6999999999999999E-3</v>
      </c>
      <c r="D34">
        <v>1.9E-3</v>
      </c>
      <c r="E34">
        <v>2.4417490000000002</v>
      </c>
      <c r="F34" t="s">
        <v>22</v>
      </c>
      <c r="G34">
        <v>1.8E-3</v>
      </c>
      <c r="H34">
        <v>2E-3</v>
      </c>
      <c r="I34">
        <v>2.466437</v>
      </c>
      <c r="J34" t="s">
        <v>22</v>
      </c>
      <c r="K34" s="8">
        <v>1.9E-3</v>
      </c>
      <c r="L34" s="10">
        <v>2.0999999999999999E-3</v>
      </c>
      <c r="M34">
        <v>2.1553119999999999</v>
      </c>
      <c r="N34" t="s">
        <v>22</v>
      </c>
      <c r="O34">
        <v>2E-3</v>
      </c>
      <c r="P34">
        <v>2.2000000000000001E-3</v>
      </c>
      <c r="Q34">
        <v>2.4698380000000002</v>
      </c>
      <c r="S34" s="22"/>
      <c r="T34" t="s">
        <v>22</v>
      </c>
      <c r="U34">
        <v>8.9999999999999998E-4</v>
      </c>
      <c r="V34">
        <v>1.6000000000000001E-3</v>
      </c>
      <c r="W34">
        <v>2.4190179999999999</v>
      </c>
      <c r="X34" t="s">
        <v>22</v>
      </c>
      <c r="Y34">
        <v>1E-3</v>
      </c>
      <c r="Z34">
        <v>1.6999999999999999E-3</v>
      </c>
      <c r="AA34">
        <v>1.957727</v>
      </c>
      <c r="AB34" t="s">
        <v>22</v>
      </c>
      <c r="AC34">
        <v>1E-3</v>
      </c>
      <c r="AD34">
        <v>1.8E-3</v>
      </c>
      <c r="AE34">
        <v>2.0976249999999999</v>
      </c>
      <c r="AF34" t="s">
        <v>22</v>
      </c>
      <c r="AG34">
        <v>1.1000000000000001E-3</v>
      </c>
      <c r="AH34" s="11">
        <v>1.9E-3</v>
      </c>
      <c r="AI34">
        <v>2.345726</v>
      </c>
    </row>
    <row r="37" spans="1:35" x14ac:dyDescent="0.25">
      <c r="A37" s="18" t="s">
        <v>23</v>
      </c>
      <c r="B37" s="16" t="s">
        <v>80</v>
      </c>
      <c r="C37" s="16"/>
      <c r="D37" s="16"/>
      <c r="E37" s="16"/>
      <c r="F37" s="16" t="s">
        <v>81</v>
      </c>
      <c r="G37" s="16"/>
      <c r="H37" s="16"/>
      <c r="I37" s="16"/>
      <c r="J37" s="16" t="s">
        <v>82</v>
      </c>
      <c r="K37" s="16"/>
      <c r="L37" s="16"/>
      <c r="M37" s="16"/>
      <c r="N37" s="16" t="s">
        <v>83</v>
      </c>
      <c r="O37" s="16"/>
      <c r="P37" s="16"/>
      <c r="Q37" s="16"/>
      <c r="S37" s="18" t="s">
        <v>23</v>
      </c>
      <c r="T37" s="16" t="s">
        <v>80</v>
      </c>
      <c r="U37" s="16"/>
      <c r="V37" s="16"/>
      <c r="W37" s="16"/>
      <c r="X37" s="16" t="s">
        <v>81</v>
      </c>
      <c r="Y37" s="16"/>
      <c r="Z37" s="16"/>
      <c r="AA37" s="16"/>
      <c r="AB37" s="16" t="s">
        <v>82</v>
      </c>
      <c r="AC37" s="16"/>
      <c r="AD37" s="16"/>
      <c r="AE37" s="16"/>
      <c r="AF37" s="16" t="s">
        <v>83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80</v>
      </c>
      <c r="C44" s="16"/>
      <c r="D44" s="16"/>
      <c r="E44" s="16"/>
      <c r="F44" s="16" t="s">
        <v>81</v>
      </c>
      <c r="G44" s="16"/>
      <c r="H44" s="16"/>
      <c r="I44" s="16"/>
      <c r="J44" s="16" t="s">
        <v>82</v>
      </c>
      <c r="K44" s="16"/>
      <c r="L44" s="16"/>
      <c r="M44" s="16"/>
      <c r="N44" s="16" t="s">
        <v>83</v>
      </c>
      <c r="O44" s="16"/>
      <c r="P44" s="16"/>
      <c r="Q44" s="16"/>
      <c r="S44" s="23" t="s">
        <v>24</v>
      </c>
      <c r="T44" s="16" t="s">
        <v>80</v>
      </c>
      <c r="U44" s="16"/>
      <c r="V44" s="16"/>
      <c r="W44" s="16"/>
      <c r="X44" s="16" t="s">
        <v>81</v>
      </c>
      <c r="Y44" s="16"/>
      <c r="Z44" s="16"/>
      <c r="AA44" s="16"/>
      <c r="AB44" s="16" t="s">
        <v>82</v>
      </c>
      <c r="AC44" s="16"/>
      <c r="AD44" s="16"/>
      <c r="AE44" s="16"/>
      <c r="AF44" s="16" t="s">
        <v>83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1.8E-3</v>
      </c>
      <c r="C46" s="6"/>
      <c r="D46" s="6"/>
      <c r="E46">
        <v>4.6766649999999998</v>
      </c>
      <c r="F46" s="6">
        <v>1.9E-3</v>
      </c>
      <c r="G46" s="6"/>
      <c r="H46" s="6"/>
      <c r="I46">
        <v>5.241886</v>
      </c>
      <c r="J46" s="6">
        <v>2E-3</v>
      </c>
      <c r="K46" s="6"/>
      <c r="L46" s="6"/>
      <c r="M46">
        <v>5.2149720000000004</v>
      </c>
      <c r="N46" s="6">
        <v>2.2000000000000001E-3</v>
      </c>
      <c r="O46" s="6"/>
      <c r="P46" s="6"/>
      <c r="Q46">
        <v>5.2516699999999998</v>
      </c>
      <c r="S46" s="23"/>
      <c r="T46" s="6">
        <v>1.4E-3</v>
      </c>
      <c r="U46" s="6"/>
      <c r="V46" s="6"/>
      <c r="W46">
        <v>4.6342210000000001</v>
      </c>
      <c r="X46" s="6">
        <v>1.4E-3</v>
      </c>
      <c r="Y46" s="6"/>
      <c r="Z46" s="6"/>
      <c r="AA46">
        <v>4.7204819999999996</v>
      </c>
      <c r="AB46" s="6">
        <v>1.5E-3</v>
      </c>
      <c r="AC46" s="6"/>
      <c r="AD46" s="6"/>
      <c r="AE46">
        <v>4.7587890000000002</v>
      </c>
      <c r="AF46" s="6">
        <v>1.6000000000000001E-3</v>
      </c>
      <c r="AG46" s="6"/>
      <c r="AH46" s="6"/>
      <c r="AI46">
        <v>4.6349939999999998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80</v>
      </c>
      <c r="C50" s="16"/>
      <c r="D50" s="16"/>
      <c r="E50" s="16"/>
      <c r="F50" s="16" t="s">
        <v>81</v>
      </c>
      <c r="G50" s="16"/>
      <c r="H50" s="16"/>
      <c r="I50" s="16"/>
      <c r="J50" s="16" t="s">
        <v>82</v>
      </c>
      <c r="K50" s="16"/>
      <c r="L50" s="16"/>
      <c r="M50" s="16"/>
      <c r="N50" s="16" t="s">
        <v>83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3.5720000000000001E-4</v>
      </c>
      <c r="D54" s="2">
        <v>9.8060000000000009E-4</v>
      </c>
      <c r="E54">
        <v>2.3436599999999999</v>
      </c>
      <c r="F54" t="s">
        <v>22</v>
      </c>
      <c r="G54">
        <v>4.0000000000000002E-4</v>
      </c>
      <c r="H54">
        <v>1E-3</v>
      </c>
      <c r="I54">
        <v>2.3424309999999999</v>
      </c>
      <c r="J54" t="s">
        <v>22</v>
      </c>
      <c r="K54">
        <v>4.0000000000000002E-4</v>
      </c>
      <c r="L54">
        <v>1.1000000000000001E-3</v>
      </c>
      <c r="M54">
        <v>2.0324810000000002</v>
      </c>
      <c r="N54" t="s">
        <v>22</v>
      </c>
      <c r="O54">
        <v>4.0000000000000002E-4</v>
      </c>
      <c r="P54">
        <v>1.1999999999999999E-3</v>
      </c>
      <c r="Q54">
        <v>2.3607100000000001</v>
      </c>
    </row>
    <row r="57" spans="1:17" x14ac:dyDescent="0.25">
      <c r="A57" s="18" t="s">
        <v>23</v>
      </c>
      <c r="B57" s="16" t="s">
        <v>80</v>
      </c>
      <c r="C57" s="16"/>
      <c r="D57" s="16"/>
      <c r="E57" s="16"/>
      <c r="F57" s="16" t="s">
        <v>81</v>
      </c>
      <c r="G57" s="16"/>
      <c r="H57" s="16"/>
      <c r="I57" s="16"/>
      <c r="J57" s="16" t="s">
        <v>82</v>
      </c>
      <c r="K57" s="16"/>
      <c r="L57" s="16"/>
      <c r="M57" s="16"/>
      <c r="N57" s="16" t="s">
        <v>83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80</v>
      </c>
      <c r="C64" s="16"/>
      <c r="D64" s="16"/>
      <c r="E64" s="16"/>
      <c r="F64" s="16" t="s">
        <v>81</v>
      </c>
      <c r="G64" s="16"/>
      <c r="H64" s="16"/>
      <c r="I64" s="16"/>
      <c r="J64" s="16" t="s">
        <v>82</v>
      </c>
      <c r="K64" s="16"/>
      <c r="L64" s="16"/>
      <c r="M64" s="16"/>
      <c r="N64" s="16" t="s">
        <v>83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6.3860000000000002E-4</v>
      </c>
      <c r="C66" s="6"/>
      <c r="D66" s="6"/>
      <c r="E66">
        <v>5.029496</v>
      </c>
      <c r="F66" s="6"/>
      <c r="G66" s="3">
        <v>6.7860000000000001E-4</v>
      </c>
      <c r="H66" s="6"/>
      <c r="I66">
        <v>4.7101100000000002</v>
      </c>
      <c r="J66" s="3">
        <v>7.358E-4</v>
      </c>
      <c r="K66" s="6"/>
      <c r="L66" s="6"/>
      <c r="M66">
        <v>4.9737799999999996</v>
      </c>
      <c r="N66" s="3">
        <v>7.6429999999999998E-4</v>
      </c>
      <c r="O66" s="6"/>
      <c r="P66" s="6"/>
      <c r="Q66">
        <v>5.2048170000000002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2.1099999999999999E-3</v>
      </c>
      <c r="G75">
        <f t="shared" si="1"/>
        <v>2.2049999999999999E-3</v>
      </c>
      <c r="H75">
        <f t="shared" si="2"/>
        <v>2.4848509999999999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2.2049999999999999E-3</v>
      </c>
      <c r="M75">
        <f>I25+E25</f>
        <v>10.046241999999999</v>
      </c>
      <c r="P75" s="21"/>
      <c r="Q75" t="s">
        <v>37</v>
      </c>
      <c r="R75">
        <f t="shared" si="6"/>
        <v>2.1199999999999999E-3</v>
      </c>
      <c r="S75">
        <f t="shared" si="7"/>
        <v>2.2100000000000002E-3</v>
      </c>
      <c r="U75">
        <f t="shared" si="8"/>
        <v>1.9819999999999997E-2</v>
      </c>
      <c r="V75">
        <f t="shared" si="9"/>
        <v>1.9910000000000004E-2</v>
      </c>
      <c r="X75">
        <f>0.1*F25+(1-0.1)*B25</f>
        <v>2.2100000000000002E-3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2.14E-3</v>
      </c>
      <c r="G81">
        <f t="shared" si="11"/>
        <v>2.2200000000000002E-3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2.2200000000000002E-3</v>
      </c>
      <c r="P81" s="21"/>
      <c r="Q81" t="s">
        <v>37</v>
      </c>
      <c r="R81">
        <f t="shared" si="14"/>
        <v>2.1599999999999996E-3</v>
      </c>
      <c r="S81">
        <f t="shared" si="15"/>
        <v>2.2299999999999998E-3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2.2299999999999998E-3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2.1197500000000001E-3</v>
      </c>
      <c r="G88">
        <f t="shared" si="19"/>
        <v>2.2100000000000002E-3</v>
      </c>
      <c r="H88">
        <f t="shared" si="20"/>
        <v>3.852169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2.2100000000000002E-3</v>
      </c>
      <c r="M88">
        <f>M25+I25+E25</f>
        <v>14.725056000000002</v>
      </c>
      <c r="O88" s="20"/>
      <c r="P88" s="21"/>
      <c r="Q88" t="s">
        <v>37</v>
      </c>
      <c r="R88">
        <f t="shared" si="24"/>
        <v>2.1390000000000003E-3</v>
      </c>
      <c r="S88">
        <f t="shared" si="25"/>
        <v>2.2200000000000002E-3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2.2200000000000002E-3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2.176E-3</v>
      </c>
      <c r="G94">
        <f t="shared" si="29"/>
        <v>2.2400000000000002E-3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2.2400000000000002E-3</v>
      </c>
      <c r="O94" s="20"/>
      <c r="P94" s="21"/>
      <c r="Q94" t="s">
        <v>37</v>
      </c>
      <c r="R94">
        <f t="shared" si="32"/>
        <v>2.2110000000000003E-3</v>
      </c>
      <c r="S94">
        <f t="shared" si="33"/>
        <v>2.2599999999999999E-3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2.2599999999999999E-3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2.1292624999999996E-3</v>
      </c>
      <c r="G101">
        <f t="shared" si="37"/>
        <v>2.215E-3</v>
      </c>
      <c r="H101">
        <f t="shared" si="38"/>
        <v>5.2269430000000003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2.215E-3</v>
      </c>
      <c r="M101">
        <f>Q25+M25+I25+E25</f>
        <v>19.466906000000002</v>
      </c>
      <c r="N101" s="24"/>
      <c r="O101" s="20"/>
      <c r="P101" s="21"/>
      <c r="Q101" t="s">
        <v>37</v>
      </c>
      <c r="R101">
        <f t="shared" si="42"/>
        <v>2.1570999999999999E-3</v>
      </c>
      <c r="S101">
        <f t="shared" si="43"/>
        <v>2.2300000000000002E-3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2.2300000000000002E-3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2.2087999999999995E-3</v>
      </c>
      <c r="G107">
        <f t="shared" si="47"/>
        <v>2.2599999999999999E-3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2.2599999999999999E-3</v>
      </c>
      <c r="N107" s="24"/>
      <c r="O107" s="20"/>
      <c r="P107" s="21"/>
      <c r="Q107" t="s">
        <v>37</v>
      </c>
      <c r="R107">
        <f t="shared" si="50"/>
        <v>2.2557000000000002E-3</v>
      </c>
      <c r="S107">
        <f t="shared" si="51"/>
        <v>2.2900000000000004E-3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2.2900000000000004E-3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2.1049999999999997E-3</v>
      </c>
      <c r="G114">
        <f t="shared" si="55"/>
        <v>2.1049999999999997E-3</v>
      </c>
      <c r="H114">
        <f t="shared" si="56"/>
        <v>4.9028969999999994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2.1049999999999997E-3</v>
      </c>
      <c r="M114">
        <f>AA25+W25</f>
        <v>10.372187</v>
      </c>
      <c r="P114" s="21"/>
      <c r="Q114" t="s">
        <v>37</v>
      </c>
      <c r="R114">
        <f t="shared" si="60"/>
        <v>2.1099999999999999E-3</v>
      </c>
      <c r="S114">
        <f t="shared" si="61"/>
        <v>2.1099999999999999E-3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2.1099999999999999E-3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2.1200000000000004E-3</v>
      </c>
      <c r="G120">
        <f t="shared" si="65"/>
        <v>2.1200000000000004E-3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2.1200000000000004E-3</v>
      </c>
      <c r="P120" s="21"/>
      <c r="Q120" t="s">
        <v>37</v>
      </c>
      <c r="R120">
        <f t="shared" si="68"/>
        <v>2.1299999999999999E-3</v>
      </c>
      <c r="S120">
        <f t="shared" si="69"/>
        <v>2.1299999999999999E-3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2.1299999999999999E-3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2.1099999999999999E-3</v>
      </c>
      <c r="G127">
        <f t="shared" si="73"/>
        <v>2.1099999999999999E-3</v>
      </c>
      <c r="H127">
        <f t="shared" si="74"/>
        <v>7.3710259999999987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2.1099999999999999E-3</v>
      </c>
      <c r="M127">
        <f>AE25+AA25+W25</f>
        <v>15.051154</v>
      </c>
      <c r="O127" s="20"/>
      <c r="P127" s="21"/>
      <c r="Q127" t="s">
        <v>37</v>
      </c>
      <c r="R127">
        <f t="shared" si="78"/>
        <v>2.1200000000000004E-3</v>
      </c>
      <c r="S127">
        <f t="shared" si="79"/>
        <v>2.1200000000000004E-3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2.1200000000000004E-3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2.14E-3</v>
      </c>
      <c r="G133">
        <f t="shared" si="83"/>
        <v>2.14E-3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2.14E-3</v>
      </c>
      <c r="O133" s="20"/>
      <c r="P133" s="21"/>
      <c r="Q133" t="s">
        <v>37</v>
      </c>
      <c r="R133">
        <f t="shared" si="86"/>
        <v>2.1600000000000005E-3</v>
      </c>
      <c r="S133">
        <f t="shared" si="87"/>
        <v>2.1600000000000005E-3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2.1600000000000005E-3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2.1149999999999997E-3</v>
      </c>
      <c r="G140">
        <f t="shared" si="91"/>
        <v>2.1149999999999997E-3</v>
      </c>
      <c r="H140">
        <f t="shared" si="92"/>
        <v>9.587726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2.1149999999999997E-3</v>
      </c>
      <c r="M140">
        <f>AI25+AE25+AA25+W25</f>
        <v>20.262067999999999</v>
      </c>
      <c r="N140" s="24"/>
      <c r="O140" s="20"/>
      <c r="P140" s="21"/>
      <c r="Q140" t="s">
        <v>37</v>
      </c>
      <c r="R140">
        <f t="shared" si="96"/>
        <v>2.1299999999999999E-3</v>
      </c>
      <c r="S140">
        <f t="shared" si="97"/>
        <v>2.1299999999999999E-3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2.1299999999999999E-3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2.1599999999999996E-3</v>
      </c>
      <c r="G146">
        <f t="shared" si="101"/>
        <v>2.1599999999999996E-3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2.1599999999999996E-3</v>
      </c>
      <c r="N146" s="24"/>
      <c r="O146" s="20"/>
      <c r="P146" s="21"/>
      <c r="Q146" t="s">
        <v>37</v>
      </c>
      <c r="R146">
        <f t="shared" si="104"/>
        <v>2.1900000000000001E-3</v>
      </c>
      <c r="S146">
        <f t="shared" si="105"/>
        <v>2.1900000000000001E-3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2.1900000000000001E-3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1.7049999999999999E-3</v>
      </c>
      <c r="G153">
        <f t="shared" si="109"/>
        <v>1.905E-3</v>
      </c>
      <c r="H153">
        <f t="shared" si="110"/>
        <v>4.9081860000000006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1.805E-3</v>
      </c>
      <c r="M153">
        <f>I46+E46</f>
        <v>9.9185510000000008</v>
      </c>
      <c r="P153" s="21"/>
      <c r="Q153" t="s">
        <v>37</v>
      </c>
      <c r="R153">
        <f t="shared" si="114"/>
        <v>1.7099999999999999E-3</v>
      </c>
      <c r="S153">
        <f t="shared" si="115"/>
        <v>1.91E-3</v>
      </c>
      <c r="U153">
        <f t="shared" si="116"/>
        <v>1.311E-2</v>
      </c>
      <c r="V153">
        <f t="shared" si="117"/>
        <v>1.6389999999999998E-2</v>
      </c>
      <c r="X153">
        <f>0.1*F46+(1-0.1)*B46</f>
        <v>1.81E-3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1.7200000000000002E-3</v>
      </c>
      <c r="G159">
        <f t="shared" si="119"/>
        <v>1.92E-3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1.82E-3</v>
      </c>
      <c r="P159" s="21"/>
      <c r="Q159" t="s">
        <v>37</v>
      </c>
      <c r="R159">
        <f t="shared" si="122"/>
        <v>1.7299999999999998E-3</v>
      </c>
      <c r="S159">
        <f t="shared" si="123"/>
        <v>1.9299999999999999E-3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1.8299999999999998E-3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1.7100000000000001E-3</v>
      </c>
      <c r="G166">
        <f t="shared" si="127"/>
        <v>1.9100000000000002E-3</v>
      </c>
      <c r="H166">
        <f t="shared" si="128"/>
        <v>7.0634979999999992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1.81E-3</v>
      </c>
      <c r="M166">
        <f>M46+I46+E46</f>
        <v>15.133523</v>
      </c>
      <c r="O166" s="20"/>
      <c r="P166" s="21"/>
      <c r="Q166" t="s">
        <v>37</v>
      </c>
      <c r="R166">
        <f t="shared" si="132"/>
        <v>1.72E-3</v>
      </c>
      <c r="S166">
        <f t="shared" si="133"/>
        <v>1.92E-3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1.82E-3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1.7399999999999998E-3</v>
      </c>
      <c r="G172">
        <f t="shared" si="137"/>
        <v>1.9399999999999999E-3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1.8400000000000001E-3</v>
      </c>
      <c r="O172" s="20"/>
      <c r="P172" s="21"/>
      <c r="Q172" t="s">
        <v>37</v>
      </c>
      <c r="R172">
        <f t="shared" si="140"/>
        <v>1.7599999999999998E-3</v>
      </c>
      <c r="S172">
        <f t="shared" si="141"/>
        <v>1.9599999999999999E-3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1.8600000000000001E-3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1.7149999999999997E-3</v>
      </c>
      <c r="G179">
        <f t="shared" si="145"/>
        <v>1.9149999999999996E-3</v>
      </c>
      <c r="H179">
        <f t="shared" si="146"/>
        <v>9.5333360000000003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1.8150124999999997E-3</v>
      </c>
      <c r="M179">
        <f>Q46+M46+I46+E46</f>
        <v>20.385193000000001</v>
      </c>
      <c r="N179" s="24"/>
      <c r="O179" s="20"/>
      <c r="P179" s="21"/>
      <c r="Q179" t="s">
        <v>37</v>
      </c>
      <c r="R179">
        <f t="shared" si="150"/>
        <v>1.7299999999999998E-3</v>
      </c>
      <c r="S179">
        <f t="shared" si="151"/>
        <v>1.9299999999999999E-3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1.8300999999999999E-3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1.7599999999999998E-3</v>
      </c>
      <c r="G185">
        <f t="shared" si="155"/>
        <v>1.9599999999999999E-3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1.8607999999999999E-3</v>
      </c>
      <c r="N185" s="24"/>
      <c r="O185" s="20"/>
      <c r="P185" s="21"/>
      <c r="Q185" t="s">
        <v>37</v>
      </c>
      <c r="R185">
        <f t="shared" si="158"/>
        <v>1.7899999999999999E-3</v>
      </c>
      <c r="S185">
        <f t="shared" si="159"/>
        <v>1.99E-3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1.8927000000000002E-3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9.0499999999999999E-4</v>
      </c>
      <c r="G192">
        <f t="shared" si="163"/>
        <v>1.6050000000000001E-3</v>
      </c>
      <c r="H192">
        <f t="shared" si="164"/>
        <v>4.3767449999999997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1.4E-3</v>
      </c>
      <c r="M192">
        <f>AA46+W46</f>
        <v>9.3547030000000007</v>
      </c>
      <c r="P192" s="21"/>
      <c r="Q192" t="s">
        <v>37</v>
      </c>
      <c r="R192">
        <f t="shared" si="168"/>
        <v>9.1E-4</v>
      </c>
      <c r="S192">
        <f t="shared" si="169"/>
        <v>1.6100000000000001E-3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1.4E-3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9.2000000000000003E-4</v>
      </c>
      <c r="G198">
        <f t="shared" si="173"/>
        <v>1.6200000000000001E-3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1.4000000000000002E-3</v>
      </c>
      <c r="P198" s="21"/>
      <c r="Q198" t="s">
        <v>37</v>
      </c>
      <c r="R198">
        <f t="shared" si="176"/>
        <v>9.2999999999999984E-4</v>
      </c>
      <c r="S198">
        <f t="shared" si="177"/>
        <v>1.6299999999999999E-3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1.4E-3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9.0975000000000008E-4</v>
      </c>
      <c r="G205">
        <f t="shared" si="181"/>
        <v>1.6100000000000001E-3</v>
      </c>
      <c r="H205">
        <f t="shared" si="182"/>
        <v>6.4743700000000004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1.40025E-3</v>
      </c>
      <c r="M205">
        <f>AE46+AA46+W46</f>
        <v>14.113492000000001</v>
      </c>
      <c r="O205" s="20"/>
      <c r="P205" s="21"/>
      <c r="Q205" t="s">
        <v>37</v>
      </c>
      <c r="R205">
        <f t="shared" si="185"/>
        <v>9.1900000000000011E-4</v>
      </c>
      <c r="S205">
        <f t="shared" si="186"/>
        <v>1.6200000000000001E-3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1.4010000000000001E-3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9.3599999999999998E-4</v>
      </c>
      <c r="G211">
        <f t="shared" si="190"/>
        <v>1.64E-3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1.4039999999999999E-3</v>
      </c>
      <c r="O211" s="20"/>
      <c r="P211" s="21"/>
      <c r="Q211" t="s">
        <v>37</v>
      </c>
      <c r="R211">
        <f t="shared" si="193"/>
        <v>9.5100000000000013E-4</v>
      </c>
      <c r="S211">
        <f t="shared" si="194"/>
        <v>1.66E-3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1.4090000000000001E-3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9.1427499999999988E-4</v>
      </c>
      <c r="G218">
        <f t="shared" si="198"/>
        <v>1.6149999999999999E-3</v>
      </c>
      <c r="H218">
        <f t="shared" si="199"/>
        <v>8.8200959999999995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1.4007374999999999E-3</v>
      </c>
      <c r="M218">
        <f>AI46+AE46+AA46+W46</f>
        <v>18.748486</v>
      </c>
      <c r="N218" s="24"/>
      <c r="O218" s="20"/>
      <c r="P218" s="21"/>
      <c r="Q218" t="s">
        <v>37</v>
      </c>
      <c r="R218">
        <f t="shared" si="203"/>
        <v>9.2719999999999999E-4</v>
      </c>
      <c r="S218">
        <f t="shared" si="204"/>
        <v>1.6299999999999999E-3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1.4028999999999999E-3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9.4959999999999999E-4</v>
      </c>
      <c r="G224">
        <f t="shared" si="208"/>
        <v>1.66E-3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1.4112E-3</v>
      </c>
      <c r="N224" s="24"/>
      <c r="O224" s="20"/>
      <c r="P224" s="21"/>
      <c r="Q224" t="s">
        <v>37</v>
      </c>
      <c r="R224">
        <f t="shared" si="211"/>
        <v>9.6840000000000012E-4</v>
      </c>
      <c r="S224">
        <f t="shared" si="212"/>
        <v>1.6899999999999999E-3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1.4243000000000001E-3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3.5933999999999998E-4</v>
      </c>
      <c r="G231">
        <f t="shared" si="216"/>
        <v>9.8156999999999997E-4</v>
      </c>
      <c r="H231">
        <f t="shared" si="217"/>
        <v>4.6860909999999993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6.4060000000000007E-4</v>
      </c>
      <c r="M231">
        <f>I66+E66</f>
        <v>9.7396060000000002</v>
      </c>
      <c r="P231" s="21"/>
      <c r="Q231" t="s">
        <v>37</v>
      </c>
      <c r="R231">
        <f t="shared" si="221"/>
        <v>3.6148000000000002E-4</v>
      </c>
      <c r="S231">
        <f t="shared" si="222"/>
        <v>9.8254000000000006E-4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6.4260000000000001E-4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3.6576000000000002E-4</v>
      </c>
      <c r="G237">
        <f t="shared" si="226"/>
        <v>9.8448000000000025E-4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6.466E-4</v>
      </c>
      <c r="P237" s="21"/>
      <c r="Q237" t="s">
        <v>37</v>
      </c>
      <c r="R237">
        <f t="shared" si="229"/>
        <v>3.7003999999999997E-4</v>
      </c>
      <c r="S237">
        <f t="shared" si="230"/>
        <v>9.8642000000000001E-4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6.5059999999999998E-4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3.6137300000000001E-4</v>
      </c>
      <c r="G244">
        <f t="shared" si="234"/>
        <v>9.8274150000000025E-4</v>
      </c>
      <c r="H244">
        <f t="shared" si="235"/>
        <v>6.718572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6.4264300000000003E-4</v>
      </c>
      <c r="M244">
        <f>M66+I66+E66</f>
        <v>14.713386</v>
      </c>
      <c r="O244" s="20"/>
      <c r="P244" s="21"/>
      <c r="Q244" t="s">
        <v>37</v>
      </c>
      <c r="R244">
        <f t="shared" si="239"/>
        <v>3.65332E-4</v>
      </c>
      <c r="S244">
        <f t="shared" si="240"/>
        <v>9.8528600000000015E-4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6.467720000000001E-4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3.7260799999999997E-4</v>
      </c>
      <c r="G250">
        <f t="shared" si="244"/>
        <v>9.91584E-4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6.5528799999999996E-4</v>
      </c>
      <c r="O250" s="20"/>
      <c r="P250" s="21"/>
      <c r="Q250" t="s">
        <v>37</v>
      </c>
      <c r="R250">
        <f t="shared" si="247"/>
        <v>3.79028E-4</v>
      </c>
      <c r="S250">
        <f t="shared" si="248"/>
        <v>9.9949400000000008E-4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6.6414800000000004E-4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3.6330434999999996E-4</v>
      </c>
      <c r="G257">
        <f t="shared" si="252"/>
        <v>9.84104425E-4</v>
      </c>
      <c r="H257">
        <f t="shared" si="253"/>
        <v>9.0792819999999992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6.4472326249999986E-4</v>
      </c>
      <c r="M257">
        <f>Q66+M66+I66+E66</f>
        <v>19.918202999999998</v>
      </c>
      <c r="N257" s="24"/>
      <c r="O257" s="20"/>
      <c r="P257" s="21"/>
      <c r="Q257" t="s">
        <v>37</v>
      </c>
      <c r="R257">
        <f t="shared" si="257"/>
        <v>3.6879879999999999E-4</v>
      </c>
      <c r="S257">
        <f t="shared" si="258"/>
        <v>9.8875739999999997E-4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6.5107009999999994E-4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3.7808639999999994E-4</v>
      </c>
      <c r="G263">
        <f t="shared" si="262"/>
        <v>1.0012672000000002E-3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6.6429680000000004E-4</v>
      </c>
      <c r="N263" s="24"/>
      <c r="O263" s="20"/>
      <c r="P263" s="21"/>
      <c r="Q263" t="s">
        <v>37</v>
      </c>
      <c r="R263">
        <f t="shared" si="265"/>
        <v>3.853196E-4</v>
      </c>
      <c r="S263">
        <f t="shared" si="266"/>
        <v>1.0176458E-3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6.7800470000000009E-4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80</v>
      </c>
      <c r="C9" s="16"/>
      <c r="D9" s="16"/>
      <c r="E9" s="16"/>
      <c r="F9" s="16" t="s">
        <v>81</v>
      </c>
      <c r="G9" s="16"/>
      <c r="H9" s="16"/>
      <c r="I9" s="16"/>
      <c r="J9" s="16" t="s">
        <v>82</v>
      </c>
      <c r="K9" s="16"/>
      <c r="L9" s="16"/>
      <c r="M9" s="16"/>
      <c r="N9" s="16" t="s">
        <v>83</v>
      </c>
      <c r="O9" s="16"/>
      <c r="P9" s="16"/>
      <c r="Q9" s="16"/>
      <c r="S9" s="22" t="s">
        <v>12</v>
      </c>
      <c r="T9" s="16" t="s">
        <v>80</v>
      </c>
      <c r="U9" s="16"/>
      <c r="V9" s="16"/>
      <c r="W9" s="16"/>
      <c r="X9" s="16" t="s">
        <v>81</v>
      </c>
      <c r="Y9" s="16"/>
      <c r="Z9" s="16"/>
      <c r="AA9" s="16"/>
      <c r="AB9" s="16" t="s">
        <v>82</v>
      </c>
      <c r="AC9" s="16"/>
      <c r="AD9" s="16"/>
      <c r="AE9" s="16"/>
      <c r="AF9" s="16" t="s">
        <v>83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2E-3</v>
      </c>
      <c r="D13" s="10">
        <v>2E-3</v>
      </c>
      <c r="E13" s="10">
        <v>1.3474999999999999</v>
      </c>
      <c r="F13" t="s">
        <v>22</v>
      </c>
      <c r="G13" s="10">
        <v>2.2000000000000001E-3</v>
      </c>
      <c r="H13" s="10">
        <v>2.2000000000000001E-3</v>
      </c>
      <c r="I13" s="10">
        <v>1.070764</v>
      </c>
      <c r="J13" t="s">
        <v>22</v>
      </c>
      <c r="K13" s="10">
        <v>2.3E-3</v>
      </c>
      <c r="L13" s="10">
        <v>2.3E-3</v>
      </c>
      <c r="M13" s="10">
        <v>1.2816019999999999</v>
      </c>
      <c r="N13" t="s">
        <v>22</v>
      </c>
      <c r="O13" s="10">
        <v>2.3999999999999998E-3</v>
      </c>
      <c r="P13" s="10">
        <v>2.3999999999999998E-3</v>
      </c>
      <c r="Q13" s="10">
        <v>1.3747739999999999</v>
      </c>
      <c r="S13" s="22"/>
      <c r="T13" t="s">
        <v>22</v>
      </c>
      <c r="U13">
        <v>2E-3</v>
      </c>
      <c r="V13">
        <v>2E-3</v>
      </c>
      <c r="W13">
        <v>2.1092620000000002</v>
      </c>
      <c r="X13" t="s">
        <v>22</v>
      </c>
      <c r="Y13">
        <v>2.0999999999999999E-3</v>
      </c>
      <c r="Z13">
        <v>2.0999999999999999E-3</v>
      </c>
      <c r="AA13">
        <v>1.725487</v>
      </c>
      <c r="AB13" t="s">
        <v>22</v>
      </c>
      <c r="AC13">
        <v>2.2000000000000001E-3</v>
      </c>
      <c r="AD13">
        <v>2.2000000000000001E-3</v>
      </c>
      <c r="AE13">
        <v>1.685017</v>
      </c>
      <c r="AF13" t="s">
        <v>22</v>
      </c>
      <c r="AG13">
        <v>2.3E-3</v>
      </c>
      <c r="AH13">
        <v>2.3E-3</v>
      </c>
      <c r="AI13">
        <v>1.735284</v>
      </c>
    </row>
    <row r="16" spans="1:35" x14ac:dyDescent="0.25">
      <c r="A16" s="18" t="s">
        <v>23</v>
      </c>
      <c r="B16" s="16" t="s">
        <v>80</v>
      </c>
      <c r="C16" s="16"/>
      <c r="D16" s="16"/>
      <c r="E16" s="16"/>
      <c r="F16" s="16" t="s">
        <v>81</v>
      </c>
      <c r="G16" s="16"/>
      <c r="H16" s="16"/>
      <c r="I16" s="16"/>
      <c r="J16" s="16" t="s">
        <v>82</v>
      </c>
      <c r="K16" s="16"/>
      <c r="L16" s="16"/>
      <c r="M16" s="16"/>
      <c r="N16" s="16" t="s">
        <v>83</v>
      </c>
      <c r="O16" s="16"/>
      <c r="P16" s="16"/>
      <c r="Q16" s="16"/>
      <c r="S16" s="18" t="s">
        <v>23</v>
      </c>
      <c r="T16" s="16" t="s">
        <v>80</v>
      </c>
      <c r="U16" s="16"/>
      <c r="V16" s="16"/>
      <c r="W16" s="16"/>
      <c r="X16" s="16" t="s">
        <v>81</v>
      </c>
      <c r="Y16" s="16"/>
      <c r="Z16" s="16"/>
      <c r="AA16" s="16"/>
      <c r="AB16" s="16" t="s">
        <v>82</v>
      </c>
      <c r="AC16" s="16"/>
      <c r="AD16" s="16"/>
      <c r="AE16" s="16"/>
      <c r="AF16" s="16" t="s">
        <v>83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80</v>
      </c>
      <c r="C23" s="16"/>
      <c r="D23" s="16"/>
      <c r="E23" s="16"/>
      <c r="F23" s="16" t="s">
        <v>81</v>
      </c>
      <c r="G23" s="16"/>
      <c r="H23" s="16"/>
      <c r="I23" s="16"/>
      <c r="J23" s="16" t="s">
        <v>82</v>
      </c>
      <c r="K23" s="16"/>
      <c r="L23" s="16"/>
      <c r="M23" s="16"/>
      <c r="N23" s="16" t="s">
        <v>83</v>
      </c>
      <c r="O23" s="16"/>
      <c r="P23" s="16"/>
      <c r="Q23" s="16"/>
      <c r="S23" s="23" t="s">
        <v>24</v>
      </c>
      <c r="T23" s="16" t="s">
        <v>80</v>
      </c>
      <c r="U23" s="16"/>
      <c r="V23" s="16"/>
      <c r="W23" s="16"/>
      <c r="X23" s="16" t="s">
        <v>81</v>
      </c>
      <c r="Y23" s="16"/>
      <c r="Z23" s="16"/>
      <c r="AA23" s="16"/>
      <c r="AB23" s="16" t="s">
        <v>82</v>
      </c>
      <c r="AC23" s="16"/>
      <c r="AD23" s="16"/>
      <c r="AE23" s="16"/>
      <c r="AF23" s="16" t="s">
        <v>83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2E-3</v>
      </c>
      <c r="C25" s="6"/>
      <c r="D25" s="6"/>
      <c r="E25">
        <v>5.1044289999999997</v>
      </c>
      <c r="F25" s="6">
        <v>2.2000000000000001E-3</v>
      </c>
      <c r="G25" s="6"/>
      <c r="H25" s="6"/>
      <c r="I25">
        <v>5.0281169999999999</v>
      </c>
      <c r="J25">
        <v>2.3E-3</v>
      </c>
      <c r="K25" s="6"/>
      <c r="L25" s="6"/>
      <c r="M25">
        <v>4.9733489999999998</v>
      </c>
      <c r="N25" s="6">
        <v>2.3999999999999998E-3</v>
      </c>
      <c r="O25" s="6"/>
      <c r="P25" s="6"/>
      <c r="Q25">
        <v>4.9999250000000002</v>
      </c>
      <c r="S25" s="23"/>
      <c r="T25" s="6">
        <v>2E-3</v>
      </c>
      <c r="U25" s="6"/>
      <c r="V25" s="6"/>
      <c r="W25">
        <v>5.0366569999999999</v>
      </c>
      <c r="X25" s="6">
        <v>2.0999999999999999E-3</v>
      </c>
      <c r="Y25" s="6"/>
      <c r="Z25" s="6"/>
      <c r="AA25">
        <v>4.3098939999999999</v>
      </c>
      <c r="AB25" s="6">
        <v>2.2000000000000001E-3</v>
      </c>
      <c r="AC25" s="6"/>
      <c r="AD25" s="6"/>
      <c r="AE25">
        <v>5.0065150000000003</v>
      </c>
      <c r="AF25" s="6">
        <v>2.3E-3</v>
      </c>
      <c r="AG25" s="6"/>
      <c r="AH25" s="6"/>
      <c r="AI25">
        <v>4.9833189999999998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80</v>
      </c>
      <c r="C30" s="16"/>
      <c r="D30" s="16"/>
      <c r="E30" s="16"/>
      <c r="F30" s="16" t="s">
        <v>81</v>
      </c>
      <c r="G30" s="16"/>
      <c r="H30" s="16"/>
      <c r="I30" s="16"/>
      <c r="J30" s="16" t="s">
        <v>82</v>
      </c>
      <c r="K30" s="16"/>
      <c r="L30" s="16"/>
      <c r="M30" s="16"/>
      <c r="N30" s="16" t="s">
        <v>83</v>
      </c>
      <c r="O30" s="16"/>
      <c r="P30" s="16"/>
      <c r="Q30" s="16"/>
      <c r="S30" s="22" t="s">
        <v>12</v>
      </c>
      <c r="T30" s="16" t="s">
        <v>80</v>
      </c>
      <c r="U30" s="16"/>
      <c r="V30" s="16"/>
      <c r="W30" s="16"/>
      <c r="X30" s="16" t="s">
        <v>81</v>
      </c>
      <c r="Y30" s="16"/>
      <c r="Z30" s="16"/>
      <c r="AA30" s="16"/>
      <c r="AB30" s="16" t="s">
        <v>82</v>
      </c>
      <c r="AC30" s="16"/>
      <c r="AD30" s="16"/>
      <c r="AE30" s="16"/>
      <c r="AF30" s="16" t="s">
        <v>83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1.6999999999999999E-3</v>
      </c>
      <c r="D34">
        <v>1.8E-3</v>
      </c>
      <c r="E34">
        <v>1.7139990000000001</v>
      </c>
      <c r="F34" t="s">
        <v>22</v>
      </c>
      <c r="G34">
        <v>1.6999999999999999E-3</v>
      </c>
      <c r="H34">
        <v>1.9E-3</v>
      </c>
      <c r="I34">
        <v>1.7628779999999999</v>
      </c>
      <c r="J34" t="s">
        <v>22</v>
      </c>
      <c r="K34">
        <v>1.8E-3</v>
      </c>
      <c r="L34" s="10">
        <v>2E-3</v>
      </c>
      <c r="M34">
        <v>1.73332</v>
      </c>
      <c r="N34" t="s">
        <v>22</v>
      </c>
      <c r="O34">
        <v>1.9E-3</v>
      </c>
      <c r="P34">
        <v>2.0999999999999999E-3</v>
      </c>
      <c r="Q34">
        <v>2.0238990000000001</v>
      </c>
      <c r="S34" s="22"/>
      <c r="T34" t="s">
        <v>22</v>
      </c>
      <c r="U34">
        <v>8.9999999999999998E-4</v>
      </c>
      <c r="V34">
        <v>1.5E-3</v>
      </c>
      <c r="W34">
        <v>1.648512</v>
      </c>
      <c r="X34" t="s">
        <v>22</v>
      </c>
      <c r="Y34">
        <v>8.9999999999999998E-4</v>
      </c>
      <c r="Z34">
        <v>1.6000000000000001E-3</v>
      </c>
      <c r="AA34">
        <v>2.0470259999999998</v>
      </c>
      <c r="AB34" t="s">
        <v>22</v>
      </c>
      <c r="AC34">
        <v>1E-3</v>
      </c>
      <c r="AD34">
        <v>1.6999999999999999E-3</v>
      </c>
      <c r="AE34">
        <v>1.9239390000000001</v>
      </c>
      <c r="AF34" t="s">
        <v>22</v>
      </c>
      <c r="AG34">
        <v>1E-3</v>
      </c>
      <c r="AH34" s="11">
        <v>1.8E-3</v>
      </c>
      <c r="AI34">
        <v>1.7092210000000001</v>
      </c>
    </row>
    <row r="37" spans="1:35" x14ac:dyDescent="0.25">
      <c r="A37" s="18" t="s">
        <v>23</v>
      </c>
      <c r="B37" s="16" t="s">
        <v>80</v>
      </c>
      <c r="C37" s="16"/>
      <c r="D37" s="16"/>
      <c r="E37" s="16"/>
      <c r="F37" s="16" t="s">
        <v>81</v>
      </c>
      <c r="G37" s="16"/>
      <c r="H37" s="16"/>
      <c r="I37" s="16"/>
      <c r="J37" s="16" t="s">
        <v>82</v>
      </c>
      <c r="K37" s="16"/>
      <c r="L37" s="16"/>
      <c r="M37" s="16"/>
      <c r="N37" s="16" t="s">
        <v>83</v>
      </c>
      <c r="O37" s="16"/>
      <c r="P37" s="16"/>
      <c r="Q37" s="16"/>
      <c r="S37" s="18" t="s">
        <v>23</v>
      </c>
      <c r="T37" s="16" t="s">
        <v>80</v>
      </c>
      <c r="U37" s="16"/>
      <c r="V37" s="16"/>
      <c r="W37" s="16"/>
      <c r="X37" s="16" t="s">
        <v>81</v>
      </c>
      <c r="Y37" s="16"/>
      <c r="Z37" s="16"/>
      <c r="AA37" s="16"/>
      <c r="AB37" s="16" t="s">
        <v>82</v>
      </c>
      <c r="AC37" s="16"/>
      <c r="AD37" s="16"/>
      <c r="AE37" s="16"/>
      <c r="AF37" s="16" t="s">
        <v>83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80</v>
      </c>
      <c r="C44" s="16"/>
      <c r="D44" s="16"/>
      <c r="E44" s="16"/>
      <c r="F44" s="16" t="s">
        <v>81</v>
      </c>
      <c r="G44" s="16"/>
      <c r="H44" s="16"/>
      <c r="I44" s="16"/>
      <c r="J44" s="16" t="s">
        <v>82</v>
      </c>
      <c r="K44" s="16"/>
      <c r="L44" s="16"/>
      <c r="M44" s="16"/>
      <c r="N44" s="16" t="s">
        <v>83</v>
      </c>
      <c r="O44" s="16"/>
      <c r="P44" s="16"/>
      <c r="Q44" s="16"/>
      <c r="S44" s="23" t="s">
        <v>24</v>
      </c>
      <c r="T44" s="16" t="s">
        <v>80</v>
      </c>
      <c r="U44" s="16"/>
      <c r="V44" s="16"/>
      <c r="W44" s="16"/>
      <c r="X44" s="16" t="s">
        <v>81</v>
      </c>
      <c r="Y44" s="16"/>
      <c r="Z44" s="16"/>
      <c r="AA44" s="16"/>
      <c r="AB44" s="16" t="s">
        <v>82</v>
      </c>
      <c r="AC44" s="16"/>
      <c r="AD44" s="16"/>
      <c r="AE44" s="16"/>
      <c r="AF44" s="16" t="s">
        <v>83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1.8E-3</v>
      </c>
      <c r="C46" s="6"/>
      <c r="D46" s="6"/>
      <c r="E46">
        <v>0.13157099999999999</v>
      </c>
      <c r="F46" s="6">
        <v>1.9E-3</v>
      </c>
      <c r="G46" s="6"/>
      <c r="H46" s="6"/>
      <c r="I46">
        <v>5.0548890000000002</v>
      </c>
      <c r="J46" s="6">
        <v>2E-3</v>
      </c>
      <c r="K46" s="6"/>
      <c r="L46" s="6"/>
      <c r="M46">
        <v>4.9801190000000002</v>
      </c>
      <c r="N46" s="6">
        <v>2E-3</v>
      </c>
      <c r="O46" s="6"/>
      <c r="P46" s="6"/>
      <c r="Q46">
        <v>5.0157930000000004</v>
      </c>
      <c r="S46" s="23"/>
      <c r="T46" s="6">
        <v>1.2999999999999999E-3</v>
      </c>
      <c r="U46" s="6"/>
      <c r="V46" s="6"/>
      <c r="W46">
        <v>5.1759659999999998</v>
      </c>
      <c r="X46" s="6">
        <v>1.4E-3</v>
      </c>
      <c r="Y46" s="6"/>
      <c r="Z46" s="6"/>
      <c r="AA46">
        <v>4.924315</v>
      </c>
      <c r="AB46" s="6">
        <v>1.5E-3</v>
      </c>
      <c r="AC46" s="6"/>
      <c r="AD46" s="6"/>
      <c r="AE46">
        <v>5.0244289999999996</v>
      </c>
      <c r="AF46" s="6">
        <v>1.5E-3</v>
      </c>
      <c r="AG46" s="6"/>
      <c r="AH46" s="6"/>
      <c r="AI46">
        <v>5.0100429999999996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80</v>
      </c>
      <c r="C50" s="16"/>
      <c r="D50" s="16"/>
      <c r="E50" s="16"/>
      <c r="F50" s="16" t="s">
        <v>81</v>
      </c>
      <c r="G50" s="16"/>
      <c r="H50" s="16"/>
      <c r="I50" s="16"/>
      <c r="J50" s="16" t="s">
        <v>82</v>
      </c>
      <c r="K50" s="16"/>
      <c r="L50" s="16"/>
      <c r="M50" s="16"/>
      <c r="N50" s="16" t="s">
        <v>83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3.5490000000000001E-4</v>
      </c>
      <c r="D54" s="2">
        <v>9.368E-4</v>
      </c>
      <c r="E54">
        <v>2.3436599999999999</v>
      </c>
      <c r="F54" t="s">
        <v>22</v>
      </c>
      <c r="G54">
        <v>4.0000000000000002E-4</v>
      </c>
      <c r="H54">
        <v>1E-3</v>
      </c>
      <c r="I54">
        <v>1.8603369999999999</v>
      </c>
      <c r="J54" t="s">
        <v>22</v>
      </c>
      <c r="K54">
        <v>4.0000000000000002E-4</v>
      </c>
      <c r="L54">
        <v>1.1000000000000001E-3</v>
      </c>
      <c r="M54">
        <v>2.0614439999999998</v>
      </c>
      <c r="N54" t="s">
        <v>22</v>
      </c>
      <c r="O54">
        <v>4.0000000000000002E-4</v>
      </c>
      <c r="P54">
        <v>1.1000000000000001E-3</v>
      </c>
      <c r="Q54">
        <v>2.062046</v>
      </c>
    </row>
    <row r="57" spans="1:17" x14ac:dyDescent="0.25">
      <c r="A57" s="18" t="s">
        <v>23</v>
      </c>
      <c r="B57" s="16" t="s">
        <v>80</v>
      </c>
      <c r="C57" s="16"/>
      <c r="D57" s="16"/>
      <c r="E57" s="16"/>
      <c r="F57" s="16" t="s">
        <v>81</v>
      </c>
      <c r="G57" s="16"/>
      <c r="H57" s="16"/>
      <c r="I57" s="16"/>
      <c r="J57" s="16" t="s">
        <v>82</v>
      </c>
      <c r="K57" s="16"/>
      <c r="L57" s="16"/>
      <c r="M57" s="16"/>
      <c r="N57" s="16" t="s">
        <v>83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80</v>
      </c>
      <c r="C64" s="16"/>
      <c r="D64" s="16"/>
      <c r="E64" s="16"/>
      <c r="F64" s="16" t="s">
        <v>81</v>
      </c>
      <c r="G64" s="16"/>
      <c r="H64" s="16"/>
      <c r="I64" s="16"/>
      <c r="J64" s="16" t="s">
        <v>82</v>
      </c>
      <c r="K64" s="16"/>
      <c r="L64" s="16"/>
      <c r="M64" s="16"/>
      <c r="N64" s="16" t="s">
        <v>83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6.1700000000000004E-4</v>
      </c>
      <c r="C66" s="6"/>
      <c r="D66" s="6"/>
      <c r="E66">
        <v>4.7854289999999997</v>
      </c>
      <c r="F66" s="6"/>
      <c r="G66" s="3">
        <v>6.6779999999999997E-4</v>
      </c>
      <c r="H66" s="6"/>
      <c r="I66">
        <v>4.9902139999999999</v>
      </c>
      <c r="J66" s="3">
        <v>7.0160000000000003E-4</v>
      </c>
      <c r="K66" s="6"/>
      <c r="L66" s="6"/>
      <c r="M66">
        <v>5.0443540000000002</v>
      </c>
      <c r="N66" s="3">
        <v>7.7510000000000003E-4</v>
      </c>
      <c r="O66" s="6"/>
      <c r="P66" s="6"/>
      <c r="Q66">
        <v>5.0737040000000002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2.0100000000000001E-3</v>
      </c>
      <c r="G75">
        <f t="shared" si="1"/>
        <v>2.0100000000000001E-3</v>
      </c>
      <c r="H75">
        <f t="shared" si="2"/>
        <v>2.4182639999999997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2.0100000000000001E-3</v>
      </c>
      <c r="M75">
        <f>I25+E25</f>
        <v>10.132546</v>
      </c>
      <c r="P75" s="21"/>
      <c r="Q75" t="s">
        <v>37</v>
      </c>
      <c r="R75">
        <f t="shared" si="6"/>
        <v>2.0200000000000001E-3</v>
      </c>
      <c r="S75">
        <f t="shared" si="7"/>
        <v>2.0200000000000001E-3</v>
      </c>
      <c r="U75">
        <f t="shared" si="8"/>
        <v>1.9819999999999997E-2</v>
      </c>
      <c r="V75">
        <f t="shared" si="9"/>
        <v>1.9910000000000004E-2</v>
      </c>
      <c r="X75">
        <f>0.1*F25+(1-0.1)*B25</f>
        <v>2.0200000000000001E-3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2.0400000000000001E-3</v>
      </c>
      <c r="G81">
        <f t="shared" si="11"/>
        <v>2.0400000000000001E-3</v>
      </c>
      <c r="I81">
        <f t="shared" si="12"/>
        <v>1.9939999999999999E-2</v>
      </c>
      <c r="J81">
        <f t="shared" si="13"/>
        <v>2.0020000000000003E-2</v>
      </c>
      <c r="L81">
        <f>0.2*F25+(1-0.2)*B25</f>
        <v>2.0400000000000001E-3</v>
      </c>
      <c r="P81" s="21"/>
      <c r="Q81" t="s">
        <v>37</v>
      </c>
      <c r="R81">
        <f t="shared" si="14"/>
        <v>2.0600000000000002E-3</v>
      </c>
      <c r="S81">
        <f t="shared" si="15"/>
        <v>2.0600000000000002E-3</v>
      </c>
      <c r="U81">
        <f t="shared" si="16"/>
        <v>2.0059999999999998E-2</v>
      </c>
      <c r="V81">
        <f t="shared" si="17"/>
        <v>2.0130000000000002E-2</v>
      </c>
      <c r="X81">
        <f>0.3*F25+(1-0.3)*B25</f>
        <v>2.0600000000000002E-3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2.0197500000000003E-3</v>
      </c>
      <c r="G88">
        <f t="shared" si="19"/>
        <v>2.0197500000000003E-3</v>
      </c>
      <c r="H88">
        <f t="shared" si="20"/>
        <v>3.6998660000000001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2.0197500000000003E-3</v>
      </c>
      <c r="M88">
        <f>M25+I25+E25</f>
        <v>15.105895</v>
      </c>
      <c r="O88" s="20"/>
      <c r="P88" s="21"/>
      <c r="Q88" t="s">
        <v>37</v>
      </c>
      <c r="R88">
        <f t="shared" si="24"/>
        <v>2.039E-3</v>
      </c>
      <c r="S88">
        <f t="shared" si="25"/>
        <v>2.039E-3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2.039E-3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2.0760000000000002E-3</v>
      </c>
      <c r="G94">
        <f t="shared" si="29"/>
        <v>2.0760000000000002E-3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2.0760000000000002E-3</v>
      </c>
      <c r="O94" s="20"/>
      <c r="P94" s="21"/>
      <c r="Q94" t="s">
        <v>37</v>
      </c>
      <c r="R94">
        <f t="shared" si="32"/>
        <v>2.111E-3</v>
      </c>
      <c r="S94">
        <f t="shared" si="33"/>
        <v>2.111E-3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2.111E-3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2.0292624999999997E-3</v>
      </c>
      <c r="G101">
        <f t="shared" si="37"/>
        <v>2.0292624999999997E-3</v>
      </c>
      <c r="H101">
        <f t="shared" si="38"/>
        <v>5.0746399999999996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2.0292624999999997E-3</v>
      </c>
      <c r="M101">
        <f>Q25+M25+I25+E25</f>
        <v>20.105820000000001</v>
      </c>
      <c r="N101" s="24"/>
      <c r="O101" s="20"/>
      <c r="P101" s="21"/>
      <c r="Q101" t="s">
        <v>37</v>
      </c>
      <c r="R101">
        <f t="shared" si="42"/>
        <v>2.0571000000000001E-3</v>
      </c>
      <c r="S101">
        <f t="shared" si="43"/>
        <v>2.0571000000000001E-3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2.0571000000000001E-3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2.1088000000000001E-3</v>
      </c>
      <c r="G107">
        <f t="shared" si="47"/>
        <v>2.1088000000000001E-3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2.1088000000000001E-3</v>
      </c>
      <c r="N107" s="24"/>
      <c r="O107" s="20"/>
      <c r="P107" s="21"/>
      <c r="Q107" t="s">
        <v>37</v>
      </c>
      <c r="R107">
        <f t="shared" si="50"/>
        <v>2.1557E-3</v>
      </c>
      <c r="S107">
        <f t="shared" si="51"/>
        <v>2.1557E-3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2.1557E-3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2.0049999999999998E-3</v>
      </c>
      <c r="G114">
        <f t="shared" si="55"/>
        <v>2.0049999999999998E-3</v>
      </c>
      <c r="H114">
        <f t="shared" si="56"/>
        <v>3.8347490000000004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2.0049999999999998E-3</v>
      </c>
      <c r="M114">
        <f>AA25+W25</f>
        <v>9.3465509999999998</v>
      </c>
      <c r="P114" s="21"/>
      <c r="Q114" t="s">
        <v>37</v>
      </c>
      <c r="R114">
        <f t="shared" si="60"/>
        <v>2.0100000000000001E-3</v>
      </c>
      <c r="S114">
        <f t="shared" si="61"/>
        <v>2.0100000000000001E-3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2.0100000000000001E-3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2.0200000000000001E-3</v>
      </c>
      <c r="G120">
        <f t="shared" si="65"/>
        <v>2.0200000000000001E-3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2.0200000000000001E-3</v>
      </c>
      <c r="P120" s="21"/>
      <c r="Q120" t="s">
        <v>37</v>
      </c>
      <c r="R120">
        <f t="shared" si="68"/>
        <v>2.0299999999999997E-3</v>
      </c>
      <c r="S120">
        <f t="shared" si="69"/>
        <v>2.0299999999999997E-3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2.0299999999999997E-3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2.0100000000000001E-3</v>
      </c>
      <c r="G127">
        <f t="shared" si="73"/>
        <v>2.0100000000000001E-3</v>
      </c>
      <c r="H127">
        <f t="shared" si="74"/>
        <v>5.5197660000000006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2.0100000000000001E-3</v>
      </c>
      <c r="M127">
        <f>AE25+AA25+W25</f>
        <v>14.353066</v>
      </c>
      <c r="O127" s="20"/>
      <c r="P127" s="21"/>
      <c r="Q127" t="s">
        <v>37</v>
      </c>
      <c r="R127">
        <f t="shared" si="78"/>
        <v>2.0200000000000001E-3</v>
      </c>
      <c r="S127">
        <f t="shared" si="79"/>
        <v>2.0200000000000001E-3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2.0200000000000001E-3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2.0400000000000001E-3</v>
      </c>
      <c r="G133">
        <f t="shared" si="83"/>
        <v>2.0400000000000001E-3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2.0400000000000001E-3</v>
      </c>
      <c r="O133" s="20"/>
      <c r="P133" s="21"/>
      <c r="Q133" t="s">
        <v>37</v>
      </c>
      <c r="R133">
        <f t="shared" si="86"/>
        <v>2.0600000000000002E-3</v>
      </c>
      <c r="S133">
        <f t="shared" si="87"/>
        <v>2.0600000000000002E-3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2.0600000000000002E-3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2.0149999999999999E-3</v>
      </c>
      <c r="G140">
        <f t="shared" si="91"/>
        <v>2.0149999999999999E-3</v>
      </c>
      <c r="H140">
        <f t="shared" si="92"/>
        <v>7.2550500000000007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2.0149999999999999E-3</v>
      </c>
      <c r="M140">
        <f>AI25+AE25+AA25+W25</f>
        <v>19.336385</v>
      </c>
      <c r="N140" s="24"/>
      <c r="O140" s="20"/>
      <c r="P140" s="21"/>
      <c r="Q140" t="s">
        <v>37</v>
      </c>
      <c r="R140">
        <f t="shared" si="96"/>
        <v>2.0300000000000001E-3</v>
      </c>
      <c r="S140">
        <f t="shared" si="97"/>
        <v>2.0300000000000001E-3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2.0300000000000001E-3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2.0599999999999998E-3</v>
      </c>
      <c r="G146">
        <f t="shared" si="101"/>
        <v>2.0599999999999998E-3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2.0599999999999998E-3</v>
      </c>
      <c r="N146" s="24"/>
      <c r="O146" s="20"/>
      <c r="P146" s="21"/>
      <c r="Q146" t="s">
        <v>37</v>
      </c>
      <c r="R146">
        <f t="shared" si="104"/>
        <v>2.0899999999999998E-3</v>
      </c>
      <c r="S146">
        <f t="shared" si="105"/>
        <v>2.0899999999999998E-3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2.0899999999999998E-3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1.6999999999999999E-3</v>
      </c>
      <c r="G153">
        <f t="shared" si="109"/>
        <v>1.805E-3</v>
      </c>
      <c r="H153">
        <f t="shared" si="110"/>
        <v>3.476877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1.805E-3</v>
      </c>
      <c r="M153">
        <f>I46+E46</f>
        <v>5.1864600000000003</v>
      </c>
      <c r="P153" s="21"/>
      <c r="Q153" t="s">
        <v>37</v>
      </c>
      <c r="R153">
        <f t="shared" si="114"/>
        <v>1.6999999999999999E-3</v>
      </c>
      <c r="S153">
        <f t="shared" si="115"/>
        <v>1.81E-3</v>
      </c>
      <c r="U153">
        <f t="shared" si="116"/>
        <v>1.311E-2</v>
      </c>
      <c r="V153">
        <f t="shared" si="117"/>
        <v>1.6389999999999998E-2</v>
      </c>
      <c r="X153">
        <f>0.1*F46+(1-0.1)*B46</f>
        <v>1.81E-3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1.7000000000000001E-3</v>
      </c>
      <c r="G159">
        <f t="shared" si="119"/>
        <v>1.82E-3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1.82E-3</v>
      </c>
      <c r="P159" s="21"/>
      <c r="Q159" t="s">
        <v>37</v>
      </c>
      <c r="R159">
        <f t="shared" si="122"/>
        <v>1.6999999999999997E-3</v>
      </c>
      <c r="S159">
        <f t="shared" si="123"/>
        <v>1.8299999999999998E-3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1.8299999999999998E-3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1.7002499999999999E-3</v>
      </c>
      <c r="G166">
        <f t="shared" si="127"/>
        <v>1.81E-3</v>
      </c>
      <c r="H166">
        <f t="shared" si="128"/>
        <v>5.210197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1.81E-3</v>
      </c>
      <c r="M166">
        <f>M46+I46+E46</f>
        <v>10.166579</v>
      </c>
      <c r="O166" s="20"/>
      <c r="P166" s="21"/>
      <c r="Q166" t="s">
        <v>37</v>
      </c>
      <c r="R166">
        <f t="shared" si="132"/>
        <v>1.701E-3</v>
      </c>
      <c r="S166">
        <f t="shared" si="133"/>
        <v>1.82E-3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1.82E-3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1.7039999999999998E-3</v>
      </c>
      <c r="G172">
        <f t="shared" si="137"/>
        <v>1.8400000000000001E-3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1.8400000000000001E-3</v>
      </c>
      <c r="O172" s="20"/>
      <c r="P172" s="21"/>
      <c r="Q172" t="s">
        <v>37</v>
      </c>
      <c r="R172">
        <f t="shared" si="140"/>
        <v>1.709E-3</v>
      </c>
      <c r="S172">
        <f t="shared" si="141"/>
        <v>1.8600000000000001E-3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1.8600000000000001E-3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1.7007374999999999E-3</v>
      </c>
      <c r="G179">
        <f t="shared" si="145"/>
        <v>1.8149999999999998E-3</v>
      </c>
      <c r="H179">
        <f t="shared" si="146"/>
        <v>7.2340960000000001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1.8149874999999998E-3</v>
      </c>
      <c r="M179">
        <f>Q46+M46+I46+E46</f>
        <v>15.182371999999999</v>
      </c>
      <c r="N179" s="24"/>
      <c r="O179" s="20"/>
      <c r="P179" s="21"/>
      <c r="Q179" t="s">
        <v>37</v>
      </c>
      <c r="R179">
        <f t="shared" si="150"/>
        <v>1.7028999999999998E-3</v>
      </c>
      <c r="S179">
        <f t="shared" si="151"/>
        <v>1.83E-3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1.8299E-3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1.7112E-3</v>
      </c>
      <c r="G185">
        <f t="shared" si="155"/>
        <v>1.8599999999999999E-3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1.8591999999999999E-3</v>
      </c>
      <c r="N185" s="24"/>
      <c r="O185" s="20"/>
      <c r="P185" s="21"/>
      <c r="Q185" t="s">
        <v>37</v>
      </c>
      <c r="R185">
        <f t="shared" si="158"/>
        <v>1.7242999999999998E-3</v>
      </c>
      <c r="S185">
        <f t="shared" si="159"/>
        <v>1.8900000000000002E-3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1.8873000000000002E-3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8.9999999999999998E-4</v>
      </c>
      <c r="G192">
        <f t="shared" si="163"/>
        <v>1.505E-3</v>
      </c>
      <c r="H192">
        <f t="shared" si="164"/>
        <v>3.695538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1.305E-3</v>
      </c>
      <c r="M192">
        <f>AA46+W46</f>
        <v>10.100280999999999</v>
      </c>
      <c r="P192" s="21"/>
      <c r="Q192" t="s">
        <v>37</v>
      </c>
      <c r="R192">
        <f t="shared" si="168"/>
        <v>8.9999999999999998E-4</v>
      </c>
      <c r="S192">
        <f t="shared" si="169"/>
        <v>1.5100000000000001E-3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1.31E-3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9.0000000000000008E-4</v>
      </c>
      <c r="G198">
        <f t="shared" si="173"/>
        <v>1.5200000000000001E-3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1.32E-3</v>
      </c>
      <c r="P198" s="21"/>
      <c r="Q198" t="s">
        <v>37</v>
      </c>
      <c r="R198">
        <f t="shared" si="176"/>
        <v>8.9999999999999998E-4</v>
      </c>
      <c r="S198">
        <f t="shared" si="177"/>
        <v>1.5299999999999999E-3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1.3299999999999998E-3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9.0025000000000001E-4</v>
      </c>
      <c r="G205">
        <f t="shared" si="181"/>
        <v>1.5100000000000001E-3</v>
      </c>
      <c r="H205">
        <f t="shared" si="182"/>
        <v>5.6194769999999998</v>
      </c>
      <c r="I205">
        <f t="shared" si="183"/>
        <v>7.58875E-3</v>
      </c>
      <c r="J205">
        <f t="shared" si="184"/>
        <v>1.3270250000000001E-2</v>
      </c>
      <c r="K205">
        <f t="shared" si="185"/>
        <v>1973.9607150000002</v>
      </c>
      <c r="L205">
        <f>(0.05*(1-0.05)+0.05*(1-0.05))*X46+0.05*0.05*AB46+(1-0.05*(1-0.05)-0.05*(1-0.05)-0.05*0.05)*T46</f>
        <v>1.31E-3</v>
      </c>
      <c r="M205">
        <f>AE46+AA46+W46</f>
        <v>15.12471</v>
      </c>
      <c r="O205" s="20"/>
      <c r="P205" s="21"/>
      <c r="Q205" t="s">
        <v>37</v>
      </c>
      <c r="R205">
        <f t="shared" si="186"/>
        <v>9.0100000000000011E-4</v>
      </c>
      <c r="S205">
        <f t="shared" si="187"/>
        <v>1.5200000000000001E-3</v>
      </c>
      <c r="U205">
        <f t="shared" si="188"/>
        <v>7.6750000000000004E-3</v>
      </c>
      <c r="V205">
        <f t="shared" si="189"/>
        <v>1.3341E-2</v>
      </c>
      <c r="X205">
        <f>(0.1*0.9+0.1*0.9)*X46+0.1*0.1*AB46+(1-0.1*0.9-0.1*0.9-0.1*0.1)*T46</f>
        <v>1.3200000000000002E-3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9.0399999999999996E-4</v>
      </c>
      <c r="G211">
        <f t="shared" si="191"/>
        <v>1.5400000000000001E-3</v>
      </c>
      <c r="I211">
        <f t="shared" si="192"/>
        <v>7.8399999999999997E-3</v>
      </c>
      <c r="J211">
        <f t="shared" si="193"/>
        <v>1.3483999999999999E-2</v>
      </c>
      <c r="L211">
        <f>(0.2*0.8+0.2*0.8)*X46+0.2*0.2*AB46+(1-0.2*0.8-0.2*0.8-0.2*0.2)*T46</f>
        <v>1.34E-3</v>
      </c>
      <c r="O211" s="20"/>
      <c r="P211" s="21"/>
      <c r="Q211" t="s">
        <v>37</v>
      </c>
      <c r="R211">
        <f t="shared" si="194"/>
        <v>9.0900000000000009E-4</v>
      </c>
      <c r="S211">
        <f t="shared" si="195"/>
        <v>1.5600000000000002E-3</v>
      </c>
      <c r="U211">
        <f t="shared" si="196"/>
        <v>7.9950000000000004E-3</v>
      </c>
      <c r="V211">
        <f t="shared" si="197"/>
        <v>1.3629E-2</v>
      </c>
      <c r="X211">
        <f>(0.3*0.7+0.3*0.7)*X46+0.3*0.3*AB46+(1-0.3*0.7-0.3*0.7-0.3*0.3)*T46</f>
        <v>1.3600000000000001E-3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9.007249999999999E-4</v>
      </c>
      <c r="G218">
        <f t="shared" si="199"/>
        <v>1.5149999999999999E-3</v>
      </c>
      <c r="H218">
        <f t="shared" si="200"/>
        <v>7.3286980000000002</v>
      </c>
      <c r="I218">
        <f t="shared" si="201"/>
        <v>7.6313124999999983E-3</v>
      </c>
      <c r="J218">
        <f t="shared" si="202"/>
        <v>1.3305749999999998E-2</v>
      </c>
      <c r="K218">
        <f t="shared" si="203"/>
        <v>2783.079236</v>
      </c>
      <c r="L218">
        <f>3*0.05*(1-0.05)*(1-0.05)*X46+3*0.05*0.05*(1-0.05)*AB46+0.05*0.05*0.05*AF46+(1-3*0.05*(1-0.05)*(1-0.05)-3*0.05*0.05*(1-0.05)-0.05*0.05*0.05)*T46</f>
        <v>1.3149874999999998E-3</v>
      </c>
      <c r="M218">
        <f>AI46+AE46+AA46+W46</f>
        <v>20.134753</v>
      </c>
      <c r="N218" s="24"/>
      <c r="O218" s="20"/>
      <c r="P218" s="21"/>
      <c r="Q218" t="s">
        <v>37</v>
      </c>
      <c r="R218">
        <f t="shared" si="204"/>
        <v>9.0279999999999994E-4</v>
      </c>
      <c r="S218">
        <f t="shared" si="205"/>
        <v>1.5300000000000001E-3</v>
      </c>
      <c r="U218">
        <f t="shared" si="206"/>
        <v>7.7554999999999985E-3</v>
      </c>
      <c r="V218">
        <f t="shared" si="207"/>
        <v>1.3413E-2</v>
      </c>
      <c r="X218">
        <f>3*0.1*(1-0.1)*(1-0.1)*X46+3*0.1*0.1*(1-0.1)*AB46+0.1*0.1*0.1*AF46+(1-3*0.1*(1-0.1)*(1-0.1)-3*0.1*0.1*(1-0.1)-0.1*0.1*0.1)*T46</f>
        <v>1.3298999999999997E-3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9.103999999999999E-4</v>
      </c>
      <c r="G224">
        <f t="shared" si="209"/>
        <v>1.56E-3</v>
      </c>
      <c r="I224">
        <f t="shared" si="210"/>
        <v>7.9839999999999998E-3</v>
      </c>
      <c r="J224">
        <f t="shared" si="211"/>
        <v>1.3631999999999998E-2</v>
      </c>
      <c r="L224">
        <f>3*0.2*(1-0.2)*(1-0.2)*X46+3*0.2*0.2*(1-0.2)*AB46+0.2*0.2*0.2*AF46+(1-3*0.2*(1-0.2)*(1-0.2)-3*0.2*0.2*(1-0.2)-0.2*0.2*0.2)*T46</f>
        <v>1.3591999999999999E-3</v>
      </c>
      <c r="N224" s="24"/>
      <c r="O224" s="20"/>
      <c r="P224" s="21"/>
      <c r="Q224" t="s">
        <v>37</v>
      </c>
      <c r="R224">
        <f t="shared" si="212"/>
        <v>9.2160000000000007E-4</v>
      </c>
      <c r="S224">
        <f t="shared" si="213"/>
        <v>1.5900000000000003E-3</v>
      </c>
      <c r="U224">
        <f t="shared" si="214"/>
        <v>8.1884999999999996E-3</v>
      </c>
      <c r="V224">
        <f t="shared" si="215"/>
        <v>1.3857000000000001E-2</v>
      </c>
      <c r="X224">
        <f>3*0.3*(1-0.3)*(1-0.3)*X46+3*0.3*0.3*(1-0.3)*AB46+0.3*0.3*0.3*AF46+(1-3*0.3*(1-0.3)*(1-0.3)-3*0.3*0.3*(1-0.3)-0.3*0.3*0.3)*T46</f>
        <v>1.3872999999999999E-3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3.5715500000000001E-4</v>
      </c>
      <c r="G231">
        <f t="shared" si="217"/>
        <v>9.3995999999999999E-4</v>
      </c>
      <c r="H231">
        <f t="shared" si="218"/>
        <v>4.2039969999999993</v>
      </c>
      <c r="I231">
        <f t="shared" si="219"/>
        <v>3.64E-3</v>
      </c>
      <c r="J231">
        <f t="shared" si="220"/>
        <v>8.1950000000000009E-3</v>
      </c>
      <c r="K231">
        <f t="shared" si="221"/>
        <v>826.11785600000007</v>
      </c>
      <c r="L231">
        <f>0.05*G66+(1-0.05)*B66</f>
        <v>6.1954000000000002E-4</v>
      </c>
      <c r="M231">
        <f>I66+E66</f>
        <v>9.7756429999999988</v>
      </c>
      <c r="P231" s="21"/>
      <c r="Q231" t="s">
        <v>37</v>
      </c>
      <c r="R231">
        <f t="shared" si="222"/>
        <v>3.5941E-4</v>
      </c>
      <c r="S231">
        <f t="shared" si="223"/>
        <v>9.4312000000000009E-4</v>
      </c>
      <c r="U231">
        <f t="shared" si="224"/>
        <v>3.6800000000000001E-3</v>
      </c>
      <c r="V231">
        <f t="shared" si="225"/>
        <v>8.1900000000000011E-3</v>
      </c>
      <c r="X231">
        <f>0.1*G66+(1-0.1)*B66</f>
        <v>6.2208000000000001E-4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3.6392E-4</v>
      </c>
      <c r="G237">
        <f t="shared" si="227"/>
        <v>9.4944000000000007E-4</v>
      </c>
      <c r="I237">
        <f t="shared" si="228"/>
        <v>3.7600000000000003E-3</v>
      </c>
      <c r="J237">
        <f t="shared" si="229"/>
        <v>8.1799999999999998E-3</v>
      </c>
      <c r="L237">
        <f>0.2*G66+(1-0.2)*B66</f>
        <v>6.2716000000000009E-4</v>
      </c>
      <c r="P237" s="21"/>
      <c r="Q237" t="s">
        <v>37</v>
      </c>
      <c r="R237">
        <f t="shared" si="230"/>
        <v>3.6842999999999999E-4</v>
      </c>
      <c r="S237">
        <f t="shared" si="231"/>
        <v>9.5575999999999994E-4</v>
      </c>
      <c r="U237">
        <f t="shared" si="232"/>
        <v>3.8399999999999997E-3</v>
      </c>
      <c r="V237">
        <f t="shared" si="233"/>
        <v>8.1700000000000002E-3</v>
      </c>
      <c r="X237">
        <f>0.3*G66+(1-0.3)*B66</f>
        <v>6.3223999999999995E-4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3.5929725000000004E-4</v>
      </c>
      <c r="G244">
        <f t="shared" si="235"/>
        <v>9.4321200000000002E-4</v>
      </c>
      <c r="H244">
        <f t="shared" si="236"/>
        <v>6.2654409999999991</v>
      </c>
      <c r="I244">
        <f t="shared" si="237"/>
        <v>3.6787500000000002E-3</v>
      </c>
      <c r="J244">
        <f t="shared" si="238"/>
        <v>8.1892500000000021E-3</v>
      </c>
      <c r="K244">
        <f t="shared" si="239"/>
        <v>1351.7638460000001</v>
      </c>
      <c r="L244">
        <f>(0.05*(1-0.05)+0.05*(1-0.05))*G66+0.05*0.05*J66+(1-0.05*(1-0.05)-0.05*(1-0.05)-0.05*0.05)*B66</f>
        <v>6.2203750000000004E-4</v>
      </c>
      <c r="M244">
        <f>M66+I66+E66</f>
        <v>14.819997000000001</v>
      </c>
      <c r="O244" s="20"/>
      <c r="P244" s="21"/>
      <c r="Q244" t="s">
        <v>37</v>
      </c>
      <c r="R244">
        <f t="shared" si="240"/>
        <v>3.6346900000000005E-4</v>
      </c>
      <c r="S244">
        <f t="shared" si="241"/>
        <v>9.4980800000000001E-4</v>
      </c>
      <c r="U244">
        <f t="shared" si="242"/>
        <v>3.7550000000000005E-3</v>
      </c>
      <c r="V244">
        <f t="shared" si="243"/>
        <v>8.177000000000002E-3</v>
      </c>
      <c r="X244">
        <f>(0.1*0.9+0.1*0.9)*G66+0.1*0.1*J66+(1-0.1*0.9-0.1*0.9-0.1*0.1)*B66</f>
        <v>6.2699000000000001E-4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3.7113599999999999E-4</v>
      </c>
      <c r="G250">
        <f t="shared" si="245"/>
        <v>9.6355200000000001E-4</v>
      </c>
      <c r="I250">
        <f t="shared" si="246"/>
        <v>3.8999999999999998E-3</v>
      </c>
      <c r="J250">
        <f t="shared" si="247"/>
        <v>8.1480000000000007E-3</v>
      </c>
      <c r="L250">
        <f>(0.2*0.8+0.2*0.8)*G66+0.2*0.2*J66+(1-0.2*0.8-0.2*0.8-0.2*0.2)*B66</f>
        <v>6.3663999999999995E-4</v>
      </c>
      <c r="O250" s="20"/>
      <c r="P250" s="21"/>
      <c r="Q250" t="s">
        <v>37</v>
      </c>
      <c r="R250">
        <f t="shared" si="248"/>
        <v>3.7790100000000004E-4</v>
      </c>
      <c r="S250">
        <f t="shared" si="249"/>
        <v>9.7803200000000021E-4</v>
      </c>
      <c r="U250">
        <f t="shared" si="250"/>
        <v>4.0350000000000004E-3</v>
      </c>
      <c r="V250">
        <f t="shared" si="251"/>
        <v>8.1130000000000022E-3</v>
      </c>
      <c r="X250">
        <f>(0.3*0.7+0.3*0.7)*G66+0.3*0.3*J66+(1-0.3*0.7-0.3*0.7-0.3*0.3)*B66</f>
        <v>6.4595000000000006E-4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3.6133238749999999E-4</v>
      </c>
      <c r="G257">
        <f t="shared" si="253"/>
        <v>9.465388999999999E-4</v>
      </c>
      <c r="H257">
        <f t="shared" si="254"/>
        <v>8.3274869999999996</v>
      </c>
      <c r="I257">
        <f t="shared" si="255"/>
        <v>3.7163124999999996E-3</v>
      </c>
      <c r="J257">
        <f t="shared" si="256"/>
        <v>8.1829125000000003E-3</v>
      </c>
      <c r="K257">
        <f t="shared" si="257"/>
        <v>1694.5005720000001</v>
      </c>
      <c r="L257">
        <f>3*0.05*(1-0.05)*(1-0.05)*G66+3*0.05*0.05*(1-0.05)*J66+0.05*0.05*0.05*N66+(1-3*0.05*(1-0.05)*(1-0.05)-3*0.05*0.05*(1-0.05)-0.05*0.05*0.05)*B66</f>
        <v>6.2449958749999997E-4</v>
      </c>
      <c r="M257">
        <f>Q66+M66+I66+E66</f>
        <v>19.893701</v>
      </c>
      <c r="N257" s="24"/>
      <c r="O257" s="20"/>
      <c r="P257" s="21"/>
      <c r="Q257" t="s">
        <v>37</v>
      </c>
      <c r="R257">
        <f t="shared" si="258"/>
        <v>3.6712209999999998E-4</v>
      </c>
      <c r="S257">
        <f t="shared" si="259"/>
        <v>9.5672719999999995E-4</v>
      </c>
      <c r="U257">
        <f t="shared" si="260"/>
        <v>3.8254999999999999E-3</v>
      </c>
      <c r="V257">
        <f t="shared" si="261"/>
        <v>8.1623000000000008E-3</v>
      </c>
      <c r="X257">
        <f>3*0.1*(1-0.1)*(1-0.1)*G66+3*0.1*0.1*(1-0.1)*J66+0.1*0.1*0.1*N66+(1-3*0.1*(1-0.1)*(1-0.1)-3*0.1*0.1*(1-0.1)-0.1*0.1*0.1)*B66</f>
        <v>6.3178669999999998E-4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3.7690879999999996E-4</v>
      </c>
      <c r="G263">
        <f t="shared" si="263"/>
        <v>9.7804160000000001E-4</v>
      </c>
      <c r="I263">
        <f t="shared" si="264"/>
        <v>4.0239999999999998E-3</v>
      </c>
      <c r="J263">
        <f t="shared" si="265"/>
        <v>8.1144000000000008E-3</v>
      </c>
      <c r="L263">
        <f>3*0.2*(1-0.2)*(1-0.2)*G66+3*0.2*0.2*(1-0.2)*J66+0.2*0.2*0.2*N66+(1-3*0.2*(1-0.2)*(1-0.2)-3*0.2*0.2*(1-0.2)-0.2*0.2*0.2)*B66</f>
        <v>6.4589360000000002E-4</v>
      </c>
      <c r="N263" s="24"/>
      <c r="O263" s="20"/>
      <c r="P263" s="21"/>
      <c r="Q263" t="s">
        <v>37</v>
      </c>
      <c r="R263">
        <f t="shared" si="266"/>
        <v>3.8453070000000003E-4</v>
      </c>
      <c r="S263">
        <f t="shared" si="267"/>
        <v>9.9992240000000001E-4</v>
      </c>
      <c r="U263">
        <f t="shared" si="268"/>
        <v>4.1985000000000008E-3</v>
      </c>
      <c r="V263">
        <f t="shared" si="269"/>
        <v>8.0641000000000011E-3</v>
      </c>
      <c r="X263">
        <f>3*0.3*(1-0.3)*(1-0.3)*G66+3*0.3*0.3*(1-0.3)*J66+0.3*0.3*0.3*N66+(1-3*0.3*(1-0.3)*(1-0.3)-3*0.3*0.3*(1-0.3)-0.3*0.3*0.3)*B66</f>
        <v>6.5966090000000005E-4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84</v>
      </c>
      <c r="C9" s="16"/>
      <c r="D9" s="16"/>
      <c r="E9" s="16"/>
      <c r="F9" s="16" t="s">
        <v>85</v>
      </c>
      <c r="G9" s="16"/>
      <c r="H9" s="16"/>
      <c r="I9" s="16"/>
      <c r="J9" s="16" t="s">
        <v>86</v>
      </c>
      <c r="K9" s="16"/>
      <c r="L9" s="16"/>
      <c r="M9" s="16"/>
      <c r="N9" s="16" t="s">
        <v>87</v>
      </c>
      <c r="O9" s="16"/>
      <c r="P9" s="16"/>
      <c r="Q9" s="16"/>
      <c r="S9" s="22" t="s">
        <v>12</v>
      </c>
      <c r="T9" s="16" t="s">
        <v>84</v>
      </c>
      <c r="U9" s="16"/>
      <c r="V9" s="16"/>
      <c r="W9" s="16"/>
      <c r="X9" s="16" t="s">
        <v>85</v>
      </c>
      <c r="Y9" s="16"/>
      <c r="Z9" s="16"/>
      <c r="AA9" s="16"/>
      <c r="AB9" s="16" t="s">
        <v>86</v>
      </c>
      <c r="AC9" s="16"/>
      <c r="AD9" s="16"/>
      <c r="AE9" s="16"/>
      <c r="AF9" s="16" t="s">
        <v>87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1.9E-3</v>
      </c>
      <c r="D13" s="10">
        <v>1.9E-3</v>
      </c>
      <c r="E13" s="10">
        <v>1.129311</v>
      </c>
      <c r="F13" t="s">
        <v>22</v>
      </c>
      <c r="G13" s="10">
        <v>2.0999999999999999E-3</v>
      </c>
      <c r="H13" s="10">
        <v>2.0999999999999999E-3</v>
      </c>
      <c r="I13" s="10">
        <v>1.2723249999999999</v>
      </c>
      <c r="J13" t="s">
        <v>22</v>
      </c>
      <c r="K13" s="10">
        <v>2.2000000000000001E-3</v>
      </c>
      <c r="L13" s="10">
        <v>2.2000000000000001E-3</v>
      </c>
      <c r="M13" s="10">
        <v>1.2827630000000001</v>
      </c>
      <c r="N13" t="s">
        <v>22</v>
      </c>
      <c r="O13" s="10">
        <v>2.3E-3</v>
      </c>
      <c r="P13" s="10">
        <v>2.3E-3</v>
      </c>
      <c r="Q13" s="10">
        <v>1.2868120000000001</v>
      </c>
      <c r="S13" s="22"/>
      <c r="T13" t="s">
        <v>22</v>
      </c>
      <c r="U13">
        <v>1.9E-3</v>
      </c>
      <c r="V13">
        <v>1.9E-3</v>
      </c>
      <c r="W13">
        <v>1.8251250000000001</v>
      </c>
      <c r="X13" t="s">
        <v>22</v>
      </c>
      <c r="Y13">
        <v>2E-3</v>
      </c>
      <c r="Z13">
        <v>2E-3</v>
      </c>
      <c r="AA13">
        <v>1.583933</v>
      </c>
      <c r="AB13" t="s">
        <v>22</v>
      </c>
      <c r="AC13">
        <v>2.0999999999999999E-3</v>
      </c>
      <c r="AD13">
        <v>2.0999999999999999E-3</v>
      </c>
      <c r="AE13">
        <v>1.8506560000000001</v>
      </c>
      <c r="AF13" t="s">
        <v>22</v>
      </c>
      <c r="AG13">
        <v>2.2000000000000001E-3</v>
      </c>
      <c r="AH13">
        <v>2.2000000000000001E-3</v>
      </c>
      <c r="AI13">
        <v>1.802743</v>
      </c>
    </row>
    <row r="16" spans="1:35" x14ac:dyDescent="0.25">
      <c r="A16" s="18" t="s">
        <v>23</v>
      </c>
      <c r="B16" s="16" t="s">
        <v>84</v>
      </c>
      <c r="C16" s="16"/>
      <c r="D16" s="16"/>
      <c r="E16" s="16"/>
      <c r="F16" s="16" t="s">
        <v>85</v>
      </c>
      <c r="G16" s="16"/>
      <c r="H16" s="16"/>
      <c r="I16" s="16"/>
      <c r="J16" s="16" t="s">
        <v>86</v>
      </c>
      <c r="K16" s="16"/>
      <c r="L16" s="16"/>
      <c r="M16" s="16"/>
      <c r="N16" s="16" t="s">
        <v>87</v>
      </c>
      <c r="O16" s="16"/>
      <c r="P16" s="16"/>
      <c r="Q16" s="16"/>
      <c r="S16" s="18" t="s">
        <v>23</v>
      </c>
      <c r="T16" s="16" t="s">
        <v>84</v>
      </c>
      <c r="U16" s="16"/>
      <c r="V16" s="16"/>
      <c r="W16" s="16"/>
      <c r="X16" s="16" t="s">
        <v>85</v>
      </c>
      <c r="Y16" s="16"/>
      <c r="Z16" s="16"/>
      <c r="AA16" s="16"/>
      <c r="AB16" s="16" t="s">
        <v>86</v>
      </c>
      <c r="AC16" s="16"/>
      <c r="AD16" s="16"/>
      <c r="AE16" s="16"/>
      <c r="AF16" s="16" t="s">
        <v>87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84</v>
      </c>
      <c r="C23" s="16"/>
      <c r="D23" s="16"/>
      <c r="E23" s="16"/>
      <c r="F23" s="16" t="s">
        <v>85</v>
      </c>
      <c r="G23" s="16"/>
      <c r="H23" s="16"/>
      <c r="I23" s="16"/>
      <c r="J23" s="16" t="s">
        <v>86</v>
      </c>
      <c r="K23" s="16"/>
      <c r="L23" s="16"/>
      <c r="M23" s="16"/>
      <c r="N23" s="16" t="s">
        <v>87</v>
      </c>
      <c r="O23" s="16"/>
      <c r="P23" s="16"/>
      <c r="Q23" s="16"/>
      <c r="S23" s="23" t="s">
        <v>24</v>
      </c>
      <c r="T23" s="16" t="s">
        <v>84</v>
      </c>
      <c r="U23" s="16"/>
      <c r="V23" s="16"/>
      <c r="W23" s="16"/>
      <c r="X23" s="16" t="s">
        <v>85</v>
      </c>
      <c r="Y23" s="16"/>
      <c r="Z23" s="16"/>
      <c r="AA23" s="16"/>
      <c r="AB23" s="16" t="s">
        <v>86</v>
      </c>
      <c r="AC23" s="16"/>
      <c r="AD23" s="16"/>
      <c r="AE23" s="16"/>
      <c r="AF23" s="16" t="s">
        <v>87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1.9E-3</v>
      </c>
      <c r="C25" s="6"/>
      <c r="D25" s="6"/>
      <c r="E25">
        <v>4.0220609999999999</v>
      </c>
      <c r="F25" s="6">
        <v>2.0999999999999999E-3</v>
      </c>
      <c r="G25" s="6"/>
      <c r="H25" s="6"/>
      <c r="I25">
        <v>4.0357589999999997</v>
      </c>
      <c r="J25">
        <v>2.2000000000000001E-3</v>
      </c>
      <c r="K25" s="6"/>
      <c r="L25" s="6"/>
      <c r="M25">
        <v>4.076492</v>
      </c>
      <c r="N25" s="6">
        <v>2.3E-3</v>
      </c>
      <c r="O25" s="6"/>
      <c r="P25" s="6"/>
      <c r="Q25">
        <v>4.4496869999999999</v>
      </c>
      <c r="S25" s="23"/>
      <c r="T25" s="6">
        <v>1.9E-3</v>
      </c>
      <c r="U25" s="6"/>
      <c r="V25" s="6"/>
      <c r="W25">
        <v>3.9933489999999998</v>
      </c>
      <c r="X25" s="6">
        <v>2E-3</v>
      </c>
      <c r="Y25" s="6"/>
      <c r="Z25" s="6"/>
      <c r="AA25">
        <v>4.0146980000000001</v>
      </c>
      <c r="AB25" s="6">
        <v>2.0999999999999999E-3</v>
      </c>
      <c r="AC25" s="6"/>
      <c r="AD25" s="6"/>
      <c r="AE25">
        <v>4.065607</v>
      </c>
      <c r="AF25" s="6">
        <v>2.2000000000000001E-3</v>
      </c>
      <c r="AG25" s="6"/>
      <c r="AH25" s="6"/>
      <c r="AI25">
        <v>4.0515619999999997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84</v>
      </c>
      <c r="C30" s="16"/>
      <c r="D30" s="16"/>
      <c r="E30" s="16"/>
      <c r="F30" s="16" t="s">
        <v>85</v>
      </c>
      <c r="G30" s="16"/>
      <c r="H30" s="16"/>
      <c r="I30" s="16"/>
      <c r="J30" s="16" t="s">
        <v>86</v>
      </c>
      <c r="K30" s="16"/>
      <c r="L30" s="16"/>
      <c r="M30" s="16"/>
      <c r="N30" s="16" t="s">
        <v>87</v>
      </c>
      <c r="O30" s="16"/>
      <c r="P30" s="16"/>
      <c r="Q30" s="16"/>
      <c r="S30" s="22" t="s">
        <v>12</v>
      </c>
      <c r="T30" s="16" t="s">
        <v>84</v>
      </c>
      <c r="U30" s="16"/>
      <c r="V30" s="16"/>
      <c r="W30" s="16"/>
      <c r="X30" s="16" t="s">
        <v>85</v>
      </c>
      <c r="Y30" s="16"/>
      <c r="Z30" s="16"/>
      <c r="AA30" s="16"/>
      <c r="AB30" s="16" t="s">
        <v>86</v>
      </c>
      <c r="AC30" s="16"/>
      <c r="AD30" s="16"/>
      <c r="AE30" s="16"/>
      <c r="AF30" s="16" t="s">
        <v>87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1.6000000000000001E-3</v>
      </c>
      <c r="D34">
        <v>1.6999999999999999E-3</v>
      </c>
      <c r="E34">
        <v>1.8237319999999999</v>
      </c>
      <c r="F34" t="s">
        <v>22</v>
      </c>
      <c r="G34">
        <v>1.6999999999999999E-3</v>
      </c>
      <c r="H34">
        <v>1.8E-3</v>
      </c>
      <c r="I34">
        <v>1.767252</v>
      </c>
      <c r="J34" t="s">
        <v>22</v>
      </c>
      <c r="K34" s="8">
        <v>1.8E-3</v>
      </c>
      <c r="L34" s="10">
        <v>1.9E-3</v>
      </c>
      <c r="M34">
        <v>1.797034</v>
      </c>
      <c r="N34" t="s">
        <v>22</v>
      </c>
      <c r="O34">
        <v>1.9E-3</v>
      </c>
      <c r="P34">
        <v>2.0999999999999999E-3</v>
      </c>
      <c r="Q34">
        <v>1.772092</v>
      </c>
      <c r="S34" s="22"/>
      <c r="T34" t="s">
        <v>22</v>
      </c>
      <c r="U34">
        <v>8.9999999999999998E-4</v>
      </c>
      <c r="V34">
        <v>1.4E-3</v>
      </c>
      <c r="W34">
        <v>1.8025230000000001</v>
      </c>
      <c r="X34" t="s">
        <v>22</v>
      </c>
      <c r="Y34">
        <v>8.9999999999999998E-4</v>
      </c>
      <c r="Z34">
        <v>1.5E-3</v>
      </c>
      <c r="AA34">
        <v>1.7568330000000001</v>
      </c>
      <c r="AB34" t="s">
        <v>22</v>
      </c>
      <c r="AC34">
        <v>1E-3</v>
      </c>
      <c r="AD34">
        <v>1.6000000000000001E-3</v>
      </c>
      <c r="AE34">
        <v>1.814729</v>
      </c>
      <c r="AF34" t="s">
        <v>22</v>
      </c>
      <c r="AG34">
        <v>1E-3</v>
      </c>
      <c r="AH34" s="11">
        <v>1.6999999999999999E-3</v>
      </c>
      <c r="AI34">
        <v>1.7641009999999999</v>
      </c>
    </row>
    <row r="37" spans="1:35" x14ac:dyDescent="0.25">
      <c r="A37" s="18" t="s">
        <v>23</v>
      </c>
      <c r="B37" s="16" t="s">
        <v>84</v>
      </c>
      <c r="C37" s="16"/>
      <c r="D37" s="16"/>
      <c r="E37" s="16"/>
      <c r="F37" s="16" t="s">
        <v>85</v>
      </c>
      <c r="G37" s="16"/>
      <c r="H37" s="16"/>
      <c r="I37" s="16"/>
      <c r="J37" s="16" t="s">
        <v>86</v>
      </c>
      <c r="K37" s="16"/>
      <c r="L37" s="16"/>
      <c r="M37" s="16"/>
      <c r="N37" s="16" t="s">
        <v>87</v>
      </c>
      <c r="O37" s="16"/>
      <c r="P37" s="16"/>
      <c r="Q37" s="16"/>
      <c r="S37" s="18" t="s">
        <v>23</v>
      </c>
      <c r="T37" s="16" t="s">
        <v>84</v>
      </c>
      <c r="U37" s="16"/>
      <c r="V37" s="16"/>
      <c r="W37" s="16"/>
      <c r="X37" s="16" t="s">
        <v>85</v>
      </c>
      <c r="Y37" s="16"/>
      <c r="Z37" s="16"/>
      <c r="AA37" s="16"/>
      <c r="AB37" s="16" t="s">
        <v>86</v>
      </c>
      <c r="AC37" s="16"/>
      <c r="AD37" s="16"/>
      <c r="AE37" s="16"/>
      <c r="AF37" s="16" t="s">
        <v>87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8.9999999999999998E-4</v>
      </c>
      <c r="Z41">
        <v>1.5E-3</v>
      </c>
      <c r="AA41">
        <v>1.7568330000000001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84</v>
      </c>
      <c r="C44" s="16"/>
      <c r="D44" s="16"/>
      <c r="E44" s="16"/>
      <c r="F44" s="16" t="s">
        <v>85</v>
      </c>
      <c r="G44" s="16"/>
      <c r="H44" s="16"/>
      <c r="I44" s="16"/>
      <c r="J44" s="16" t="s">
        <v>86</v>
      </c>
      <c r="K44" s="16"/>
      <c r="L44" s="16"/>
      <c r="M44" s="16"/>
      <c r="N44" s="16" t="s">
        <v>87</v>
      </c>
      <c r="O44" s="16"/>
      <c r="P44" s="16"/>
      <c r="Q44" s="16"/>
      <c r="S44" s="23" t="s">
        <v>24</v>
      </c>
      <c r="T44" s="16" t="s">
        <v>84</v>
      </c>
      <c r="U44" s="16"/>
      <c r="V44" s="16"/>
      <c r="W44" s="16"/>
      <c r="X44" s="16" t="s">
        <v>85</v>
      </c>
      <c r="Y44" s="16"/>
      <c r="Z44" s="16"/>
      <c r="AA44" s="16"/>
      <c r="AB44" s="16" t="s">
        <v>86</v>
      </c>
      <c r="AC44" s="16"/>
      <c r="AD44" s="16"/>
      <c r="AE44" s="16"/>
      <c r="AF44" s="16" t="s">
        <v>87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1.6999999999999999E-3</v>
      </c>
      <c r="C46" s="6"/>
      <c r="D46" s="6"/>
      <c r="E46">
        <v>4.901313</v>
      </c>
      <c r="F46" s="6">
        <v>1.8E-3</v>
      </c>
      <c r="G46" s="6"/>
      <c r="H46" s="6"/>
      <c r="I46">
        <v>3.959568</v>
      </c>
      <c r="J46" s="6">
        <v>1.9E-3</v>
      </c>
      <c r="K46" s="6"/>
      <c r="L46" s="6"/>
      <c r="M46">
        <v>4.7368040000000002</v>
      </c>
      <c r="N46" s="6">
        <v>2E-3</v>
      </c>
      <c r="O46" s="6"/>
      <c r="P46" s="6"/>
      <c r="Q46">
        <v>3.9971640000000002</v>
      </c>
      <c r="S46" s="23"/>
      <c r="T46" s="6">
        <v>1.2999999999999999E-3</v>
      </c>
      <c r="U46" s="6"/>
      <c r="V46" s="6"/>
      <c r="W46">
        <v>4.3338760000000001</v>
      </c>
      <c r="X46" s="6">
        <v>1.2999999999999999E-3</v>
      </c>
      <c r="Y46" s="6"/>
      <c r="Z46" s="6"/>
      <c r="AA46">
        <v>4.2085759999999999</v>
      </c>
      <c r="AB46" s="6">
        <v>1.4E-3</v>
      </c>
      <c r="AC46" s="6"/>
      <c r="AD46" s="6"/>
      <c r="AE46">
        <v>4.1969469999999998</v>
      </c>
      <c r="AF46" s="6">
        <v>1.5E-3</v>
      </c>
      <c r="AG46" s="6"/>
      <c r="AH46" s="6"/>
      <c r="AI46">
        <v>4.4325130000000001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84</v>
      </c>
      <c r="C50" s="16"/>
      <c r="D50" s="16"/>
      <c r="E50" s="16"/>
      <c r="F50" s="16" t="s">
        <v>85</v>
      </c>
      <c r="G50" s="16"/>
      <c r="H50" s="16"/>
      <c r="I50" s="16"/>
      <c r="J50" s="16" t="s">
        <v>86</v>
      </c>
      <c r="K50" s="16"/>
      <c r="L50" s="16"/>
      <c r="M50" s="16"/>
      <c r="N50" s="16" t="s">
        <v>87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3.5439999999999999E-4</v>
      </c>
      <c r="D54" s="2">
        <v>8.9490000000000001E-4</v>
      </c>
      <c r="E54">
        <v>1.736772</v>
      </c>
      <c r="F54" t="s">
        <v>22</v>
      </c>
      <c r="G54" s="2">
        <v>3.8099999999999999E-4</v>
      </c>
      <c r="H54" s="2">
        <v>9.59E-4</v>
      </c>
      <c r="I54">
        <v>1.7124299999999999</v>
      </c>
      <c r="J54" t="s">
        <v>22</v>
      </c>
      <c r="K54">
        <v>4.0000000000000002E-4</v>
      </c>
      <c r="L54">
        <v>1E-3</v>
      </c>
      <c r="M54">
        <v>1.6883010000000001</v>
      </c>
      <c r="N54" t="s">
        <v>22</v>
      </c>
      <c r="O54">
        <v>4.0000000000000002E-4</v>
      </c>
      <c r="P54">
        <v>1.1000000000000001E-3</v>
      </c>
      <c r="Q54">
        <v>1.759539</v>
      </c>
    </row>
    <row r="57" spans="1:17" x14ac:dyDescent="0.25">
      <c r="A57" s="18" t="s">
        <v>23</v>
      </c>
      <c r="B57" s="16" t="s">
        <v>84</v>
      </c>
      <c r="C57" s="16"/>
      <c r="D57" s="16"/>
      <c r="E57" s="16"/>
      <c r="F57" s="16" t="s">
        <v>85</v>
      </c>
      <c r="G57" s="16"/>
      <c r="H57" s="16"/>
      <c r="I57" s="16"/>
      <c r="J57" s="16" t="s">
        <v>86</v>
      </c>
      <c r="K57" s="16"/>
      <c r="L57" s="16"/>
      <c r="M57" s="16"/>
      <c r="N57" s="16" t="s">
        <v>87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84</v>
      </c>
      <c r="C64" s="16"/>
      <c r="D64" s="16"/>
      <c r="E64" s="16"/>
      <c r="F64" s="16" t="s">
        <v>85</v>
      </c>
      <c r="G64" s="16"/>
      <c r="H64" s="16"/>
      <c r="I64" s="16"/>
      <c r="J64" s="16" t="s">
        <v>86</v>
      </c>
      <c r="K64" s="16"/>
      <c r="L64" s="16"/>
      <c r="M64" s="16"/>
      <c r="N64" s="16" t="s">
        <v>87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6.0179999999999999E-4</v>
      </c>
      <c r="C66" s="6"/>
      <c r="D66" s="6"/>
      <c r="E66">
        <v>4.2618590000000003</v>
      </c>
      <c r="F66" s="6"/>
      <c r="G66" s="3">
        <v>6.4999999999999997E-4</v>
      </c>
      <c r="H66" s="6"/>
      <c r="I66">
        <v>4.6749049999999999</v>
      </c>
      <c r="J66" s="3">
        <v>6.8880000000000005E-4</v>
      </c>
      <c r="K66" s="6"/>
      <c r="L66" s="6"/>
      <c r="M66">
        <v>4.756246</v>
      </c>
      <c r="N66" s="3">
        <v>7.4209999999999999E-4</v>
      </c>
      <c r="O66" s="6"/>
      <c r="P66" s="6"/>
      <c r="Q66">
        <v>4.1704489999999996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1.91E-3</v>
      </c>
      <c r="G75">
        <f t="shared" si="1"/>
        <v>1.91E-3</v>
      </c>
      <c r="H75">
        <f t="shared" si="2"/>
        <v>2.4016359999999999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1.91E-3</v>
      </c>
      <c r="M75">
        <f>I25+E25</f>
        <v>8.0578199999999995</v>
      </c>
      <c r="P75" s="21"/>
      <c r="Q75" t="s">
        <v>37</v>
      </c>
      <c r="R75">
        <f t="shared" si="6"/>
        <v>1.9199999999999998E-3</v>
      </c>
      <c r="S75">
        <f t="shared" si="7"/>
        <v>1.9199999999999998E-3</v>
      </c>
      <c r="U75">
        <f t="shared" si="8"/>
        <v>1.9819999999999997E-2</v>
      </c>
      <c r="V75">
        <f t="shared" si="9"/>
        <v>1.9910000000000004E-2</v>
      </c>
      <c r="X75">
        <f>0.1*F25+(1-0.1)*B25</f>
        <v>1.9199999999999998E-3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1.9400000000000001E-3</v>
      </c>
      <c r="G81">
        <f t="shared" si="11"/>
        <v>1.9400000000000001E-3</v>
      </c>
      <c r="I81">
        <f t="shared" si="12"/>
        <v>1.9939999999999999E-2</v>
      </c>
      <c r="J81">
        <f t="shared" si="13"/>
        <v>2.0020000000000003E-2</v>
      </c>
      <c r="L81">
        <f>0.2*F25+(1-0.2)*B25</f>
        <v>1.9400000000000001E-3</v>
      </c>
      <c r="P81" s="21"/>
      <c r="Q81" t="s">
        <v>37</v>
      </c>
      <c r="R81">
        <f t="shared" si="14"/>
        <v>1.9599999999999999E-3</v>
      </c>
      <c r="S81">
        <f t="shared" si="15"/>
        <v>1.9599999999999999E-3</v>
      </c>
      <c r="U81">
        <f t="shared" si="16"/>
        <v>2.0059999999999998E-2</v>
      </c>
      <c r="V81">
        <f t="shared" si="17"/>
        <v>2.0130000000000002E-2</v>
      </c>
      <c r="X81">
        <f>0.3*F25+(1-0.3)*B25</f>
        <v>1.9599999999999999E-3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1.91975E-3</v>
      </c>
      <c r="G88">
        <f t="shared" si="19"/>
        <v>1.91975E-3</v>
      </c>
      <c r="H88">
        <f t="shared" si="20"/>
        <v>3.684399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1.91975E-3</v>
      </c>
      <c r="M88">
        <f>M25+I25+E25</f>
        <v>12.134312000000001</v>
      </c>
      <c r="O88" s="20"/>
      <c r="P88" s="21"/>
      <c r="Q88" t="s">
        <v>37</v>
      </c>
      <c r="R88">
        <f t="shared" si="24"/>
        <v>1.939E-3</v>
      </c>
      <c r="S88">
        <f t="shared" si="25"/>
        <v>1.939E-3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1.939E-3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1.9759999999999999E-3</v>
      </c>
      <c r="G94">
        <f t="shared" si="29"/>
        <v>1.9759999999999999E-3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1.9759999999999999E-3</v>
      </c>
      <c r="O94" s="20"/>
      <c r="P94" s="21"/>
      <c r="Q94" t="s">
        <v>37</v>
      </c>
      <c r="R94">
        <f t="shared" si="32"/>
        <v>2.0109999999999998E-3</v>
      </c>
      <c r="S94">
        <f t="shared" si="33"/>
        <v>2.0109999999999998E-3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2.0109999999999998E-3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1.9292624999999997E-3</v>
      </c>
      <c r="G101">
        <f t="shared" si="37"/>
        <v>1.9292624999999997E-3</v>
      </c>
      <c r="H101">
        <f t="shared" si="38"/>
        <v>4.9712110000000003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1.9292624999999997E-3</v>
      </c>
      <c r="M101">
        <f>Q25+M25+I25+E25</f>
        <v>16.583998999999999</v>
      </c>
      <c r="N101" s="24"/>
      <c r="O101" s="20"/>
      <c r="P101" s="21"/>
      <c r="Q101" t="s">
        <v>37</v>
      </c>
      <c r="R101">
        <f t="shared" si="42"/>
        <v>1.9570999999999998E-3</v>
      </c>
      <c r="S101">
        <f t="shared" si="43"/>
        <v>1.9570999999999998E-3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1.9570999999999998E-3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2.0087999999999998E-3</v>
      </c>
      <c r="G107">
        <f t="shared" si="47"/>
        <v>2.0087999999999998E-3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2.0087999999999998E-3</v>
      </c>
      <c r="N107" s="24"/>
      <c r="O107" s="20"/>
      <c r="P107" s="21"/>
      <c r="Q107" t="s">
        <v>37</v>
      </c>
      <c r="R107">
        <f t="shared" si="50"/>
        <v>2.0557000000000001E-3</v>
      </c>
      <c r="S107">
        <f t="shared" si="51"/>
        <v>2.0557000000000001E-3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2.0557000000000001E-3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1.905E-3</v>
      </c>
      <c r="G114">
        <f t="shared" si="55"/>
        <v>1.905E-3</v>
      </c>
      <c r="H114">
        <f t="shared" si="56"/>
        <v>3.4090579999999999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1.905E-3</v>
      </c>
      <c r="M114">
        <f>AA25+W25</f>
        <v>8.0080469999999995</v>
      </c>
      <c r="P114" s="21"/>
      <c r="Q114" t="s">
        <v>37</v>
      </c>
      <c r="R114">
        <f t="shared" si="60"/>
        <v>1.91E-3</v>
      </c>
      <c r="S114">
        <f t="shared" si="61"/>
        <v>1.91E-3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1.91E-3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1.92E-3</v>
      </c>
      <c r="G120">
        <f t="shared" si="65"/>
        <v>1.92E-3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1.92E-3</v>
      </c>
      <c r="P120" s="21"/>
      <c r="Q120" t="s">
        <v>37</v>
      </c>
      <c r="R120">
        <f t="shared" si="68"/>
        <v>1.9299999999999999E-3</v>
      </c>
      <c r="S120">
        <f t="shared" si="69"/>
        <v>1.9299999999999999E-3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1.9299999999999999E-3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1.9100000000000002E-3</v>
      </c>
      <c r="G127">
        <f t="shared" si="73"/>
        <v>1.9100000000000002E-3</v>
      </c>
      <c r="H127">
        <f t="shared" si="74"/>
        <v>5.2597139999999998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1.9100000000000002E-3</v>
      </c>
      <c r="M127">
        <f>AE25+AA25+W25</f>
        <v>12.073653999999999</v>
      </c>
      <c r="O127" s="20"/>
      <c r="P127" s="21"/>
      <c r="Q127" t="s">
        <v>37</v>
      </c>
      <c r="R127">
        <f t="shared" si="78"/>
        <v>1.92E-3</v>
      </c>
      <c r="S127">
        <f t="shared" si="79"/>
        <v>1.92E-3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1.92E-3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1.9399999999999999E-3</v>
      </c>
      <c r="G133">
        <f t="shared" si="83"/>
        <v>1.9399999999999999E-3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1.9399999999999999E-3</v>
      </c>
      <c r="O133" s="20"/>
      <c r="P133" s="21"/>
      <c r="Q133" t="s">
        <v>37</v>
      </c>
      <c r="R133">
        <f t="shared" si="86"/>
        <v>1.9599999999999999E-3</v>
      </c>
      <c r="S133">
        <f t="shared" si="87"/>
        <v>1.9599999999999999E-3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1.9599999999999999E-3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1.9149999999999996E-3</v>
      </c>
      <c r="G140">
        <f t="shared" si="91"/>
        <v>1.9149999999999996E-3</v>
      </c>
      <c r="H140">
        <f t="shared" si="92"/>
        <v>7.0624570000000002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1.9149999999999996E-3</v>
      </c>
      <c r="M140">
        <f>AI25+AE25+AA25+W25</f>
        <v>16.125215999999998</v>
      </c>
      <c r="N140" s="24"/>
      <c r="O140" s="20"/>
      <c r="P140" s="21"/>
      <c r="Q140" t="s">
        <v>37</v>
      </c>
      <c r="R140">
        <f t="shared" si="96"/>
        <v>1.9299999999999999E-3</v>
      </c>
      <c r="S140">
        <f t="shared" si="97"/>
        <v>1.9299999999999999E-3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1.9299999999999999E-3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1.9599999999999999E-3</v>
      </c>
      <c r="G146">
        <f t="shared" si="101"/>
        <v>1.9599999999999999E-3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1.9599999999999999E-3</v>
      </c>
      <c r="N146" s="24"/>
      <c r="O146" s="20"/>
      <c r="P146" s="21"/>
      <c r="Q146" t="s">
        <v>37</v>
      </c>
      <c r="R146">
        <f t="shared" si="104"/>
        <v>1.99E-3</v>
      </c>
      <c r="S146">
        <f t="shared" si="105"/>
        <v>1.99E-3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1.99E-3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1.6050000000000001E-3</v>
      </c>
      <c r="G153">
        <f t="shared" si="109"/>
        <v>1.7049999999999999E-3</v>
      </c>
      <c r="H153">
        <f t="shared" si="110"/>
        <v>3.5909839999999997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1.7049999999999999E-3</v>
      </c>
      <c r="M153">
        <f>I46+E46</f>
        <v>8.8608809999999991</v>
      </c>
      <c r="P153" s="21"/>
      <c r="Q153" t="s">
        <v>37</v>
      </c>
      <c r="R153">
        <f t="shared" si="114"/>
        <v>1.6100000000000001E-3</v>
      </c>
      <c r="S153">
        <f t="shared" si="115"/>
        <v>1.7099999999999999E-3</v>
      </c>
      <c r="U153">
        <f t="shared" si="116"/>
        <v>1.311E-2</v>
      </c>
      <c r="V153">
        <f t="shared" si="117"/>
        <v>1.6389999999999998E-2</v>
      </c>
      <c r="X153">
        <f>0.1*F46+(1-0.1)*B46</f>
        <v>1.7099999999999999E-3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1.6200000000000001E-3</v>
      </c>
      <c r="G159">
        <f t="shared" si="119"/>
        <v>1.7200000000000002E-3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1.7200000000000002E-3</v>
      </c>
      <c r="P159" s="21"/>
      <c r="Q159" t="s">
        <v>37</v>
      </c>
      <c r="R159">
        <f t="shared" si="122"/>
        <v>1.6299999999999999E-3</v>
      </c>
      <c r="S159">
        <f t="shared" si="123"/>
        <v>1.7299999999999998E-3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1.7299999999999998E-3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1.6100000000000001E-3</v>
      </c>
      <c r="G166">
        <f t="shared" si="127"/>
        <v>1.7100000000000001E-3</v>
      </c>
      <c r="H166">
        <f t="shared" si="128"/>
        <v>5.3880179999999998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1.7100000000000001E-3</v>
      </c>
      <c r="M166">
        <f>M46+I46+E46</f>
        <v>13.597685</v>
      </c>
      <c r="O166" s="20"/>
      <c r="P166" s="21"/>
      <c r="Q166" t="s">
        <v>37</v>
      </c>
      <c r="R166">
        <f t="shared" si="132"/>
        <v>1.6200000000000001E-3</v>
      </c>
      <c r="S166">
        <f t="shared" si="133"/>
        <v>1.72E-3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1.72E-3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1.64E-3</v>
      </c>
      <c r="G172">
        <f t="shared" si="137"/>
        <v>1.7399999999999998E-3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1.7399999999999998E-3</v>
      </c>
      <c r="O172" s="20"/>
      <c r="P172" s="21"/>
      <c r="Q172" t="s">
        <v>37</v>
      </c>
      <c r="R172">
        <f t="shared" si="140"/>
        <v>1.66E-3</v>
      </c>
      <c r="S172">
        <f t="shared" si="141"/>
        <v>1.7599999999999998E-3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1.7599999999999998E-3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1.6149999999999999E-3</v>
      </c>
      <c r="G179">
        <f t="shared" si="145"/>
        <v>1.7150124999999999E-3</v>
      </c>
      <c r="H179">
        <f t="shared" si="146"/>
        <v>7.1601099999999995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1.7149999999999997E-3</v>
      </c>
      <c r="M179">
        <f>Q46+M46+I46+E46</f>
        <v>17.594849000000004</v>
      </c>
      <c r="N179" s="24"/>
      <c r="O179" s="20"/>
      <c r="P179" s="21"/>
      <c r="Q179" t="s">
        <v>37</v>
      </c>
      <c r="R179">
        <f t="shared" si="150"/>
        <v>1.6299999999999999E-3</v>
      </c>
      <c r="S179">
        <f t="shared" si="151"/>
        <v>1.7300999999999996E-3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1.7299999999999998E-3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1.66E-3</v>
      </c>
      <c r="G185">
        <f t="shared" si="155"/>
        <v>1.7607999999999999E-3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1.7599999999999998E-3</v>
      </c>
      <c r="N185" s="24"/>
      <c r="O185" s="20"/>
      <c r="P185" s="21"/>
      <c r="Q185" t="s">
        <v>37</v>
      </c>
      <c r="R185">
        <f t="shared" si="158"/>
        <v>1.6899999999999999E-3</v>
      </c>
      <c r="S185">
        <f t="shared" si="159"/>
        <v>1.7926999999999999E-3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1.7899999999999999E-3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8.9999999999999998E-4</v>
      </c>
      <c r="G192">
        <f t="shared" si="163"/>
        <v>1.405E-3</v>
      </c>
      <c r="H192">
        <f t="shared" si="164"/>
        <v>3.5593560000000002</v>
      </c>
      <c r="I192">
        <f t="shared" si="165"/>
        <v>7.1699999999999993E-3</v>
      </c>
      <c r="J192">
        <f t="shared" si="166"/>
        <v>1.2614999999999999E-2</v>
      </c>
      <c r="K192">
        <f t="shared" si="167"/>
        <v>493.02601899999996</v>
      </c>
      <c r="L192">
        <f>0.05*X46+(1-0.05)*T46</f>
        <v>1.2999999999999999E-3</v>
      </c>
      <c r="M192">
        <f>AA46+W46</f>
        <v>8.5424520000000008</v>
      </c>
      <c r="P192" s="21"/>
      <c r="Q192" t="s">
        <v>37</v>
      </c>
      <c r="R192">
        <f t="shared" si="168"/>
        <v>8.9999999999999998E-4</v>
      </c>
      <c r="S192">
        <f t="shared" si="169"/>
        <v>1.41E-3</v>
      </c>
      <c r="U192">
        <f t="shared" si="170"/>
        <v>6.8399999999999997E-3</v>
      </c>
      <c r="V192">
        <f t="shared" si="171"/>
        <v>1.2030000000000001E-2</v>
      </c>
      <c r="X192">
        <f>0.1*X46+(1-0.1)*T46</f>
        <v>1.2999999999999999E-3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9.0000000000000008E-4</v>
      </c>
      <c r="G198">
        <f t="shared" si="173"/>
        <v>1.4200000000000003E-3</v>
      </c>
      <c r="I198">
        <f t="shared" si="174"/>
        <v>6.1799999999999997E-3</v>
      </c>
      <c r="J198">
        <f t="shared" si="175"/>
        <v>1.086E-2</v>
      </c>
      <c r="L198">
        <f>0.2*X46+(1-0.2)*T46</f>
        <v>1.2999999999999999E-3</v>
      </c>
      <c r="P198" s="21"/>
      <c r="Q198" t="s">
        <v>37</v>
      </c>
      <c r="R198">
        <f t="shared" si="176"/>
        <v>8.9999999999999998E-4</v>
      </c>
      <c r="S198">
        <f t="shared" si="177"/>
        <v>1.4299999999999998E-3</v>
      </c>
      <c r="U198">
        <f t="shared" si="178"/>
        <v>5.5199999999999997E-3</v>
      </c>
      <c r="V198">
        <f t="shared" si="179"/>
        <v>9.6900000000000007E-3</v>
      </c>
      <c r="X198">
        <f>0.3*X46+(1-0.3)*T46</f>
        <v>1.2999999999999999E-3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9.0025000000000001E-4</v>
      </c>
      <c r="G205">
        <f t="shared" si="181"/>
        <v>1.41E-3</v>
      </c>
      <c r="H205">
        <f t="shared" si="182"/>
        <v>5.374085</v>
      </c>
      <c r="I205">
        <f t="shared" si="183"/>
        <v>6.8762500000000004E-3</v>
      </c>
      <c r="J205">
        <f t="shared" si="184"/>
        <v>1.2092250000000002E-2</v>
      </c>
      <c r="K205">
        <f>AE41+AA41+W41</f>
        <v>1302.099048</v>
      </c>
      <c r="L205">
        <f>(0.05*(1-0.05)+0.05*(1-0.05))*X46+0.05*0.05*AB46+(1-0.05*(1-0.05)-0.05*(1-0.05)-0.05*0.05)*T46</f>
        <v>1.30025E-3</v>
      </c>
      <c r="M205">
        <f>AE46+AA46+W46</f>
        <v>12.739398999999999</v>
      </c>
      <c r="O205" s="20"/>
      <c r="P205" s="21"/>
      <c r="Q205" t="s">
        <v>37</v>
      </c>
      <c r="R205">
        <f t="shared" si="185"/>
        <v>9.0100000000000011E-4</v>
      </c>
      <c r="S205">
        <f t="shared" si="186"/>
        <v>1.42E-3</v>
      </c>
      <c r="U205">
        <f t="shared" si="187"/>
        <v>6.3250000000000008E-3</v>
      </c>
      <c r="V205">
        <f t="shared" si="188"/>
        <v>1.1109000000000001E-2</v>
      </c>
      <c r="X205">
        <f>(0.1*0.9+0.1*0.9)*X46+0.1*0.1*AB46+(1-0.1*0.9-0.1*0.9-0.1*0.1)*T46</f>
        <v>1.3010000000000001E-3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9.0399999999999996E-4</v>
      </c>
      <c r="G211">
        <f t="shared" si="190"/>
        <v>1.4399999999999999E-3</v>
      </c>
      <c r="I211">
        <f t="shared" si="191"/>
        <v>5.4399999999999987E-3</v>
      </c>
      <c r="J211">
        <f t="shared" si="192"/>
        <v>9.5159999999999984E-3</v>
      </c>
      <c r="L211">
        <f>(0.2*0.8+0.2*0.8)*X46+0.2*0.2*AB46+(1-0.2*0.8-0.2*0.8-0.2*0.2)*T46</f>
        <v>1.304E-3</v>
      </c>
      <c r="O211" s="20"/>
      <c r="P211" s="21"/>
      <c r="Q211" t="s">
        <v>37</v>
      </c>
      <c r="R211">
        <f t="shared" si="193"/>
        <v>9.0900000000000009E-4</v>
      </c>
      <c r="S211">
        <f t="shared" si="194"/>
        <v>1.4600000000000001E-3</v>
      </c>
      <c r="U211">
        <f t="shared" si="195"/>
        <v>4.8450000000000003E-3</v>
      </c>
      <c r="V211">
        <f t="shared" si="196"/>
        <v>8.4210000000000014E-3</v>
      </c>
      <c r="X211">
        <f>(0.3*0.7+0.3*0.7)*X46+0.3*0.3*AB46+(1-0.3*0.7-0.3*0.7-0.3*0.3)*T46</f>
        <v>1.3090000000000001E-3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9.007249999999999E-4</v>
      </c>
      <c r="G218">
        <f t="shared" si="198"/>
        <v>1.415E-3</v>
      </c>
      <c r="H218">
        <f t="shared" si="199"/>
        <v>7.1381860000000001</v>
      </c>
      <c r="I218">
        <f t="shared" si="200"/>
        <v>6.6159999999999986E-3</v>
      </c>
      <c r="J218">
        <f t="shared" si="201"/>
        <v>1.1627099999999998E-2</v>
      </c>
      <c r="K218">
        <f t="shared" si="202"/>
        <v>2111.2175689999999</v>
      </c>
      <c r="L218">
        <f>3*0.05*(1-0.05)*(1-0.05)*X46+3*0.05*0.05*(1-0.05)*AB46+0.05*0.05*0.05*AF46+(1-3*0.05*(1-0.05)*(1-0.05)-3*0.05*0.05*(1-0.05)-0.05*0.05*0.05)*T46</f>
        <v>1.3007374999999997E-3</v>
      </c>
      <c r="M218">
        <f>AI46+AE46+AA46+W46</f>
        <v>17.171911999999999</v>
      </c>
      <c r="N218" s="24"/>
      <c r="O218" s="20"/>
      <c r="P218" s="21"/>
      <c r="Q218" t="s">
        <v>37</v>
      </c>
      <c r="R218">
        <f t="shared" si="203"/>
        <v>9.0279999999999994E-4</v>
      </c>
      <c r="S218">
        <f t="shared" si="204"/>
        <v>1.4299999999999998E-3</v>
      </c>
      <c r="U218">
        <f t="shared" si="205"/>
        <v>5.9329999999999982E-3</v>
      </c>
      <c r="V218">
        <f t="shared" si="206"/>
        <v>1.0399799999999999E-2</v>
      </c>
      <c r="X218">
        <f>3*0.1*(1-0.1)*(1-0.1)*X46+3*0.1*0.1*(1-0.1)*AB46+0.1*0.1*0.1*AF46+(1-3*0.1*(1-0.1)*(1-0.1)-3*0.1*0.1*(1-0.1)-0.1*0.1*0.1)*T46</f>
        <v>1.3028999999999998E-3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9.103999999999999E-4</v>
      </c>
      <c r="G224">
        <f t="shared" si="208"/>
        <v>1.4599999999999999E-3</v>
      </c>
      <c r="I224">
        <f t="shared" si="209"/>
        <v>5.1039999999999992E-3</v>
      </c>
      <c r="J224">
        <f t="shared" si="210"/>
        <v>8.870399999999997E-3</v>
      </c>
      <c r="L224">
        <f>3*0.2*(1-0.2)*(1-0.2)*X46+3*0.2*0.2*(1-0.2)*AB46+0.2*0.2*0.2*AF46+(1-3*0.2*(1-0.2)*(1-0.2)-3*0.2*0.2*(1-0.2)-0.2*0.2*0.2)*T46</f>
        <v>1.3111999999999998E-3</v>
      </c>
      <c r="N224" s="24"/>
      <c r="O224" s="20"/>
      <c r="P224" s="21"/>
      <c r="Q224" t="s">
        <v>37</v>
      </c>
      <c r="R224">
        <f t="shared" si="211"/>
        <v>9.2160000000000007E-4</v>
      </c>
      <c r="S224">
        <f t="shared" si="212"/>
        <v>1.4900000000000002E-3</v>
      </c>
      <c r="U224">
        <f t="shared" si="213"/>
        <v>4.8810000000000017E-3</v>
      </c>
      <c r="V224">
        <f t="shared" si="214"/>
        <v>8.3886000000000013E-3</v>
      </c>
      <c r="X224">
        <f>3*0.3*(1-0.3)*(1-0.3)*X46+3*0.3*0.3*(1-0.3)*AB46+0.3*0.3*0.3*AF46+(1-3*0.3*(1-0.3)*(1-0.3)-3*0.3*0.3*(1-0.3)-0.3*0.3*0.3)*T46</f>
        <v>1.3242999999999998E-3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3.5572999999999996E-4</v>
      </c>
      <c r="G231">
        <f t="shared" si="216"/>
        <v>8.9810499999999995E-4</v>
      </c>
      <c r="H231">
        <f t="shared" si="217"/>
        <v>3.4492019999999997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6.0420999999999999E-4</v>
      </c>
      <c r="M231">
        <f>I66+E66</f>
        <v>8.9367640000000002</v>
      </c>
      <c r="P231" s="21"/>
      <c r="Q231" t="s">
        <v>37</v>
      </c>
      <c r="R231">
        <f t="shared" si="221"/>
        <v>3.5706000000000003E-4</v>
      </c>
      <c r="S231">
        <f t="shared" si="222"/>
        <v>9.0131E-4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6.0661999999999999E-4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3.5972000000000001E-4</v>
      </c>
      <c r="G237">
        <f t="shared" si="226"/>
        <v>9.077200000000001E-4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6.1143999999999999E-4</v>
      </c>
      <c r="P237" s="21"/>
      <c r="Q237" t="s">
        <v>37</v>
      </c>
      <c r="R237">
        <f t="shared" si="229"/>
        <v>3.6237999999999993E-4</v>
      </c>
      <c r="S237">
        <f t="shared" si="230"/>
        <v>9.1412999999999998E-4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6.1625999999999998E-4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3.5704100000000005E-4</v>
      </c>
      <c r="G244">
        <f t="shared" si="234"/>
        <v>9.0125225000000004E-4</v>
      </c>
      <c r="H244">
        <f t="shared" si="235"/>
        <v>5.1375029999999997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L244">
        <f>(0.05*(1-0.05)+0.05*(1-0.05))*G66+0.05*0.05*J66+(1-0.05*(1-0.05)-0.05*(1-0.05)-0.05*0.05)*B66</f>
        <v>6.065965E-4</v>
      </c>
      <c r="M244">
        <f>M66+I66+E66</f>
        <v>13.693010000000001</v>
      </c>
      <c r="O244" s="20"/>
      <c r="P244" s="21"/>
      <c r="Q244" t="s">
        <v>37</v>
      </c>
      <c r="R244">
        <f t="shared" si="239"/>
        <v>3.59644E-4</v>
      </c>
      <c r="S244">
        <f t="shared" si="240"/>
        <v>9.0748900000000004E-4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6.1134600000000002E-4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3.64736E-4</v>
      </c>
      <c r="G250">
        <f t="shared" si="244"/>
        <v>9.1961599999999994E-4</v>
      </c>
      <c r="I250">
        <f t="shared" si="245"/>
        <v>3.8999999999999998E-3</v>
      </c>
      <c r="J250">
        <f t="shared" si="246"/>
        <v>8.1480000000000007E-3</v>
      </c>
      <c r="L250">
        <f>(0.2*0.8+0.2*0.8)*G66+0.2*0.2*J66+(1-0.2*0.8-0.2*0.8-0.2*0.2)*B66</f>
        <v>6.2070399999999992E-4</v>
      </c>
      <c r="O250" s="20"/>
      <c r="P250" s="21"/>
      <c r="Q250" t="s">
        <v>37</v>
      </c>
      <c r="R250">
        <f t="shared" si="247"/>
        <v>3.6967600000000004E-4</v>
      </c>
      <c r="S250">
        <f t="shared" si="248"/>
        <v>9.3128100000000006E-4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6.298740000000001E-4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3.5833157499999996E-4</v>
      </c>
      <c r="G257">
        <f t="shared" si="252"/>
        <v>9.0435201249999993E-4</v>
      </c>
      <c r="H257">
        <f t="shared" si="253"/>
        <v>6.8970420000000008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6.089624874999999E-4</v>
      </c>
      <c r="M257">
        <f>Q66+M66+I66+E66</f>
        <v>17.863458999999999</v>
      </c>
      <c r="N257" s="24"/>
      <c r="O257" s="20"/>
      <c r="P257" s="21"/>
      <c r="Q257" t="s">
        <v>37</v>
      </c>
      <c r="R257">
        <f t="shared" si="257"/>
        <v>3.6214059999999999E-4</v>
      </c>
      <c r="S257">
        <f t="shared" si="258"/>
        <v>9.1351910000000004E-4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6.1600190000000001E-4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3.6935679999999999E-4</v>
      </c>
      <c r="G263">
        <f t="shared" si="262"/>
        <v>9.3124479999999996E-4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6.2978319999999993E-4</v>
      </c>
      <c r="N263" s="24"/>
      <c r="O263" s="20"/>
      <c r="P263" s="21"/>
      <c r="Q263" t="s">
        <v>37</v>
      </c>
      <c r="R263">
        <f t="shared" si="265"/>
        <v>3.759802E-4</v>
      </c>
      <c r="S263">
        <f t="shared" si="266"/>
        <v>9.4856970000000004E-4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6.4328729999999998E-4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88</v>
      </c>
      <c r="C9" s="16"/>
      <c r="D9" s="16"/>
      <c r="E9" s="16"/>
      <c r="F9" s="16" t="s">
        <v>89</v>
      </c>
      <c r="G9" s="16"/>
      <c r="H9" s="16"/>
      <c r="I9" s="16"/>
      <c r="J9" s="16" t="s">
        <v>90</v>
      </c>
      <c r="K9" s="16"/>
      <c r="L9" s="16"/>
      <c r="M9" s="16"/>
      <c r="N9" s="16" t="s">
        <v>91</v>
      </c>
      <c r="O9" s="16"/>
      <c r="P9" s="16"/>
      <c r="Q9" s="16"/>
      <c r="S9" s="22" t="s">
        <v>12</v>
      </c>
      <c r="T9" s="16" t="s">
        <v>88</v>
      </c>
      <c r="U9" s="16"/>
      <c r="V9" s="16"/>
      <c r="W9" s="16"/>
      <c r="X9" s="16" t="s">
        <v>89</v>
      </c>
      <c r="Y9" s="16"/>
      <c r="Z9" s="16"/>
      <c r="AA9" s="16"/>
      <c r="AB9" s="16" t="s">
        <v>90</v>
      </c>
      <c r="AC9" s="16"/>
      <c r="AD9" s="16"/>
      <c r="AE9" s="16"/>
      <c r="AF9" s="16" t="s">
        <v>91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1.6999999999999999E-3</v>
      </c>
      <c r="D13" s="10">
        <v>1.6999999999999999E-3</v>
      </c>
      <c r="E13" s="10">
        <v>1.2410140000000001</v>
      </c>
      <c r="F13" t="s">
        <v>22</v>
      </c>
      <c r="G13" s="10">
        <v>1.8E-3</v>
      </c>
      <c r="H13" s="10">
        <v>1.8E-3</v>
      </c>
      <c r="I13" s="10">
        <v>1.2118180000000001</v>
      </c>
      <c r="J13" t="s">
        <v>22</v>
      </c>
      <c r="K13" s="10">
        <v>2E-3</v>
      </c>
      <c r="L13" s="10">
        <v>2E-3</v>
      </c>
      <c r="M13" s="10">
        <v>1.2245870000000001</v>
      </c>
      <c r="N13" t="s">
        <v>22</v>
      </c>
      <c r="O13" s="10">
        <v>2.0999999999999999E-3</v>
      </c>
      <c r="P13" s="10">
        <v>2.0999999999999999E-3</v>
      </c>
      <c r="Q13" s="10">
        <v>1.036591</v>
      </c>
      <c r="S13" s="22"/>
      <c r="T13" t="s">
        <v>22</v>
      </c>
      <c r="U13">
        <v>1.6999999999999999E-3</v>
      </c>
      <c r="V13">
        <v>1.6999999999999999E-3</v>
      </c>
      <c r="W13">
        <v>1.5070859999999999</v>
      </c>
      <c r="X13" t="s">
        <v>22</v>
      </c>
      <c r="Y13">
        <v>1.8E-3</v>
      </c>
      <c r="Z13">
        <v>1.8E-3</v>
      </c>
      <c r="AA13">
        <v>1.481325</v>
      </c>
      <c r="AB13" t="s">
        <v>22</v>
      </c>
      <c r="AC13">
        <v>1.9E-3</v>
      </c>
      <c r="AD13">
        <v>1.9E-3</v>
      </c>
      <c r="AE13">
        <v>1.5536239999999999</v>
      </c>
      <c r="AF13" t="s">
        <v>22</v>
      </c>
      <c r="AG13">
        <v>2E-3</v>
      </c>
      <c r="AH13">
        <v>2E-3</v>
      </c>
      <c r="AI13">
        <v>1.227587</v>
      </c>
    </row>
    <row r="16" spans="1:35" x14ac:dyDescent="0.25">
      <c r="A16" s="18" t="s">
        <v>23</v>
      </c>
      <c r="B16" s="16" t="s">
        <v>88</v>
      </c>
      <c r="C16" s="16"/>
      <c r="D16" s="16"/>
      <c r="E16" s="16"/>
      <c r="F16" s="16" t="s">
        <v>89</v>
      </c>
      <c r="G16" s="16"/>
      <c r="H16" s="16"/>
      <c r="I16" s="16"/>
      <c r="J16" s="16" t="s">
        <v>90</v>
      </c>
      <c r="K16" s="16"/>
      <c r="L16" s="16"/>
      <c r="M16" s="16"/>
      <c r="N16" s="16" t="s">
        <v>91</v>
      </c>
      <c r="O16" s="16"/>
      <c r="P16" s="16"/>
      <c r="Q16" s="16"/>
      <c r="S16" s="18" t="s">
        <v>23</v>
      </c>
      <c r="T16" s="16" t="s">
        <v>88</v>
      </c>
      <c r="U16" s="16"/>
      <c r="V16" s="16"/>
      <c r="W16" s="16"/>
      <c r="X16" s="16" t="s">
        <v>89</v>
      </c>
      <c r="Y16" s="16"/>
      <c r="Z16" s="16"/>
      <c r="AA16" s="16"/>
      <c r="AB16" s="16" t="s">
        <v>90</v>
      </c>
      <c r="AC16" s="16"/>
      <c r="AD16" s="16"/>
      <c r="AE16" s="16"/>
      <c r="AF16" s="16" t="s">
        <v>91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1.9699999999999999E-2</v>
      </c>
      <c r="D20">
        <v>1.9800000000000002E-2</v>
      </c>
      <c r="E20">
        <v>543.00650800000005</v>
      </c>
      <c r="F20" t="s">
        <v>22</v>
      </c>
      <c r="G20">
        <v>2.0899999999999998E-2</v>
      </c>
      <c r="H20">
        <v>2.0899999999999998E-2</v>
      </c>
      <c r="I20">
        <v>380.05642999999998</v>
      </c>
      <c r="J20" t="s">
        <v>22</v>
      </c>
      <c r="K20">
        <v>2.1999999999999999E-2</v>
      </c>
      <c r="L20">
        <v>2.2100000000000002E-2</v>
      </c>
      <c r="M20">
        <v>335.71965999999998</v>
      </c>
      <c r="N20" t="s">
        <v>22</v>
      </c>
      <c r="O20">
        <v>2.3199999999999998E-2</v>
      </c>
      <c r="P20">
        <v>2.3199999999999998E-2</v>
      </c>
      <c r="Q20">
        <v>378.594853</v>
      </c>
      <c r="S20" s="18"/>
      <c r="T20" t="s">
        <v>22</v>
      </c>
      <c r="U20">
        <v>1.7899999999999999E-2</v>
      </c>
      <c r="V20">
        <v>1.84E-2</v>
      </c>
      <c r="W20">
        <v>401.51507199999998</v>
      </c>
      <c r="X20" t="s">
        <v>22</v>
      </c>
      <c r="Y20">
        <v>1.89E-2</v>
      </c>
      <c r="Z20">
        <v>1.9400000000000001E-2</v>
      </c>
      <c r="AA20">
        <v>379.953823</v>
      </c>
      <c r="AB20" t="s">
        <v>22</v>
      </c>
      <c r="AC20">
        <v>1.9900000000000001E-2</v>
      </c>
      <c r="AD20">
        <v>2.0500000000000001E-2</v>
      </c>
      <c r="AE20">
        <v>520.54528300000004</v>
      </c>
      <c r="AF20" t="s">
        <v>22</v>
      </c>
      <c r="AG20">
        <v>2.0899999999999998E-2</v>
      </c>
      <c r="AH20">
        <v>2.1499999999999998E-2</v>
      </c>
      <c r="AI20">
        <v>454.306647</v>
      </c>
    </row>
    <row r="23" spans="1:35" x14ac:dyDescent="0.25">
      <c r="A23" s="23" t="s">
        <v>24</v>
      </c>
      <c r="B23" s="16" t="s">
        <v>88</v>
      </c>
      <c r="C23" s="16"/>
      <c r="D23" s="16"/>
      <c r="E23" s="16"/>
      <c r="F23" s="16" t="s">
        <v>89</v>
      </c>
      <c r="G23" s="16"/>
      <c r="H23" s="16"/>
      <c r="I23" s="16"/>
      <c r="J23" s="16" t="s">
        <v>90</v>
      </c>
      <c r="K23" s="16"/>
      <c r="L23" s="16"/>
      <c r="M23" s="16"/>
      <c r="N23" s="16" t="s">
        <v>91</v>
      </c>
      <c r="O23" s="16"/>
      <c r="P23" s="16"/>
      <c r="Q23" s="16"/>
      <c r="S23" s="23" t="s">
        <v>24</v>
      </c>
      <c r="T23" s="16" t="s">
        <v>88</v>
      </c>
      <c r="U23" s="16"/>
      <c r="V23" s="16"/>
      <c r="W23" s="16"/>
      <c r="X23" s="16" t="s">
        <v>89</v>
      </c>
      <c r="Y23" s="16"/>
      <c r="Z23" s="16"/>
      <c r="AA23" s="16"/>
      <c r="AB23" s="16" t="s">
        <v>90</v>
      </c>
      <c r="AC23" s="16"/>
      <c r="AD23" s="16"/>
      <c r="AE23" s="16"/>
      <c r="AF23" s="16" t="s">
        <v>91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1.6999999999999999E-3</v>
      </c>
      <c r="C25" s="6"/>
      <c r="D25" s="6"/>
      <c r="E25">
        <v>4.27386</v>
      </c>
      <c r="F25" s="6">
        <v>1.8E-3</v>
      </c>
      <c r="G25" s="6"/>
      <c r="H25" s="6"/>
      <c r="I25">
        <v>3.6144850000000002</v>
      </c>
      <c r="J25" s="6">
        <v>2E-3</v>
      </c>
      <c r="K25" s="6"/>
      <c r="L25" s="6"/>
      <c r="M25">
        <v>3.632641</v>
      </c>
      <c r="N25" s="6">
        <v>2.0999999999999999E-3</v>
      </c>
      <c r="O25" s="6"/>
      <c r="P25" s="6"/>
      <c r="Q25">
        <v>3.6636850000000001</v>
      </c>
      <c r="S25" s="23"/>
      <c r="T25" s="6">
        <v>1.6999999999999999E-3</v>
      </c>
      <c r="U25" s="6"/>
      <c r="V25" s="6"/>
      <c r="W25">
        <v>4.2403899999999997</v>
      </c>
      <c r="X25" s="6">
        <v>1.8E-3</v>
      </c>
      <c r="Y25" s="6"/>
      <c r="Z25" s="6"/>
      <c r="AA25">
        <v>3.618233</v>
      </c>
      <c r="AB25" s="6">
        <v>1.9E-3</v>
      </c>
      <c r="AC25" s="6"/>
      <c r="AD25" s="6"/>
      <c r="AE25">
        <v>3.5845940000000001</v>
      </c>
      <c r="AF25" s="6">
        <v>2E-3</v>
      </c>
      <c r="AG25" s="6"/>
      <c r="AH25" s="6"/>
      <c r="AI25">
        <v>3.639453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88</v>
      </c>
      <c r="C30" s="16"/>
      <c r="D30" s="16"/>
      <c r="E30" s="16"/>
      <c r="F30" s="16" t="s">
        <v>89</v>
      </c>
      <c r="G30" s="16"/>
      <c r="H30" s="16"/>
      <c r="I30" s="16"/>
      <c r="J30" s="16" t="s">
        <v>90</v>
      </c>
      <c r="K30" s="16"/>
      <c r="L30" s="16"/>
      <c r="M30" s="16"/>
      <c r="N30" s="16" t="s">
        <v>91</v>
      </c>
      <c r="O30" s="16"/>
      <c r="P30" s="16"/>
      <c r="Q30" s="16"/>
      <c r="S30" s="22" t="s">
        <v>12</v>
      </c>
      <c r="T30" s="16" t="s">
        <v>88</v>
      </c>
      <c r="U30" s="16"/>
      <c r="V30" s="16"/>
      <c r="W30" s="16"/>
      <c r="X30" s="16" t="s">
        <v>89</v>
      </c>
      <c r="Y30" s="16"/>
      <c r="Z30" s="16"/>
      <c r="AA30" s="16"/>
      <c r="AB30" s="16" t="s">
        <v>90</v>
      </c>
      <c r="AC30" s="16"/>
      <c r="AD30" s="16"/>
      <c r="AE30" s="16"/>
      <c r="AF30" s="16" t="s">
        <v>91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1.4E-3</v>
      </c>
      <c r="D34">
        <v>1.5E-3</v>
      </c>
      <c r="E34">
        <v>1.2728189999999999</v>
      </c>
      <c r="F34" t="s">
        <v>22</v>
      </c>
      <c r="G34">
        <v>1.5E-3</v>
      </c>
      <c r="H34">
        <v>1.6999999999999999E-3</v>
      </c>
      <c r="I34">
        <v>1.2181930000000001</v>
      </c>
      <c r="J34" t="s">
        <v>22</v>
      </c>
      <c r="K34" s="8">
        <v>1.6000000000000001E-3</v>
      </c>
      <c r="L34" s="11">
        <v>1.8E-3</v>
      </c>
      <c r="M34">
        <v>1.239919</v>
      </c>
      <c r="N34" t="s">
        <v>22</v>
      </c>
      <c r="O34">
        <v>1.6999999999999999E-3</v>
      </c>
      <c r="P34">
        <v>1.9E-3</v>
      </c>
      <c r="Q34">
        <v>1.2362880000000001</v>
      </c>
      <c r="S34" s="22"/>
      <c r="T34" t="s">
        <v>22</v>
      </c>
      <c r="U34">
        <v>8.0000000000000004E-4</v>
      </c>
      <c r="V34">
        <v>1.2999999999999999E-3</v>
      </c>
      <c r="W34">
        <v>1.4709129999999999</v>
      </c>
      <c r="X34" t="s">
        <v>22</v>
      </c>
      <c r="Y34">
        <v>8.9999999999999998E-4</v>
      </c>
      <c r="Z34">
        <v>1.4E-3</v>
      </c>
      <c r="AA34">
        <v>1.4738309999999999</v>
      </c>
      <c r="AB34" t="s">
        <v>22</v>
      </c>
      <c r="AC34">
        <v>8.9999999999999998E-4</v>
      </c>
      <c r="AD34">
        <v>1.5E-3</v>
      </c>
      <c r="AE34">
        <v>1.517922</v>
      </c>
      <c r="AF34" t="s">
        <v>22</v>
      </c>
      <c r="AG34">
        <v>1E-3</v>
      </c>
      <c r="AH34" s="11">
        <v>1.6000000000000001E-3</v>
      </c>
      <c r="AI34">
        <v>1.7409140000000001</v>
      </c>
    </row>
    <row r="37" spans="1:35" x14ac:dyDescent="0.25">
      <c r="A37" s="18" t="s">
        <v>23</v>
      </c>
      <c r="B37" s="16" t="s">
        <v>88</v>
      </c>
      <c r="C37" s="16"/>
      <c r="D37" s="16"/>
      <c r="E37" s="16"/>
      <c r="F37" s="16" t="s">
        <v>89</v>
      </c>
      <c r="G37" s="16"/>
      <c r="H37" s="16"/>
      <c r="I37" s="16"/>
      <c r="J37" s="16" t="s">
        <v>90</v>
      </c>
      <c r="K37" s="16"/>
      <c r="L37" s="16"/>
      <c r="M37" s="16"/>
      <c r="N37" s="16" t="s">
        <v>91</v>
      </c>
      <c r="O37" s="16"/>
      <c r="P37" s="16"/>
      <c r="Q37" s="16"/>
      <c r="S37" s="18" t="s">
        <v>23</v>
      </c>
      <c r="T37" s="16" t="s">
        <v>88</v>
      </c>
      <c r="U37" s="16"/>
      <c r="V37" s="16"/>
      <c r="W37" s="16"/>
      <c r="X37" s="16" t="s">
        <v>89</v>
      </c>
      <c r="Y37" s="16"/>
      <c r="Z37" s="16"/>
      <c r="AA37" s="16"/>
      <c r="AB37" s="16" t="s">
        <v>90</v>
      </c>
      <c r="AC37" s="16"/>
      <c r="AD37" s="16"/>
      <c r="AE37" s="16"/>
      <c r="AF37" s="16" t="s">
        <v>91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1.2999999999999999E-2</v>
      </c>
      <c r="D41">
        <v>1.6299999999999999E-2</v>
      </c>
      <c r="E41">
        <v>540.35019599999998</v>
      </c>
      <c r="F41" t="s">
        <v>22</v>
      </c>
      <c r="G41">
        <v>1.41E-2</v>
      </c>
      <c r="H41">
        <v>1.72E-2</v>
      </c>
      <c r="I41">
        <v>548.45995600000003</v>
      </c>
      <c r="J41" t="s">
        <v>22</v>
      </c>
      <c r="K41" s="8">
        <v>1.4800000000000001E-2</v>
      </c>
      <c r="L41" s="10">
        <v>1.8499999999999999E-2</v>
      </c>
      <c r="M41">
        <v>565.99071100000003</v>
      </c>
      <c r="N41" t="s">
        <v>22</v>
      </c>
      <c r="O41">
        <v>1.54E-2</v>
      </c>
      <c r="P41">
        <v>1.9E-2</v>
      </c>
      <c r="Q41">
        <v>510.50530700000002</v>
      </c>
      <c r="S41" s="18"/>
      <c r="T41" t="s">
        <v>22</v>
      </c>
      <c r="U41">
        <v>7.4999999999999997E-3</v>
      </c>
      <c r="V41">
        <v>1.32E-2</v>
      </c>
      <c r="W41">
        <v>491.26918599999999</v>
      </c>
      <c r="X41" t="s">
        <v>22</v>
      </c>
      <c r="Y41">
        <v>8.3999999999999995E-3</v>
      </c>
      <c r="Z41">
        <v>1.3899999999999999E-2</v>
      </c>
      <c r="AA41">
        <v>673.61850000000004</v>
      </c>
      <c r="AB41" t="s">
        <v>22</v>
      </c>
      <c r="AC41">
        <v>8.8000000000000005E-3</v>
      </c>
      <c r="AD41">
        <v>1.47E-2</v>
      </c>
      <c r="AE41">
        <v>809.07302900000002</v>
      </c>
      <c r="AF41" t="s">
        <v>22</v>
      </c>
      <c r="AG41">
        <v>9.1999999999999998E-3</v>
      </c>
      <c r="AH41" s="10">
        <v>1.5599999999999999E-2</v>
      </c>
      <c r="AI41">
        <v>809.11852099999999</v>
      </c>
    </row>
    <row r="44" spans="1:35" x14ac:dyDescent="0.25">
      <c r="A44" s="23" t="s">
        <v>24</v>
      </c>
      <c r="B44" s="16" t="s">
        <v>88</v>
      </c>
      <c r="C44" s="16"/>
      <c r="D44" s="16"/>
      <c r="E44" s="16"/>
      <c r="F44" s="16" t="s">
        <v>89</v>
      </c>
      <c r="G44" s="16"/>
      <c r="H44" s="16"/>
      <c r="I44" s="16"/>
      <c r="J44" s="16" t="s">
        <v>90</v>
      </c>
      <c r="K44" s="16"/>
      <c r="L44" s="16"/>
      <c r="M44" s="16"/>
      <c r="N44" s="16" t="s">
        <v>91</v>
      </c>
      <c r="O44" s="16"/>
      <c r="P44" s="16"/>
      <c r="Q44" s="16"/>
      <c r="S44" s="23" t="s">
        <v>24</v>
      </c>
      <c r="T44" s="16" t="s">
        <v>88</v>
      </c>
      <c r="U44" s="16"/>
      <c r="V44" s="16"/>
      <c r="W44" s="16"/>
      <c r="X44" s="16" t="s">
        <v>89</v>
      </c>
      <c r="Y44" s="16"/>
      <c r="Z44" s="16"/>
      <c r="AA44" s="16"/>
      <c r="AB44" s="16" t="s">
        <v>90</v>
      </c>
      <c r="AC44" s="16"/>
      <c r="AD44" s="16"/>
      <c r="AE44" s="16"/>
      <c r="AF44" s="16" t="s">
        <v>91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1.5E-3</v>
      </c>
      <c r="C46" s="6"/>
      <c r="D46" s="6"/>
      <c r="E46">
        <v>3.6009869999999999</v>
      </c>
      <c r="F46" s="6">
        <v>1.6000000000000001E-3</v>
      </c>
      <c r="G46" s="6"/>
      <c r="H46" s="6"/>
      <c r="I46">
        <v>3.5989499999999999</v>
      </c>
      <c r="J46" s="6">
        <v>1.6999999999999999E-3</v>
      </c>
      <c r="K46" s="6"/>
      <c r="L46" s="6"/>
      <c r="M46">
        <v>3.5417000000000001</v>
      </c>
      <c r="N46" s="6">
        <v>1.8E-3</v>
      </c>
      <c r="O46" s="6"/>
      <c r="P46" s="6"/>
      <c r="Q46">
        <v>3.5632350000000002</v>
      </c>
      <c r="S46" s="23"/>
      <c r="T46" s="6">
        <v>1.1999999999999999E-3</v>
      </c>
      <c r="U46" s="6"/>
      <c r="V46" s="6"/>
      <c r="W46">
        <v>3.6453899999999999</v>
      </c>
      <c r="X46" s="6">
        <v>1.1999999999999999E-3</v>
      </c>
      <c r="Y46" s="6"/>
      <c r="Z46" s="6"/>
      <c r="AA46">
        <v>4.1486039999999997</v>
      </c>
      <c r="AB46" s="6">
        <v>1.2999999999999999E-3</v>
      </c>
      <c r="AC46" s="6"/>
      <c r="AD46" s="6"/>
      <c r="AE46">
        <v>4.0161619999999996</v>
      </c>
      <c r="AF46" s="6">
        <v>1.4E-3</v>
      </c>
      <c r="AG46" s="6"/>
      <c r="AH46" s="6"/>
      <c r="AI46">
        <v>3.659084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88</v>
      </c>
      <c r="C50" s="16"/>
      <c r="D50" s="16"/>
      <c r="E50" s="16"/>
      <c r="F50" s="16" t="s">
        <v>89</v>
      </c>
      <c r="G50" s="16"/>
      <c r="H50" s="16"/>
      <c r="I50" s="16"/>
      <c r="J50" s="16" t="s">
        <v>90</v>
      </c>
      <c r="K50" s="16"/>
      <c r="L50" s="16"/>
      <c r="M50" s="16"/>
      <c r="N50" s="16" t="s">
        <v>91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3.4870000000000002E-4</v>
      </c>
      <c r="D54" s="2">
        <v>8.0869999999999998E-4</v>
      </c>
      <c r="E54">
        <v>1.479101</v>
      </c>
      <c r="F54" t="s">
        <v>22</v>
      </c>
      <c r="G54" s="2">
        <v>3.7770000000000002E-4</v>
      </c>
      <c r="H54" s="2">
        <v>8.7410000000000005E-4</v>
      </c>
      <c r="I54">
        <v>1.152984</v>
      </c>
      <c r="J54" t="s">
        <v>22</v>
      </c>
      <c r="K54" s="2">
        <v>4.058E-4</v>
      </c>
      <c r="L54" s="2">
        <v>9.3749999999999997E-4</v>
      </c>
      <c r="M54">
        <v>1.272108</v>
      </c>
      <c r="N54" t="s">
        <v>22</v>
      </c>
      <c r="O54" s="2">
        <v>4.3290000000000001E-4</v>
      </c>
      <c r="P54" s="2">
        <v>9.990000000000001E-4</v>
      </c>
      <c r="Q54">
        <v>1.1912389999999999</v>
      </c>
    </row>
    <row r="57" spans="1:17" x14ac:dyDescent="0.25">
      <c r="A57" s="18" t="s">
        <v>23</v>
      </c>
      <c r="B57" s="16" t="s">
        <v>88</v>
      </c>
      <c r="C57" s="16"/>
      <c r="D57" s="16"/>
      <c r="E57" s="16"/>
      <c r="F57" s="16" t="s">
        <v>89</v>
      </c>
      <c r="G57" s="16"/>
      <c r="H57" s="16"/>
      <c r="I57" s="16"/>
      <c r="J57" s="16" t="s">
        <v>90</v>
      </c>
      <c r="K57" s="16"/>
      <c r="L57" s="16"/>
      <c r="M57" s="16"/>
      <c r="N57" s="16" t="s">
        <v>91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>
        <v>3.5999999999999999E-3</v>
      </c>
      <c r="D61">
        <v>8.2000000000000007E-3</v>
      </c>
      <c r="E61">
        <v>366.09894000000003</v>
      </c>
      <c r="F61" t="s">
        <v>22</v>
      </c>
      <c r="G61">
        <v>4.4000000000000003E-3</v>
      </c>
      <c r="H61">
        <v>8.0999999999999996E-3</v>
      </c>
      <c r="I61">
        <v>460.01891599999999</v>
      </c>
      <c r="J61" t="s">
        <v>22</v>
      </c>
      <c r="K61">
        <v>4.7000000000000002E-3</v>
      </c>
      <c r="L61">
        <v>7.7000000000000002E-3</v>
      </c>
      <c r="M61">
        <v>525.64598999999998</v>
      </c>
      <c r="N61" t="s">
        <v>22</v>
      </c>
      <c r="O61">
        <v>5.0000000000000001E-3</v>
      </c>
      <c r="P61">
        <v>8.3000000000000001E-3</v>
      </c>
      <c r="Q61">
        <v>342.73672599999998</v>
      </c>
    </row>
    <row r="64" spans="1:17" x14ac:dyDescent="0.25">
      <c r="A64" s="23" t="s">
        <v>24</v>
      </c>
      <c r="B64" s="16" t="s">
        <v>88</v>
      </c>
      <c r="C64" s="16"/>
      <c r="D64" s="16"/>
      <c r="E64" s="16"/>
      <c r="F64" s="16" t="s">
        <v>89</v>
      </c>
      <c r="G64" s="16"/>
      <c r="H64" s="16"/>
      <c r="I64" s="16"/>
      <c r="J64" s="16" t="s">
        <v>90</v>
      </c>
      <c r="K64" s="16"/>
      <c r="L64" s="16"/>
      <c r="M64" s="16"/>
      <c r="N64" s="16" t="s">
        <v>91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5.7269999999999999E-4</v>
      </c>
      <c r="C66" s="6"/>
      <c r="D66" s="6"/>
      <c r="E66">
        <v>3.5542340000000001</v>
      </c>
      <c r="F66" s="6"/>
      <c r="G66" s="3">
        <v>6.3310000000000005E-4</v>
      </c>
      <c r="H66" s="6"/>
      <c r="I66">
        <v>3.9240189999999999</v>
      </c>
      <c r="J66" s="3">
        <v>6.6310000000000002E-4</v>
      </c>
      <c r="K66" s="6"/>
      <c r="L66" s="6"/>
      <c r="M66">
        <v>3.5330210000000002</v>
      </c>
      <c r="N66" s="3">
        <v>7.1020000000000002E-4</v>
      </c>
      <c r="O66" s="6"/>
      <c r="P66" s="6"/>
      <c r="Q66">
        <v>4.1269070000000001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1.7049999999999999E-3</v>
      </c>
      <c r="G75">
        <f t="shared" si="1"/>
        <v>1.7049999999999999E-3</v>
      </c>
      <c r="H75">
        <f t="shared" si="2"/>
        <v>2.4528319999999999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L75">
        <f>0.05*F25+(1-0.05)*B25</f>
        <v>1.7049999999999999E-3</v>
      </c>
      <c r="M75">
        <f>I25+E25</f>
        <v>7.8883450000000002</v>
      </c>
      <c r="P75" s="21"/>
      <c r="Q75" t="s">
        <v>37</v>
      </c>
      <c r="R75">
        <f t="shared" si="6"/>
        <v>1.7099999999999999E-3</v>
      </c>
      <c r="S75">
        <f t="shared" si="7"/>
        <v>1.7099999999999999E-3</v>
      </c>
      <c r="U75">
        <f t="shared" si="8"/>
        <v>1.9819999999999997E-2</v>
      </c>
      <c r="V75">
        <f t="shared" si="9"/>
        <v>1.9910000000000004E-2</v>
      </c>
      <c r="X75">
        <f>0.1*F25+(1-0.1)*B25</f>
        <v>1.7099999999999999E-3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1.7200000000000002E-3</v>
      </c>
      <c r="G81">
        <f t="shared" si="11"/>
        <v>1.7200000000000002E-3</v>
      </c>
      <c r="I81">
        <f t="shared" si="12"/>
        <v>1.9939999999999999E-2</v>
      </c>
      <c r="J81">
        <f t="shared" si="13"/>
        <v>2.0020000000000003E-2</v>
      </c>
      <c r="L81">
        <f>0.2*F25+(1-0.2)*B25</f>
        <v>1.7200000000000002E-3</v>
      </c>
      <c r="P81" s="21"/>
      <c r="Q81" t="s">
        <v>37</v>
      </c>
      <c r="R81">
        <f t="shared" si="14"/>
        <v>1.7299999999999998E-3</v>
      </c>
      <c r="S81">
        <f t="shared" si="15"/>
        <v>1.7299999999999998E-3</v>
      </c>
      <c r="U81">
        <f t="shared" si="16"/>
        <v>2.0059999999999998E-2</v>
      </c>
      <c r="V81">
        <f t="shared" si="17"/>
        <v>2.0130000000000002E-2</v>
      </c>
      <c r="X81">
        <f>0.3*F25+(1-0.3)*B25</f>
        <v>1.7299999999999998E-3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1.71025E-3</v>
      </c>
      <c r="G88">
        <f t="shared" si="19"/>
        <v>1.71025E-3</v>
      </c>
      <c r="H88">
        <f t="shared" si="20"/>
        <v>3.6774190000000004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L88">
        <f>(0.05*(1-0.05)+0.05*(1-0.05))*F25+0.05*0.05*J25+(1-0.05*(1-0.05)-0.05*(1-0.05)-0.05*0.05)*B25</f>
        <v>1.71025E-3</v>
      </c>
      <c r="M88">
        <f>M25+I25+E25</f>
        <v>11.520986000000001</v>
      </c>
      <c r="O88" s="20"/>
      <c r="P88" s="21"/>
      <c r="Q88" t="s">
        <v>37</v>
      </c>
      <c r="R88">
        <f t="shared" si="24"/>
        <v>1.7209999999999999E-3</v>
      </c>
      <c r="S88">
        <f t="shared" si="25"/>
        <v>1.7209999999999999E-3</v>
      </c>
      <c r="U88">
        <f t="shared" si="26"/>
        <v>1.9938999999999998E-2</v>
      </c>
      <c r="V88">
        <f t="shared" si="27"/>
        <v>2.0021000000000004E-2</v>
      </c>
      <c r="X88">
        <f>(0.1*0.9+0.1*0.9)*F25+0.1*0.1*J25+(1-0.1*0.9-0.1*0.9-0.1*0.1)*B25</f>
        <v>1.7209999999999999E-3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1.7439999999999999E-3</v>
      </c>
      <c r="G94">
        <f t="shared" si="29"/>
        <v>1.7439999999999999E-3</v>
      </c>
      <c r="I94">
        <f t="shared" si="30"/>
        <v>2.0175999999999999E-2</v>
      </c>
      <c r="J94">
        <f t="shared" si="31"/>
        <v>2.0243999999999998E-2</v>
      </c>
      <c r="L94">
        <f>(0.2*0.8+0.2*0.8)*F25+0.2*0.2*J25+(1-0.2*0.8-0.2*0.8-0.2*0.2)*B25</f>
        <v>1.7439999999999999E-3</v>
      </c>
      <c r="O94" s="20"/>
      <c r="P94" s="21"/>
      <c r="Q94" t="s">
        <v>37</v>
      </c>
      <c r="R94">
        <f t="shared" si="32"/>
        <v>1.7690000000000002E-3</v>
      </c>
      <c r="S94">
        <f t="shared" si="33"/>
        <v>1.7690000000000002E-3</v>
      </c>
      <c r="U94">
        <f t="shared" si="34"/>
        <v>2.0411000000000002E-2</v>
      </c>
      <c r="V94">
        <f t="shared" si="35"/>
        <v>2.0469000000000001E-2</v>
      </c>
      <c r="X94">
        <f>(0.3*0.7+0.3*0.7)*F25+0.3*0.3*J25+(1-0.3*0.7-0.3*0.7-0.3*0.3)*B25</f>
        <v>1.7690000000000002E-3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1.7157249999999998E-3</v>
      </c>
      <c r="G101">
        <f t="shared" si="37"/>
        <v>1.7157249999999998E-3</v>
      </c>
      <c r="H101">
        <f t="shared" si="38"/>
        <v>4.71401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L101">
        <f>3*0.05*(1-0.05)*(1-0.05)*F25+3*0.05*0.05*(1-0.05)*J25+0.05*0.05*0.05*N25+(1-3*0.05*(1-0.05)*(1-0.05)-3*0.05*0.05*(1-0.05)-0.05*0.05*0.05)*B25</f>
        <v>1.7157249999999998E-3</v>
      </c>
      <c r="M101">
        <f>Q25+M25+I25+E25</f>
        <v>15.184671000000002</v>
      </c>
      <c r="N101" s="24"/>
      <c r="O101" s="20"/>
      <c r="P101" s="21"/>
      <c r="Q101" t="s">
        <v>37</v>
      </c>
      <c r="R101">
        <f t="shared" si="42"/>
        <v>1.7327999999999996E-3</v>
      </c>
      <c r="S101">
        <f t="shared" si="43"/>
        <v>1.7327999999999996E-3</v>
      </c>
      <c r="U101">
        <f t="shared" si="44"/>
        <v>2.0057199999999997E-2</v>
      </c>
      <c r="V101">
        <f t="shared" si="45"/>
        <v>2.0132799999999999E-2</v>
      </c>
      <c r="X101">
        <f>3*0.1*(1-0.1)*(1-0.1)*F25+3*0.1*0.1*(1-0.1)*J25+0.1*0.1*0.1*N25+(1-3*0.1*(1-0.1)*(1-0.1)-3*0.1*0.1*(1-0.1)-0.1*0.1*0.1)*B25</f>
        <v>1.7327999999999996E-3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1.7703999999999997E-3</v>
      </c>
      <c r="G107">
        <f t="shared" si="47"/>
        <v>1.7703999999999997E-3</v>
      </c>
      <c r="I107">
        <f t="shared" si="48"/>
        <v>2.04096E-2</v>
      </c>
      <c r="J107">
        <f t="shared" si="49"/>
        <v>2.04704E-2</v>
      </c>
      <c r="L107">
        <f>3*0.2*(1-0.2)*(1-0.2)*F25+3*0.2*0.2*(1-0.2)*J25+0.2*0.2*0.2*N25+(1-3*0.2*(1-0.2)*(1-0.2)-3*0.2*0.2*(1-0.2)-0.2*0.2*0.2)*B25</f>
        <v>1.7703999999999997E-3</v>
      </c>
      <c r="N107" s="24"/>
      <c r="O107" s="20"/>
      <c r="P107" s="21"/>
      <c r="Q107" t="s">
        <v>37</v>
      </c>
      <c r="R107">
        <f t="shared" si="50"/>
        <v>1.8116E-3</v>
      </c>
      <c r="S107">
        <f t="shared" si="51"/>
        <v>1.8116E-3</v>
      </c>
      <c r="U107">
        <f t="shared" si="52"/>
        <v>2.0758399999999996E-2</v>
      </c>
      <c r="V107">
        <f t="shared" si="53"/>
        <v>2.08116E-2</v>
      </c>
      <c r="X107">
        <f>3*0.3*(1-0.3)*(1-0.3)*F25+3*0.3*0.3*(1-0.3)*J25+0.3*0.3*0.3*N25+(1-3*0.3*(1-0.3)*(1-0.3)-3*0.3*0.3*(1-0.3)-0.3*0.3*0.3)*B25</f>
        <v>1.8116E-3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1.7049999999999999E-3</v>
      </c>
      <c r="G114">
        <f t="shared" si="55"/>
        <v>1.7049999999999999E-3</v>
      </c>
      <c r="H114">
        <f t="shared" si="56"/>
        <v>2.9884110000000002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L114">
        <f>0.05*X25+(1-0.05)*T25</f>
        <v>1.7049999999999999E-3</v>
      </c>
      <c r="M114">
        <f>AA25+W25</f>
        <v>7.8586229999999997</v>
      </c>
      <c r="P114" s="21"/>
      <c r="Q114" t="s">
        <v>37</v>
      </c>
      <c r="R114">
        <f t="shared" si="60"/>
        <v>1.7099999999999999E-3</v>
      </c>
      <c r="S114">
        <f t="shared" si="61"/>
        <v>1.7099999999999999E-3</v>
      </c>
      <c r="U114">
        <f t="shared" si="62"/>
        <v>1.7999999999999999E-2</v>
      </c>
      <c r="V114">
        <f t="shared" si="63"/>
        <v>1.8500000000000003E-2</v>
      </c>
      <c r="X114">
        <f>0.1*X25+(1-0.1)*T25</f>
        <v>1.7099999999999999E-3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1.7200000000000002E-3</v>
      </c>
      <c r="G120">
        <f t="shared" si="65"/>
        <v>1.7200000000000002E-3</v>
      </c>
      <c r="I120">
        <f t="shared" si="66"/>
        <v>1.8099999999999998E-2</v>
      </c>
      <c r="J120">
        <f t="shared" si="67"/>
        <v>1.8600000000000002E-2</v>
      </c>
      <c r="L120">
        <f>0.2*X25+(1-0.2)*T25</f>
        <v>1.7200000000000002E-3</v>
      </c>
      <c r="P120" s="21"/>
      <c r="Q120" t="s">
        <v>37</v>
      </c>
      <c r="R120">
        <f t="shared" si="68"/>
        <v>1.7299999999999998E-3</v>
      </c>
      <c r="S120">
        <f t="shared" si="69"/>
        <v>1.7299999999999998E-3</v>
      </c>
      <c r="U120">
        <f t="shared" si="70"/>
        <v>1.8200000000000001E-2</v>
      </c>
      <c r="V120">
        <f t="shared" si="71"/>
        <v>1.8699999999999998E-2</v>
      </c>
      <c r="X120">
        <f>0.3*X25+(1-0.3)*T25</f>
        <v>1.7299999999999998E-3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1.7100000000000001E-3</v>
      </c>
      <c r="G127">
        <f t="shared" si="73"/>
        <v>1.7100000000000001E-3</v>
      </c>
      <c r="H127">
        <f t="shared" si="74"/>
        <v>4.5420350000000003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L127">
        <f>(0.05*(1-0.05)+0.05*(1-0.05))*X25+0.05*0.05*AB25+(1-0.05*(1-0.05)-0.05*(1-0.05)-0.05*0.05)*T25</f>
        <v>1.7100000000000001E-3</v>
      </c>
      <c r="M127">
        <f>AE25+AA25+W25</f>
        <v>11.443217000000001</v>
      </c>
      <c r="O127" s="20"/>
      <c r="P127" s="21"/>
      <c r="Q127" t="s">
        <v>37</v>
      </c>
      <c r="R127">
        <f t="shared" si="78"/>
        <v>1.72E-3</v>
      </c>
      <c r="S127">
        <f t="shared" si="79"/>
        <v>1.72E-3</v>
      </c>
      <c r="U127">
        <f t="shared" si="80"/>
        <v>1.8100000000000002E-2</v>
      </c>
      <c r="V127">
        <f t="shared" si="81"/>
        <v>1.8600999999999999E-2</v>
      </c>
      <c r="X127">
        <f>(0.1*0.9+0.1*0.9)*X25+0.1*0.1*AB25+(1-0.1*0.9-0.1*0.9-0.1*0.1)*T25</f>
        <v>1.72E-3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1.7399999999999998E-3</v>
      </c>
      <c r="G133">
        <f t="shared" si="83"/>
        <v>1.7399999999999998E-3</v>
      </c>
      <c r="I133">
        <f t="shared" si="84"/>
        <v>1.8299999999999997E-2</v>
      </c>
      <c r="J133">
        <f t="shared" si="85"/>
        <v>1.8804000000000001E-2</v>
      </c>
      <c r="L133">
        <f>(0.2*0.8+0.2*0.8)*X25+0.2*0.2*AB25+(1-0.2*0.8-0.2*0.8-0.2*0.2)*T25</f>
        <v>1.7399999999999998E-3</v>
      </c>
      <c r="O133" s="20"/>
      <c r="P133" s="21"/>
      <c r="Q133" t="s">
        <v>37</v>
      </c>
      <c r="R133">
        <f t="shared" si="86"/>
        <v>1.7599999999999998E-3</v>
      </c>
      <c r="S133">
        <f t="shared" si="87"/>
        <v>1.7599999999999998E-3</v>
      </c>
      <c r="U133">
        <f t="shared" si="88"/>
        <v>1.8500000000000003E-2</v>
      </c>
      <c r="V133">
        <f t="shared" si="89"/>
        <v>1.9009000000000002E-2</v>
      </c>
      <c r="X133">
        <f>(0.3*0.7+0.3*0.7)*X25+0.3*0.3*AB25+(1-0.3*0.7-0.3*0.7-0.3*0.3)*T25</f>
        <v>1.7599999999999998E-3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1.7149999999999997E-3</v>
      </c>
      <c r="G140">
        <f t="shared" si="91"/>
        <v>1.7149999999999997E-3</v>
      </c>
      <c r="H140">
        <f t="shared" si="92"/>
        <v>5.769622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L140">
        <f>3*0.05*(1-0.05)*(1-0.05)*X25+3*0.05*0.05*(1-0.05)*AB25+0.05*0.05*0.05*AF25+(1-3*0.05*(1-0.05)*(1-0.05)-3*0.05*0.05*(1-0.05)-0.05*0.05*0.05)*T25</f>
        <v>1.7149999999999997E-3</v>
      </c>
      <c r="M140">
        <f>AI25+AE25+AA25+W25</f>
        <v>15.08267</v>
      </c>
      <c r="N140" s="24"/>
      <c r="O140" s="20"/>
      <c r="P140" s="21"/>
      <c r="Q140" t="s">
        <v>37</v>
      </c>
      <c r="R140">
        <f t="shared" si="96"/>
        <v>1.7299999999999998E-3</v>
      </c>
      <c r="S140">
        <f t="shared" si="97"/>
        <v>1.7299999999999998E-3</v>
      </c>
      <c r="U140">
        <f t="shared" si="98"/>
        <v>1.8200000000000001E-2</v>
      </c>
      <c r="V140">
        <f t="shared" si="99"/>
        <v>1.8702799999999999E-2</v>
      </c>
      <c r="X140">
        <f>3*0.1*(1-0.1)*(1-0.1)*X25+3*0.1*0.1*(1-0.1)*AB25+0.1*0.1*0.1*AF25+(1-3*0.1*(1-0.1)*(1-0.1)-3*0.1*0.1*(1-0.1)-0.1*0.1*0.1)*T25</f>
        <v>1.7299999999999998E-3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1.7599999999999998E-3</v>
      </c>
      <c r="G146">
        <f t="shared" si="101"/>
        <v>1.7599999999999998E-3</v>
      </c>
      <c r="I146">
        <f t="shared" si="102"/>
        <v>1.8499999999999996E-2</v>
      </c>
      <c r="J146">
        <f t="shared" si="103"/>
        <v>1.90104E-2</v>
      </c>
      <c r="L146">
        <f>3*0.2*(1-0.2)*(1-0.2)*X25+3*0.2*0.2*(1-0.2)*AB25+0.2*0.2*0.2*AF25+(1-3*0.2*(1-0.2)*(1-0.2)-3*0.2*0.2*(1-0.2)-0.2*0.2*0.2)*T25</f>
        <v>1.7599999999999998E-3</v>
      </c>
      <c r="N146" s="24"/>
      <c r="O146" s="20"/>
      <c r="P146" s="21"/>
      <c r="Q146" t="s">
        <v>37</v>
      </c>
      <c r="R146">
        <f t="shared" si="104"/>
        <v>1.7899999999999999E-3</v>
      </c>
      <c r="S146">
        <f t="shared" si="105"/>
        <v>1.7899999999999999E-3</v>
      </c>
      <c r="U146">
        <f t="shared" si="106"/>
        <v>1.8800000000000001E-2</v>
      </c>
      <c r="V146">
        <f t="shared" si="107"/>
        <v>1.9321600000000001E-2</v>
      </c>
      <c r="X146">
        <f>3*0.3*(1-0.3)*(1-0.3)*X25+3*0.3*0.3*(1-0.3)*AB25+0.3*0.3*0.3*AF25+(1-3*0.3*(1-0.3)*(1-0.3)-3*0.3*0.3*(1-0.3)-0.3*0.3*0.3)*T25</f>
        <v>1.7899999999999999E-3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1.405E-3</v>
      </c>
      <c r="G153">
        <f t="shared" si="109"/>
        <v>1.5100000000000001E-3</v>
      </c>
      <c r="H153">
        <f t="shared" si="110"/>
        <v>2.491012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L153">
        <f>0.05*F46+(1-0.05)*B46</f>
        <v>1.505E-3</v>
      </c>
      <c r="M153">
        <f>I46+E46</f>
        <v>7.1999370000000003</v>
      </c>
      <c r="P153" s="21"/>
      <c r="Q153" t="s">
        <v>37</v>
      </c>
      <c r="R153">
        <f t="shared" si="114"/>
        <v>1.41E-3</v>
      </c>
      <c r="S153">
        <f t="shared" si="115"/>
        <v>1.5200000000000001E-3</v>
      </c>
      <c r="U153">
        <f t="shared" si="116"/>
        <v>1.311E-2</v>
      </c>
      <c r="V153">
        <f t="shared" si="117"/>
        <v>1.6389999999999998E-2</v>
      </c>
      <c r="X153">
        <f>0.1*F46+(1-0.1)*B46</f>
        <v>1.5100000000000001E-3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1.4200000000000003E-3</v>
      </c>
      <c r="G159">
        <f t="shared" si="119"/>
        <v>1.5400000000000001E-3</v>
      </c>
      <c r="I159">
        <f t="shared" si="120"/>
        <v>1.3219999999999999E-2</v>
      </c>
      <c r="J159">
        <f t="shared" si="121"/>
        <v>1.6480000000000002E-2</v>
      </c>
      <c r="L159">
        <f>0.2*F46+(1-0.2)*B46</f>
        <v>1.5200000000000001E-3</v>
      </c>
      <c r="P159" s="21"/>
      <c r="Q159" t="s">
        <v>37</v>
      </c>
      <c r="R159">
        <f t="shared" si="122"/>
        <v>1.4299999999999998E-3</v>
      </c>
      <c r="S159">
        <f t="shared" si="123"/>
        <v>1.5599999999999998E-3</v>
      </c>
      <c r="U159">
        <f t="shared" si="124"/>
        <v>1.3329999999999998E-2</v>
      </c>
      <c r="V159">
        <f t="shared" si="125"/>
        <v>1.6569999999999998E-2</v>
      </c>
      <c r="X159">
        <f>0.3*F46+(1-0.3)*B46</f>
        <v>1.5299999999999999E-3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1.41E-3</v>
      </c>
      <c r="G166">
        <f t="shared" si="127"/>
        <v>1.5197500000000001E-3</v>
      </c>
      <c r="H166">
        <f t="shared" si="128"/>
        <v>3.730931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L166">
        <f>(0.05*(1-0.05)+0.05*(1-0.05))*F46+0.05*0.05*J46+(1-0.05*(1-0.05)-0.05*(1-0.05)-0.05*0.05)*B46</f>
        <v>1.5100000000000001E-3</v>
      </c>
      <c r="M166">
        <f>M46+I46+E46</f>
        <v>10.741637000000001</v>
      </c>
      <c r="O166" s="20"/>
      <c r="P166" s="21"/>
      <c r="Q166" t="s">
        <v>37</v>
      </c>
      <c r="R166">
        <f t="shared" si="132"/>
        <v>1.42E-3</v>
      </c>
      <c r="S166">
        <f t="shared" si="133"/>
        <v>1.5390000000000002E-3</v>
      </c>
      <c r="U166">
        <f t="shared" si="134"/>
        <v>1.3216E-2</v>
      </c>
      <c r="V166">
        <f t="shared" si="135"/>
        <v>1.6483999999999999E-2</v>
      </c>
      <c r="X166">
        <f>(0.1*0.9+0.1*0.9)*F46+0.1*0.1*J46+(1-0.1*0.9-0.1*0.9-0.1*0.1)*B46</f>
        <v>1.5200000000000001E-3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1.4399999999999999E-3</v>
      </c>
      <c r="G172">
        <f t="shared" si="137"/>
        <v>1.5760000000000001E-3</v>
      </c>
      <c r="I172">
        <f t="shared" si="138"/>
        <v>1.3423999999999998E-2</v>
      </c>
      <c r="J172">
        <f t="shared" si="139"/>
        <v>1.6675999999999996E-2</v>
      </c>
      <c r="L172">
        <f>(0.2*0.8+0.2*0.8)*F46+0.2*0.2*J46+(1-0.2*0.8-0.2*0.8-0.2*0.2)*B46</f>
        <v>1.5400000000000001E-3</v>
      </c>
      <c r="O172" s="20"/>
      <c r="P172" s="21"/>
      <c r="Q172" t="s">
        <v>37</v>
      </c>
      <c r="R172">
        <f t="shared" si="140"/>
        <v>1.4600000000000001E-3</v>
      </c>
      <c r="S172">
        <f t="shared" si="141"/>
        <v>1.611E-3</v>
      </c>
      <c r="U172">
        <f t="shared" si="142"/>
        <v>1.3624000000000001E-2</v>
      </c>
      <c r="V172">
        <f t="shared" si="143"/>
        <v>1.6876000000000002E-2</v>
      </c>
      <c r="X172">
        <f>(0.3*0.7+0.3*0.7)*F46+0.3*0.3*J46+(1-0.3*0.7-0.3*0.7-0.3*0.3)*B46</f>
        <v>1.5600000000000002E-3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1.415E-3</v>
      </c>
      <c r="G179">
        <f t="shared" si="145"/>
        <v>1.5292624999999999E-3</v>
      </c>
      <c r="H179">
        <f t="shared" si="146"/>
        <v>4.9672190000000001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L179">
        <f>3*0.05*(1-0.05)*(1-0.05)*F46+3*0.05*0.05*(1-0.05)*J46+0.05*0.05*0.05*N46+(1-3*0.05*(1-0.05)*(1-0.05)-3*0.05*0.05*(1-0.05)-0.05*0.05*0.05)*B46</f>
        <v>1.5149999999999999E-3</v>
      </c>
      <c r="M179">
        <f>Q46+M46+I46+E46</f>
        <v>14.304872</v>
      </c>
      <c r="N179" s="24"/>
      <c r="O179" s="20"/>
      <c r="P179" s="21"/>
      <c r="Q179" t="s">
        <v>37</v>
      </c>
      <c r="R179">
        <f t="shared" si="150"/>
        <v>1.4299999999999998E-3</v>
      </c>
      <c r="S179">
        <f t="shared" si="151"/>
        <v>1.5571000000000001E-3</v>
      </c>
      <c r="U179">
        <f t="shared" si="152"/>
        <v>1.3318299999999998E-2</v>
      </c>
      <c r="V179">
        <f t="shared" si="153"/>
        <v>1.6580799999999996E-2</v>
      </c>
      <c r="X179">
        <f>3*0.1*(1-0.1)*(1-0.1)*F46+3*0.1*0.1*(1-0.1)*J46+0.1*0.1*0.1*N46+(1-3*0.1*(1-0.1)*(1-0.1)-3*0.1*0.1*(1-0.1)-0.1*0.1*0.1)*B46</f>
        <v>1.5300000000000001E-3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1.4599999999999999E-3</v>
      </c>
      <c r="G185">
        <f t="shared" si="155"/>
        <v>1.6088000000000001E-3</v>
      </c>
      <c r="I185">
        <f t="shared" si="156"/>
        <v>1.3614399999999999E-2</v>
      </c>
      <c r="J185">
        <f t="shared" si="157"/>
        <v>1.6878399999999998E-2</v>
      </c>
      <c r="L185">
        <f>3*0.2*(1-0.2)*(1-0.2)*F46+3*0.2*0.2*(1-0.2)*J46+0.2*0.2*0.2*N46+(1-3*0.2*(1-0.2)*(1-0.2)-3*0.2*0.2*(1-0.2)-0.2*0.2*0.2)*B46</f>
        <v>1.56E-3</v>
      </c>
      <c r="N185" s="24"/>
      <c r="O185" s="20"/>
      <c r="P185" s="21"/>
      <c r="Q185" t="s">
        <v>37</v>
      </c>
      <c r="R185">
        <f t="shared" si="158"/>
        <v>1.4900000000000002E-3</v>
      </c>
      <c r="S185">
        <f t="shared" si="159"/>
        <v>1.6557E-3</v>
      </c>
      <c r="U185">
        <f t="shared" si="160"/>
        <v>1.3890099999999999E-2</v>
      </c>
      <c r="V185">
        <f t="shared" si="161"/>
        <v>1.7185600000000002E-2</v>
      </c>
      <c r="X185">
        <f>3*0.3*(1-0.3)*(1-0.3)*F46+3*0.3*0.3*(1-0.3)*J46+0.3*0.3*0.3*N46+(1-3*0.3*(1-0.3)*(1-0.3)-3*0.3*0.3*(1-0.3)-0.3*0.3*0.3)*B46</f>
        <v>1.5900000000000003E-3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8.0500000000000005E-4</v>
      </c>
      <c r="G192">
        <f t="shared" si="163"/>
        <v>1.305E-3</v>
      </c>
      <c r="H192">
        <f t="shared" si="164"/>
        <v>2.944744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L192">
        <f>0.05*X46+(1-0.05)*T46</f>
        <v>1.1999999999999999E-3</v>
      </c>
      <c r="M192">
        <f>AA46+W46</f>
        <v>7.7939939999999996</v>
      </c>
      <c r="P192" s="21"/>
      <c r="Q192" t="s">
        <v>37</v>
      </c>
      <c r="R192">
        <f t="shared" si="168"/>
        <v>8.1000000000000006E-4</v>
      </c>
      <c r="S192">
        <f t="shared" si="169"/>
        <v>1.31E-3</v>
      </c>
      <c r="U192">
        <f t="shared" si="170"/>
        <v>7.5899999999999995E-3</v>
      </c>
      <c r="V192">
        <f t="shared" si="171"/>
        <v>1.3270000000000001E-2</v>
      </c>
      <c r="X192">
        <f>0.1*X46+(1-0.1)*T46</f>
        <v>1.2000000000000001E-3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8.2000000000000009E-4</v>
      </c>
      <c r="G198">
        <f t="shared" si="173"/>
        <v>1.32E-3</v>
      </c>
      <c r="I198">
        <f t="shared" si="174"/>
        <v>7.6800000000000002E-3</v>
      </c>
      <c r="J198">
        <f t="shared" si="175"/>
        <v>1.3339999999999999E-2</v>
      </c>
      <c r="L198">
        <f>0.2*X46+(1-0.2)*T46</f>
        <v>1.1999999999999999E-3</v>
      </c>
      <c r="P198" s="21"/>
      <c r="Q198" t="s">
        <v>37</v>
      </c>
      <c r="R198">
        <f t="shared" si="176"/>
        <v>8.3000000000000001E-4</v>
      </c>
      <c r="S198">
        <f t="shared" si="177"/>
        <v>1.3299999999999998E-3</v>
      </c>
      <c r="U198">
        <f t="shared" si="178"/>
        <v>7.7699999999999991E-3</v>
      </c>
      <c r="V198">
        <f t="shared" si="179"/>
        <v>1.3409999999999998E-2</v>
      </c>
      <c r="X198">
        <f>0.3*X46+(1-0.3)*T46</f>
        <v>1.1999999999999999E-3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8.0975000000000014E-4</v>
      </c>
      <c r="G205">
        <f t="shared" si="181"/>
        <v>1.31E-3</v>
      </c>
      <c r="H205">
        <f t="shared" si="182"/>
        <v>4.4626660000000005</v>
      </c>
      <c r="I205">
        <f t="shared" si="183"/>
        <v>7.58875E-3</v>
      </c>
      <c r="J205">
        <f t="shared" si="184"/>
        <v>1.3270250000000001E-2</v>
      </c>
      <c r="K205">
        <f>AE41+AA41+W41</f>
        <v>1973.9607150000002</v>
      </c>
      <c r="L205">
        <f>(0.05*(1-0.05)+0.05*(1-0.05))*X46+0.05*0.05*AB46+(1-0.05*(1-0.05)-0.05*(1-0.05)-0.05*0.05)*T46</f>
        <v>1.2002499999999999E-3</v>
      </c>
      <c r="M205">
        <f>AE46+AA46+W46</f>
        <v>11.810155999999999</v>
      </c>
      <c r="O205" s="20"/>
      <c r="P205" s="21"/>
      <c r="Q205" t="s">
        <v>37</v>
      </c>
      <c r="R205">
        <f t="shared" si="185"/>
        <v>8.1900000000000007E-4</v>
      </c>
      <c r="S205">
        <f t="shared" si="186"/>
        <v>1.3200000000000002E-3</v>
      </c>
      <c r="U205">
        <f t="shared" si="187"/>
        <v>7.6750000000000004E-3</v>
      </c>
      <c r="V205">
        <f t="shared" si="188"/>
        <v>1.3341E-2</v>
      </c>
      <c r="X205">
        <f>(0.1*0.9+0.1*0.9)*X46+0.1*0.1*AB46+(1-0.1*0.9-0.1*0.9-0.1*0.1)*T46</f>
        <v>1.201E-3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8.3600000000000005E-4</v>
      </c>
      <c r="G211">
        <f t="shared" si="190"/>
        <v>1.34E-3</v>
      </c>
      <c r="I211">
        <f t="shared" si="191"/>
        <v>7.8399999999999997E-3</v>
      </c>
      <c r="J211">
        <f t="shared" si="192"/>
        <v>1.3483999999999999E-2</v>
      </c>
      <c r="L211">
        <f>(0.2*0.8+0.2*0.8)*X46+0.2*0.2*AB46+(1-0.2*0.8-0.2*0.8-0.2*0.2)*T46</f>
        <v>1.2039999999999998E-3</v>
      </c>
      <c r="O211" s="20"/>
      <c r="P211" s="21"/>
      <c r="Q211" t="s">
        <v>37</v>
      </c>
      <c r="R211">
        <f t="shared" si="193"/>
        <v>8.5100000000000009E-4</v>
      </c>
      <c r="S211">
        <f t="shared" si="194"/>
        <v>1.3600000000000001E-3</v>
      </c>
      <c r="U211">
        <f t="shared" si="195"/>
        <v>7.9950000000000004E-3</v>
      </c>
      <c r="V211">
        <f t="shared" si="196"/>
        <v>1.3629E-2</v>
      </c>
      <c r="X211">
        <f>(0.3*0.7+0.3*0.7)*X46+0.3*0.3*AB46+(1-0.3*0.7-0.3*0.7-0.3*0.3)*T46</f>
        <v>1.209E-3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8.1427499999999994E-4</v>
      </c>
      <c r="G218">
        <f t="shared" si="198"/>
        <v>1.3149999999999998E-3</v>
      </c>
      <c r="H218">
        <f t="shared" si="199"/>
        <v>6.2035800000000005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L218">
        <f>3*0.05*(1-0.05)*(1-0.05)*X46+3*0.05*0.05*(1-0.05)*AB46+0.05*0.05*0.05*AF46+(1-3*0.05*(1-0.05)*(1-0.05)-3*0.05*0.05*(1-0.05)-0.05*0.05*0.05)*T46</f>
        <v>1.2007374999999996E-3</v>
      </c>
      <c r="M218">
        <f>AI46+AE46+AA46+W46</f>
        <v>15.469239999999999</v>
      </c>
      <c r="N218" s="24"/>
      <c r="O218" s="20"/>
      <c r="P218" s="21"/>
      <c r="Q218" t="s">
        <v>37</v>
      </c>
      <c r="R218">
        <f t="shared" si="203"/>
        <v>8.2720000000000005E-4</v>
      </c>
      <c r="S218">
        <f t="shared" si="204"/>
        <v>1.3299999999999998E-3</v>
      </c>
      <c r="U218">
        <f t="shared" si="205"/>
        <v>7.7554999999999985E-3</v>
      </c>
      <c r="V218">
        <f t="shared" si="206"/>
        <v>1.3413E-2</v>
      </c>
      <c r="X218">
        <f>3*0.1*(1-0.1)*(1-0.1)*X46+3*0.1*0.1*(1-0.1)*AB46+0.1*0.1*0.1*AF46+(1-3*0.1*(1-0.1)*(1-0.1)-3*0.1*0.1*(1-0.1)-0.1*0.1*0.1)*T46</f>
        <v>1.2028999999999998E-3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8.4960000000000005E-4</v>
      </c>
      <c r="G224">
        <f t="shared" si="208"/>
        <v>1.3599999999999999E-3</v>
      </c>
      <c r="I224">
        <f t="shared" si="209"/>
        <v>7.9839999999999998E-3</v>
      </c>
      <c r="J224">
        <f t="shared" si="210"/>
        <v>1.3631999999999998E-2</v>
      </c>
      <c r="L224">
        <f>3*0.2*(1-0.2)*(1-0.2)*X46+3*0.2*0.2*(1-0.2)*AB46+0.2*0.2*0.2*AF46+(1-3*0.2*(1-0.2)*(1-0.2)-3*0.2*0.2*(1-0.2)-0.2*0.2*0.2)*T46</f>
        <v>1.2112E-3</v>
      </c>
      <c r="N224" s="24"/>
      <c r="O224" s="20"/>
      <c r="P224" s="21"/>
      <c r="Q224" t="s">
        <v>37</v>
      </c>
      <c r="R224">
        <f t="shared" si="211"/>
        <v>8.6839999999999997E-4</v>
      </c>
      <c r="S224">
        <f t="shared" si="212"/>
        <v>1.39E-3</v>
      </c>
      <c r="U224">
        <f t="shared" si="213"/>
        <v>8.1884999999999996E-3</v>
      </c>
      <c r="V224">
        <f t="shared" si="214"/>
        <v>1.3857000000000001E-2</v>
      </c>
      <c r="X224">
        <f>3*0.3*(1-0.3)*(1-0.3)*X46+3*0.3*0.3*(1-0.3)*AB46+0.3*0.3*0.3*AF46+(1-3*0.3*(1-0.3)*(1-0.3)-3*0.3*0.3*(1-0.3)-0.3*0.3*0.3)*T46</f>
        <v>1.2243E-3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3.5015000000000003E-4</v>
      </c>
      <c r="G231">
        <f t="shared" si="216"/>
        <v>8.1196999999999997E-4</v>
      </c>
      <c r="H231">
        <f t="shared" si="217"/>
        <v>2.632085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L231">
        <f>0.05*G66+(1-0.05)*B66</f>
        <v>5.7571999999999994E-4</v>
      </c>
      <c r="M231">
        <f>I66+E66</f>
        <v>7.4782530000000005</v>
      </c>
      <c r="P231" s="21"/>
      <c r="Q231" t="s">
        <v>37</v>
      </c>
      <c r="R231">
        <f t="shared" si="221"/>
        <v>3.5160000000000004E-4</v>
      </c>
      <c r="S231">
        <f t="shared" si="222"/>
        <v>8.1523999999999995E-4</v>
      </c>
      <c r="U231">
        <f t="shared" si="223"/>
        <v>3.6800000000000001E-3</v>
      </c>
      <c r="V231">
        <f t="shared" si="224"/>
        <v>8.1900000000000011E-3</v>
      </c>
      <c r="X231">
        <f>0.1*G66+(1-0.1)*B66</f>
        <v>5.7874000000000001E-4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3.5450000000000005E-4</v>
      </c>
      <c r="G237">
        <f t="shared" si="226"/>
        <v>8.2178000000000004E-4</v>
      </c>
      <c r="I237">
        <f t="shared" si="227"/>
        <v>3.7600000000000003E-3</v>
      </c>
      <c r="J237">
        <f t="shared" si="228"/>
        <v>8.1799999999999998E-3</v>
      </c>
      <c r="L237">
        <f>0.2*G66+(1-0.2)*B66</f>
        <v>5.8478000000000002E-4</v>
      </c>
      <c r="P237" s="21"/>
      <c r="Q237" t="s">
        <v>37</v>
      </c>
      <c r="R237">
        <f t="shared" si="229"/>
        <v>3.5740000000000001E-4</v>
      </c>
      <c r="S237">
        <f t="shared" si="230"/>
        <v>8.2832000000000001E-4</v>
      </c>
      <c r="U237">
        <f t="shared" si="231"/>
        <v>3.8399999999999997E-3</v>
      </c>
      <c r="V237">
        <f t="shared" si="232"/>
        <v>8.1700000000000002E-3</v>
      </c>
      <c r="X237">
        <f>0.3*G66+(1-0.3)*B66</f>
        <v>5.9082000000000004E-4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3.5159775000000008E-4</v>
      </c>
      <c r="G244">
        <f t="shared" si="234"/>
        <v>8.1523500000000009E-4</v>
      </c>
      <c r="H244">
        <f t="shared" si="235"/>
        <v>3.9041930000000002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20"/>
      <c r="P244" s="21"/>
      <c r="Q244" t="s">
        <v>37</v>
      </c>
      <c r="R244">
        <f t="shared" si="239"/>
        <v>3.5449100000000002E-4</v>
      </c>
      <c r="S244">
        <f t="shared" si="240"/>
        <v>8.2176000000000016E-4</v>
      </c>
      <c r="U244">
        <f t="shared" si="241"/>
        <v>3.7550000000000005E-3</v>
      </c>
      <c r="V244">
        <f t="shared" si="242"/>
        <v>8.177000000000002E-3</v>
      </c>
      <c r="X244">
        <f>(0.1*0.9+0.1*0.9)*G66+0.1*0.1*J66+(1-0.1*0.9-0.1*0.9-0.1*0.1)*B66</f>
        <v>5.8447600000000001E-4</v>
      </c>
    </row>
    <row r="245" spans="1:25" x14ac:dyDescent="0.25">
      <c r="B245" s="22"/>
      <c r="C245" s="4"/>
      <c r="L245">
        <f>(0.05*(1-0.05)+0.05*(1-0.05))*G66+0.05*0.05*J66+(1-0.05*(1-0.05)-0.05*(1-0.05)-0.05*0.05)*B66</f>
        <v>5.78664E-4</v>
      </c>
      <c r="M245">
        <f>M66+I66+E66</f>
        <v>11.011274</v>
      </c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3.6026400000000001E-4</v>
      </c>
      <c r="G250">
        <f t="shared" si="244"/>
        <v>8.3478000000000003E-4</v>
      </c>
      <c r="I250">
        <f t="shared" si="245"/>
        <v>3.8999999999999998E-3</v>
      </c>
      <c r="J250">
        <f t="shared" si="246"/>
        <v>8.1480000000000007E-3</v>
      </c>
      <c r="O250" s="20"/>
      <c r="P250" s="21"/>
      <c r="Q250" t="s">
        <v>37</v>
      </c>
      <c r="R250">
        <f t="shared" si="247"/>
        <v>3.6601900000000003E-4</v>
      </c>
      <c r="S250">
        <f t="shared" si="248"/>
        <v>8.4776000000000003E-4</v>
      </c>
      <c r="U250">
        <f t="shared" si="249"/>
        <v>4.0350000000000004E-3</v>
      </c>
      <c r="V250">
        <f t="shared" si="250"/>
        <v>8.1130000000000022E-3</v>
      </c>
      <c r="X250">
        <f>(0.3*0.7+0.3*0.7)*G66+0.3*0.3*J66+(1-0.3*0.7-0.3*0.7-0.3*0.3)*B66</f>
        <v>6.0620399999999994E-4</v>
      </c>
    </row>
    <row r="251" spans="1:25" x14ac:dyDescent="0.25">
      <c r="L251">
        <f>(0.2*0.8+0.2*0.8)*G66+0.2*0.2*J66+(1-0.2*0.8-0.2*0.8-0.2*0.2)*B66</f>
        <v>5.9564399999999999E-4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3.5304323749999996E-4</v>
      </c>
      <c r="G257">
        <f t="shared" si="252"/>
        <v>8.1849501249999987E-4</v>
      </c>
      <c r="H257">
        <f t="shared" si="253"/>
        <v>5.0954319999999997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L257">
        <f>3*0.05*(1-0.05)*(1-0.05)*G66+3*0.05*0.05*(1-0.05)*J66+0.05*0.05*0.05*N66+(1-3*0.05*(1-0.05)*(1-0.05)-3*0.05*0.05*(1-0.05)-0.05*0.05*0.05)*B66</f>
        <v>5.8153793749999997E-4</v>
      </c>
      <c r="M257">
        <f>Q66+M66+I66+E66</f>
        <v>15.138180999999999</v>
      </c>
      <c r="N257" s="24"/>
      <c r="O257" s="20"/>
      <c r="P257" s="21"/>
      <c r="Q257" t="s">
        <v>37</v>
      </c>
      <c r="R257">
        <f t="shared" si="257"/>
        <v>3.5737289999999999E-4</v>
      </c>
      <c r="S257">
        <f t="shared" si="258"/>
        <v>8.2826009999999997E-4</v>
      </c>
      <c r="U257">
        <f t="shared" si="259"/>
        <v>3.8254999999999999E-3</v>
      </c>
      <c r="V257">
        <f t="shared" si="260"/>
        <v>8.1623000000000008E-3</v>
      </c>
      <c r="X257">
        <f>3*0.1*(1-0.1)*(1-0.1)*G66+3*0.1*0.1*(1-0.1)*J66+0.1*0.1*0.1*N66+(1-3*0.1*(1-0.1)*(1-0.1)-3*0.1*0.1*(1-0.1)-0.1*0.1*0.1)*B66</f>
        <v>5.8995550000000003E-4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3.6599120000000004E-4</v>
      </c>
      <c r="G263">
        <f t="shared" si="262"/>
        <v>8.4770080000000001E-4</v>
      </c>
      <c r="I263">
        <f t="shared" si="263"/>
        <v>4.0239999999999998E-3</v>
      </c>
      <c r="J263">
        <f t="shared" si="264"/>
        <v>8.1144000000000008E-3</v>
      </c>
      <c r="L263">
        <f>3*0.2*(1-0.2)*(1-0.2)*G66+3*0.2*0.2*(1-0.2)*J66+0.2*0.2*0.2*N66+(1-3*0.2*(1-0.2)*(1-0.2)-3*0.2*0.2*(1-0.2)-0.2*0.2*0.2)*B66</f>
        <v>6.0567200000000002E-4</v>
      </c>
      <c r="N263" s="24"/>
      <c r="O263" s="20"/>
      <c r="P263" s="21"/>
      <c r="Q263" t="s">
        <v>37</v>
      </c>
      <c r="R263">
        <f t="shared" si="265"/>
        <v>3.7455430000000003E-4</v>
      </c>
      <c r="S263">
        <f t="shared" si="266"/>
        <v>8.6702270000000008E-4</v>
      </c>
      <c r="U263">
        <f t="shared" si="267"/>
        <v>4.1985000000000008E-3</v>
      </c>
      <c r="V263">
        <f t="shared" si="268"/>
        <v>8.0641000000000011E-3</v>
      </c>
      <c r="X263">
        <f>3*0.3*(1-0.3)*(1-0.3)*G66+3*0.3*0.3*(1-0.3)*J66+0.3*0.3*0.3*N66+(1-3*0.3*(1-0.3)*(1-0.3)-3*0.3*0.3*(1-0.3)-0.3*0.3*0.3)*B66</f>
        <v>6.201345E-4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1" width="12.886718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92</v>
      </c>
      <c r="C9" s="16"/>
      <c r="D9" s="16"/>
      <c r="E9" s="16"/>
      <c r="F9" s="16" t="s">
        <v>93</v>
      </c>
      <c r="G9" s="16"/>
      <c r="H9" s="16"/>
      <c r="I9" s="16"/>
      <c r="J9" s="16" t="s">
        <v>94</v>
      </c>
      <c r="K9" s="16"/>
      <c r="L9" s="16"/>
      <c r="M9" s="16"/>
      <c r="N9" s="16" t="s">
        <v>95</v>
      </c>
      <c r="O9" s="16"/>
      <c r="P9" s="16"/>
      <c r="Q9" s="16"/>
      <c r="S9" s="22" t="s">
        <v>12</v>
      </c>
      <c r="T9" s="16" t="s">
        <v>92</v>
      </c>
      <c r="U9" s="16"/>
      <c r="V9" s="16"/>
      <c r="W9" s="16"/>
      <c r="X9" s="16" t="s">
        <v>93</v>
      </c>
      <c r="Y9" s="16"/>
      <c r="Z9" s="16"/>
      <c r="AA9" s="16"/>
      <c r="AB9" s="16" t="s">
        <v>94</v>
      </c>
      <c r="AC9" s="16"/>
      <c r="AD9" s="16"/>
      <c r="AE9" s="16"/>
      <c r="AF9" s="16" t="s">
        <v>95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1.6000000000000001E-3</v>
      </c>
      <c r="D13" s="10">
        <v>1.6000000000000001E-3</v>
      </c>
      <c r="E13" s="10">
        <v>1.0787629999999999</v>
      </c>
      <c r="F13" t="s">
        <v>22</v>
      </c>
      <c r="G13" s="10">
        <v>1.6999999999999999E-3</v>
      </c>
      <c r="H13" s="10">
        <v>1.6999999999999999E-3</v>
      </c>
      <c r="I13" s="10">
        <v>1.149243</v>
      </c>
      <c r="J13" t="s">
        <v>22</v>
      </c>
      <c r="K13" s="10">
        <v>1.9E-3</v>
      </c>
      <c r="L13" s="10">
        <v>1.9E-3</v>
      </c>
      <c r="M13" s="10">
        <v>1.2076290000000001</v>
      </c>
      <c r="N13" t="s">
        <v>22</v>
      </c>
      <c r="O13" s="10">
        <v>2E-3</v>
      </c>
      <c r="P13" s="10">
        <v>2E-3</v>
      </c>
      <c r="Q13" s="10">
        <v>1.200172</v>
      </c>
      <c r="S13" s="22"/>
      <c r="T13" t="s">
        <v>22</v>
      </c>
      <c r="U13">
        <v>1.6000000000000001E-3</v>
      </c>
      <c r="V13">
        <v>1.6000000000000001E-3</v>
      </c>
      <c r="W13">
        <v>1.385893</v>
      </c>
      <c r="X13" t="s">
        <v>22</v>
      </c>
      <c r="Y13">
        <v>1.6999999999999999E-3</v>
      </c>
      <c r="Z13">
        <v>1.6999999999999999E-3</v>
      </c>
      <c r="AA13">
        <v>1.3943190000000001</v>
      </c>
      <c r="AB13" t="s">
        <v>22</v>
      </c>
      <c r="AC13">
        <v>1.8E-3</v>
      </c>
      <c r="AD13">
        <v>1.8E-3</v>
      </c>
      <c r="AE13">
        <v>1.0885279999999999</v>
      </c>
      <c r="AF13" t="s">
        <v>22</v>
      </c>
      <c r="AG13">
        <v>1.9E-3</v>
      </c>
      <c r="AH13">
        <v>1.9E-3</v>
      </c>
      <c r="AI13">
        <v>1.306708</v>
      </c>
    </row>
    <row r="16" spans="1:35" x14ac:dyDescent="0.25">
      <c r="A16" s="18" t="s">
        <v>23</v>
      </c>
      <c r="B16" s="16" t="s">
        <v>92</v>
      </c>
      <c r="C16" s="16"/>
      <c r="D16" s="16"/>
      <c r="E16" s="16"/>
      <c r="F16" s="16" t="s">
        <v>93</v>
      </c>
      <c r="G16" s="16"/>
      <c r="H16" s="16"/>
      <c r="I16" s="16"/>
      <c r="J16" s="16" t="s">
        <v>94</v>
      </c>
      <c r="K16" s="16"/>
      <c r="L16" s="16"/>
      <c r="M16" s="16"/>
      <c r="N16" s="16" t="s">
        <v>95</v>
      </c>
      <c r="O16" s="16"/>
      <c r="P16" s="16"/>
      <c r="Q16" s="16"/>
      <c r="S16" s="18" t="s">
        <v>23</v>
      </c>
      <c r="T16" s="16" t="s">
        <v>92</v>
      </c>
      <c r="U16" s="16"/>
      <c r="V16" s="16"/>
      <c r="W16" s="16"/>
      <c r="X16" s="16" t="s">
        <v>93</v>
      </c>
      <c r="Y16" s="16"/>
      <c r="Z16" s="16"/>
      <c r="AA16" s="16"/>
      <c r="AB16" s="16" t="s">
        <v>94</v>
      </c>
      <c r="AC16" s="16"/>
      <c r="AD16" s="16"/>
      <c r="AE16" s="16"/>
      <c r="AF16" s="16" t="s">
        <v>95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1.6000000000000001E-3</v>
      </c>
      <c r="D20">
        <v>1.6000000000000001E-3</v>
      </c>
      <c r="E20">
        <v>13.905835</v>
      </c>
      <c r="F20" t="s">
        <v>22</v>
      </c>
      <c r="G20">
        <v>1.6999999999999999E-3</v>
      </c>
      <c r="H20">
        <v>1.6999999999999999E-3</v>
      </c>
      <c r="I20">
        <v>13.682167</v>
      </c>
      <c r="J20" t="s">
        <v>22</v>
      </c>
      <c r="K20">
        <v>1.9E-3</v>
      </c>
      <c r="L20">
        <v>1.9E-3</v>
      </c>
      <c r="M20">
        <v>13.328226000000001</v>
      </c>
      <c r="N20" t="s">
        <v>22</v>
      </c>
      <c r="O20">
        <v>2E-3</v>
      </c>
      <c r="P20">
        <v>2E-3</v>
      </c>
      <c r="Q20">
        <v>12.984189000000001</v>
      </c>
      <c r="S20" s="18"/>
      <c r="T20" t="s">
        <v>22</v>
      </c>
      <c r="U20">
        <v>1.6000000000000001E-3</v>
      </c>
      <c r="V20">
        <v>1.6000000000000001E-3</v>
      </c>
      <c r="W20">
        <v>436.51269400000001</v>
      </c>
      <c r="X20" t="s">
        <v>22</v>
      </c>
      <c r="Y20">
        <v>1.6999999999999999E-3</v>
      </c>
      <c r="Z20">
        <v>1.6999999999999999E-3</v>
      </c>
      <c r="AA20">
        <v>448.48409700000002</v>
      </c>
      <c r="AB20" t="s">
        <v>22</v>
      </c>
      <c r="AC20">
        <v>1.8E-3</v>
      </c>
      <c r="AD20">
        <v>1.8E-3</v>
      </c>
      <c r="AE20">
        <v>389.52017699999999</v>
      </c>
      <c r="AF20" t="s">
        <v>22</v>
      </c>
      <c r="AG20">
        <v>1.9E-3</v>
      </c>
      <c r="AH20">
        <v>1.9E-3</v>
      </c>
      <c r="AI20">
        <v>472.16838000000001</v>
      </c>
    </row>
    <row r="23" spans="1:35" x14ac:dyDescent="0.25">
      <c r="A23" s="23" t="s">
        <v>24</v>
      </c>
      <c r="B23" s="16" t="s">
        <v>92</v>
      </c>
      <c r="C23" s="16"/>
      <c r="D23" s="16"/>
      <c r="E23" s="16"/>
      <c r="F23" s="16" t="s">
        <v>93</v>
      </c>
      <c r="G23" s="16"/>
      <c r="H23" s="16"/>
      <c r="I23" s="16"/>
      <c r="J23" s="16" t="s">
        <v>94</v>
      </c>
      <c r="K23" s="16"/>
      <c r="L23" s="16"/>
      <c r="M23" s="16"/>
      <c r="N23" s="16" t="s">
        <v>95</v>
      </c>
      <c r="O23" s="16"/>
      <c r="P23" s="16"/>
      <c r="Q23" s="16"/>
      <c r="S23" s="23" t="s">
        <v>24</v>
      </c>
      <c r="T23" s="16" t="s">
        <v>92</v>
      </c>
      <c r="U23" s="16"/>
      <c r="V23" s="16"/>
      <c r="W23" s="16"/>
      <c r="X23" s="16" t="s">
        <v>93</v>
      </c>
      <c r="Y23" s="16"/>
      <c r="Z23" s="16"/>
      <c r="AA23" s="16"/>
      <c r="AB23" s="16" t="s">
        <v>94</v>
      </c>
      <c r="AC23" s="16"/>
      <c r="AD23" s="16"/>
      <c r="AE23" s="16"/>
      <c r="AF23" s="16" t="s">
        <v>95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1.6000000000000001E-3</v>
      </c>
      <c r="C25" s="6"/>
      <c r="D25" s="6"/>
      <c r="E25">
        <v>3.8464879999999999</v>
      </c>
      <c r="F25" s="6">
        <v>1.6999999999999999E-3</v>
      </c>
      <c r="G25" s="6"/>
      <c r="H25" s="6"/>
      <c r="I25">
        <v>3.5667249999999999</v>
      </c>
      <c r="J25" s="6">
        <v>1.9E-3</v>
      </c>
      <c r="K25" s="6"/>
      <c r="L25" s="6"/>
      <c r="M25">
        <v>3.5609760000000001</v>
      </c>
      <c r="N25" s="6">
        <v>2E-3</v>
      </c>
      <c r="O25" s="6"/>
      <c r="P25" s="6"/>
      <c r="Q25">
        <v>3.7077830000000001</v>
      </c>
      <c r="S25" s="23"/>
      <c r="T25" s="6">
        <v>1.6000000000000001E-3</v>
      </c>
      <c r="U25" s="6"/>
      <c r="V25" s="6"/>
      <c r="W25">
        <v>3.61565</v>
      </c>
      <c r="X25" s="6">
        <v>1.6999999999999999E-3</v>
      </c>
      <c r="Y25" s="6"/>
      <c r="Z25" s="6"/>
      <c r="AA25">
        <v>3.610004</v>
      </c>
      <c r="AB25" s="6">
        <v>1.8E-3</v>
      </c>
      <c r="AC25" s="6"/>
      <c r="AD25" s="6"/>
      <c r="AE25">
        <v>3.499644</v>
      </c>
      <c r="AF25" s="6">
        <v>2E-3</v>
      </c>
      <c r="AG25" s="6"/>
      <c r="AH25" s="6"/>
      <c r="AI25">
        <v>3.5820889999999999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92</v>
      </c>
      <c r="C30" s="16"/>
      <c r="D30" s="16"/>
      <c r="E30" s="16"/>
      <c r="F30" s="16" t="s">
        <v>93</v>
      </c>
      <c r="G30" s="16"/>
      <c r="H30" s="16"/>
      <c r="I30" s="16"/>
      <c r="J30" s="16" t="s">
        <v>94</v>
      </c>
      <c r="K30" s="16"/>
      <c r="L30" s="16"/>
      <c r="M30" s="16"/>
      <c r="N30" s="16" t="s">
        <v>95</v>
      </c>
      <c r="O30" s="16"/>
      <c r="P30" s="16"/>
      <c r="Q30" s="16"/>
      <c r="S30" s="22" t="s">
        <v>12</v>
      </c>
      <c r="T30" s="16" t="s">
        <v>92</v>
      </c>
      <c r="U30" s="16"/>
      <c r="V30" s="16"/>
      <c r="W30" s="16"/>
      <c r="X30" s="16" t="s">
        <v>93</v>
      </c>
      <c r="Y30" s="16"/>
      <c r="Z30" s="16"/>
      <c r="AA30" s="16"/>
      <c r="AB30" s="16" t="s">
        <v>94</v>
      </c>
      <c r="AC30" s="16"/>
      <c r="AD30" s="16"/>
      <c r="AE30" s="16"/>
      <c r="AF30" s="16" t="s">
        <v>95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1.4E-3</v>
      </c>
      <c r="D34">
        <v>1.5E-3</v>
      </c>
      <c r="E34">
        <v>2.2354569999999998</v>
      </c>
      <c r="F34" t="s">
        <v>22</v>
      </c>
      <c r="G34">
        <v>1.5E-3</v>
      </c>
      <c r="H34">
        <v>1.6000000000000001E-3</v>
      </c>
      <c r="I34">
        <v>1.40988</v>
      </c>
      <c r="J34" t="s">
        <v>22</v>
      </c>
      <c r="K34" s="8">
        <v>1.6000000000000001E-3</v>
      </c>
      <c r="L34" s="11">
        <v>1.6999999999999999E-3</v>
      </c>
      <c r="M34">
        <v>1.1738649999999999</v>
      </c>
      <c r="N34" t="s">
        <v>22</v>
      </c>
      <c r="O34">
        <v>1.6999999999999999E-3</v>
      </c>
      <c r="P34">
        <v>1.8E-3</v>
      </c>
      <c r="Q34">
        <v>1.408506</v>
      </c>
      <c r="S34" s="22"/>
      <c r="T34" t="s">
        <v>22</v>
      </c>
      <c r="U34">
        <v>8.0000000000000004E-4</v>
      </c>
      <c r="V34">
        <v>1.1999999999999999E-3</v>
      </c>
      <c r="W34">
        <v>1.192868</v>
      </c>
      <c r="X34" t="s">
        <v>22</v>
      </c>
      <c r="Y34">
        <v>8.0000000000000004E-4</v>
      </c>
      <c r="Z34">
        <v>1.2999999999999999E-3</v>
      </c>
      <c r="AA34">
        <v>1.4274340000000001</v>
      </c>
      <c r="AB34" t="s">
        <v>22</v>
      </c>
      <c r="AC34">
        <v>8.9999999999999998E-4</v>
      </c>
      <c r="AD34">
        <v>1.4E-3</v>
      </c>
      <c r="AE34">
        <v>1.484815</v>
      </c>
      <c r="AF34" t="s">
        <v>22</v>
      </c>
      <c r="AG34">
        <v>1E-3</v>
      </c>
      <c r="AH34" s="11">
        <v>1.5E-3</v>
      </c>
      <c r="AI34">
        <v>1.424812</v>
      </c>
    </row>
    <row r="37" spans="1:35" x14ac:dyDescent="0.25">
      <c r="A37" s="18" t="s">
        <v>23</v>
      </c>
      <c r="B37" s="16" t="s">
        <v>92</v>
      </c>
      <c r="C37" s="16"/>
      <c r="D37" s="16"/>
      <c r="E37" s="16"/>
      <c r="F37" s="16" t="s">
        <v>93</v>
      </c>
      <c r="G37" s="16"/>
      <c r="H37" s="16"/>
      <c r="I37" s="16"/>
      <c r="J37" s="16" t="s">
        <v>94</v>
      </c>
      <c r="K37" s="16"/>
      <c r="L37" s="16"/>
      <c r="M37" s="16"/>
      <c r="N37" s="16" t="s">
        <v>95</v>
      </c>
      <c r="O37" s="16"/>
      <c r="P37" s="16"/>
      <c r="Q37" s="16"/>
      <c r="S37" s="18" t="s">
        <v>23</v>
      </c>
      <c r="T37" s="16" t="s">
        <v>92</v>
      </c>
      <c r="U37" s="16"/>
      <c r="V37" s="16"/>
      <c r="W37" s="16"/>
      <c r="X37" s="16" t="s">
        <v>93</v>
      </c>
      <c r="Y37" s="16"/>
      <c r="Z37" s="16"/>
      <c r="AA37" s="16"/>
      <c r="AB37" s="16" t="s">
        <v>94</v>
      </c>
      <c r="AC37" s="16"/>
      <c r="AD37" s="16"/>
      <c r="AE37" s="16"/>
      <c r="AF37" s="16" t="s">
        <v>95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1.4E-3</v>
      </c>
      <c r="D41">
        <v>1.5E-3</v>
      </c>
      <c r="E41">
        <v>493.37607600000001</v>
      </c>
      <c r="F41" t="s">
        <v>22</v>
      </c>
      <c r="G41">
        <v>1.5E-3</v>
      </c>
      <c r="H41">
        <v>1.8E-3</v>
      </c>
      <c r="I41">
        <v>548.45995600000003</v>
      </c>
      <c r="J41" t="s">
        <v>22</v>
      </c>
      <c r="K41" s="8">
        <v>1.6000000000000001E-3</v>
      </c>
      <c r="L41" s="11">
        <v>1.9E-3</v>
      </c>
      <c r="M41">
        <v>518.85311300000001</v>
      </c>
      <c r="N41" t="s">
        <v>22</v>
      </c>
      <c r="O41">
        <v>1.6999999999999999E-3</v>
      </c>
      <c r="P41">
        <v>1.8E-3</v>
      </c>
      <c r="Q41">
        <v>496.04310199999998</v>
      </c>
      <c r="S41" s="18"/>
      <c r="T41" t="s">
        <v>22</v>
      </c>
      <c r="U41">
        <v>8.0000000000000004E-4</v>
      </c>
      <c r="V41">
        <v>1.1999999999999999E-3</v>
      </c>
      <c r="W41">
        <v>505.25689199999999</v>
      </c>
      <c r="X41" t="s">
        <v>22</v>
      </c>
      <c r="Y41">
        <v>8.9999999999999998E-4</v>
      </c>
      <c r="Z41">
        <v>1.2999999999999999E-3</v>
      </c>
      <c r="AA41">
        <v>465.94261799999998</v>
      </c>
      <c r="AB41" t="s">
        <v>22</v>
      </c>
      <c r="AC41">
        <v>1E-3</v>
      </c>
      <c r="AD41">
        <v>1.4E-3</v>
      </c>
      <c r="AE41">
        <v>807.61655199999996</v>
      </c>
      <c r="AF41" t="s">
        <v>22</v>
      </c>
      <c r="AG41">
        <v>1E-3</v>
      </c>
      <c r="AH41" s="10">
        <v>1.6999999999999999E-3</v>
      </c>
      <c r="AI41">
        <v>656.76555800000006</v>
      </c>
    </row>
    <row r="44" spans="1:35" x14ac:dyDescent="0.25">
      <c r="A44" s="23" t="s">
        <v>24</v>
      </c>
      <c r="B44" s="16" t="s">
        <v>92</v>
      </c>
      <c r="C44" s="16"/>
      <c r="D44" s="16"/>
      <c r="E44" s="16"/>
      <c r="F44" s="16" t="s">
        <v>93</v>
      </c>
      <c r="G44" s="16"/>
      <c r="H44" s="16"/>
      <c r="I44" s="16"/>
      <c r="J44" s="16" t="s">
        <v>94</v>
      </c>
      <c r="K44" s="16"/>
      <c r="L44" s="16"/>
      <c r="M44" s="16"/>
      <c r="N44" s="16" t="s">
        <v>95</v>
      </c>
      <c r="O44" s="16"/>
      <c r="P44" s="16"/>
      <c r="Q44" s="16"/>
      <c r="S44" s="23" t="s">
        <v>24</v>
      </c>
      <c r="T44" s="16" t="s">
        <v>92</v>
      </c>
      <c r="U44" s="16"/>
      <c r="V44" s="16"/>
      <c r="W44" s="16"/>
      <c r="X44" s="16" t="s">
        <v>93</v>
      </c>
      <c r="Y44" s="16"/>
      <c r="Z44" s="16"/>
      <c r="AA44" s="16"/>
      <c r="AB44" s="16" t="s">
        <v>94</v>
      </c>
      <c r="AC44" s="16"/>
      <c r="AD44" s="16"/>
      <c r="AE44" s="16"/>
      <c r="AF44" s="16" t="s">
        <v>95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1.4E-3</v>
      </c>
      <c r="C46" s="6"/>
      <c r="D46" s="6"/>
      <c r="E46">
        <v>3.5935619999999999</v>
      </c>
      <c r="F46" s="6">
        <v>1.6000000000000001E-3</v>
      </c>
      <c r="G46" s="6"/>
      <c r="H46" s="6"/>
      <c r="I46">
        <v>4.1206649999999998</v>
      </c>
      <c r="J46" s="6">
        <v>1.6000000000000001E-3</v>
      </c>
      <c r="K46" s="6"/>
      <c r="L46" s="6"/>
      <c r="M46">
        <v>4.0734060000000003</v>
      </c>
      <c r="N46" s="6">
        <v>1.8E-3</v>
      </c>
      <c r="O46" s="6"/>
      <c r="P46" s="6"/>
      <c r="Q46">
        <v>4.1963699999999999</v>
      </c>
      <c r="S46" s="23"/>
      <c r="T46" s="6">
        <v>1.1000000000000001E-3</v>
      </c>
      <c r="U46" s="6"/>
      <c r="V46" s="6"/>
      <c r="W46">
        <v>4.3620190000000001</v>
      </c>
      <c r="X46" s="6">
        <v>1.1999999999999999E-3</v>
      </c>
      <c r="Y46" s="6"/>
      <c r="Z46" s="6"/>
      <c r="AA46">
        <v>3.7944040000000001</v>
      </c>
      <c r="AB46" s="6">
        <v>1.2999999999999999E-3</v>
      </c>
      <c r="AC46" s="6"/>
      <c r="AD46" s="6"/>
      <c r="AE46">
        <v>3.4272689999999999</v>
      </c>
      <c r="AF46" s="6">
        <v>1.2999999999999999E-3</v>
      </c>
      <c r="AG46" s="6"/>
      <c r="AH46" s="6"/>
      <c r="AI46">
        <v>3.7123249999999999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92</v>
      </c>
      <c r="C50" s="16"/>
      <c r="D50" s="16"/>
      <c r="E50" s="16"/>
      <c r="F50" s="16" t="s">
        <v>93</v>
      </c>
      <c r="G50" s="16"/>
      <c r="H50" s="16"/>
      <c r="I50" s="16"/>
      <c r="J50" s="16" t="s">
        <v>94</v>
      </c>
      <c r="K50" s="16"/>
      <c r="L50" s="16"/>
      <c r="M50" s="16"/>
      <c r="N50" s="16" t="s">
        <v>95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3.435E-4</v>
      </c>
      <c r="D54" s="2">
        <v>7.6789999999999996E-4</v>
      </c>
      <c r="E54">
        <v>1.439371</v>
      </c>
      <c r="F54" t="s">
        <v>22</v>
      </c>
      <c r="G54" s="2">
        <v>3.747E-4</v>
      </c>
      <c r="H54" s="2">
        <v>8.3339999999999998E-4</v>
      </c>
      <c r="I54">
        <v>1.393921</v>
      </c>
      <c r="J54" t="s">
        <v>22</v>
      </c>
      <c r="K54" s="2">
        <v>4.0460000000000002E-4</v>
      </c>
      <c r="L54" s="2">
        <v>8.9689999999999995E-4</v>
      </c>
      <c r="M54">
        <v>1.3893549999999999</v>
      </c>
      <c r="N54" t="s">
        <v>22</v>
      </c>
      <c r="O54">
        <v>2.0000000000000001E-4</v>
      </c>
      <c r="P54">
        <v>2E-3</v>
      </c>
      <c r="Q54">
        <v>1.1369199999999999</v>
      </c>
    </row>
    <row r="57" spans="1:17" x14ac:dyDescent="0.25">
      <c r="A57" s="18" t="s">
        <v>23</v>
      </c>
      <c r="B57" s="16" t="s">
        <v>92</v>
      </c>
      <c r="C57" s="16"/>
      <c r="D57" s="16"/>
      <c r="E57" s="16"/>
      <c r="F57" s="16" t="s">
        <v>93</v>
      </c>
      <c r="G57" s="16"/>
      <c r="H57" s="16"/>
      <c r="I57" s="16"/>
      <c r="J57" s="16" t="s">
        <v>94</v>
      </c>
      <c r="K57" s="16"/>
      <c r="L57" s="16"/>
      <c r="M57" s="16"/>
      <c r="N57" s="16" t="s">
        <v>95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3.435E-4</v>
      </c>
      <c r="D61" s="2">
        <v>7.6789999999999996E-4</v>
      </c>
      <c r="E61">
        <v>366.09894000000003</v>
      </c>
      <c r="F61" t="s">
        <v>22</v>
      </c>
      <c r="G61" s="2">
        <v>4.3419999999999998E-4</v>
      </c>
      <c r="H61" s="2">
        <v>7.9759999999999998E-4</v>
      </c>
      <c r="I61">
        <v>460.01891599999999</v>
      </c>
      <c r="J61" t="s">
        <v>22</v>
      </c>
      <c r="K61" s="2">
        <v>4.7459999999999999E-4</v>
      </c>
      <c r="L61" s="2">
        <v>7.9020000000000002E-4</v>
      </c>
      <c r="M61">
        <v>525.64598999999998</v>
      </c>
      <c r="N61" t="s">
        <v>22</v>
      </c>
      <c r="O61" s="2">
        <v>5.1219999999999998E-4</v>
      </c>
      <c r="P61" s="2">
        <v>8.6379999999999996E-4</v>
      </c>
      <c r="Q61">
        <v>479.13752599999998</v>
      </c>
    </row>
    <row r="64" spans="1:17" x14ac:dyDescent="0.25">
      <c r="A64" s="23" t="s">
        <v>24</v>
      </c>
      <c r="B64" s="16" t="s">
        <v>92</v>
      </c>
      <c r="C64" s="16"/>
      <c r="D64" s="16"/>
      <c r="E64" s="16"/>
      <c r="F64" s="16" t="s">
        <v>93</v>
      </c>
      <c r="G64" s="16"/>
      <c r="H64" s="16"/>
      <c r="I64" s="16"/>
      <c r="J64" s="16" t="s">
        <v>94</v>
      </c>
      <c r="K64" s="16"/>
      <c r="L64" s="16"/>
      <c r="M64" s="16"/>
      <c r="N64" s="16" t="s">
        <v>95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5.4609999999999999E-4</v>
      </c>
      <c r="C66" s="6"/>
      <c r="D66" s="6"/>
      <c r="E66">
        <v>3.773015</v>
      </c>
      <c r="F66" s="6"/>
      <c r="G66" s="3">
        <v>6.11E-4</v>
      </c>
      <c r="H66" s="6"/>
      <c r="I66">
        <v>3.3785759999999998</v>
      </c>
      <c r="J66" s="3">
        <v>6.4760000000000002E-4</v>
      </c>
      <c r="K66" s="6"/>
      <c r="L66" s="6"/>
      <c r="M66">
        <v>3.5367350000000002</v>
      </c>
      <c r="N66" s="3">
        <v>7.1440000000000002E-4</v>
      </c>
      <c r="O66" s="6"/>
      <c r="P66" s="6"/>
      <c r="Q66">
        <v>3.617934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1.6050000000000001E-3</v>
      </c>
      <c r="G75">
        <f t="shared" si="1"/>
        <v>1.6050000000000001E-3</v>
      </c>
      <c r="H75">
        <f t="shared" si="2"/>
        <v>2.2280059999999997</v>
      </c>
      <c r="I75">
        <f t="shared" si="3"/>
        <v>1.6050000000000001E-3</v>
      </c>
      <c r="J75">
        <f t="shared" si="4"/>
        <v>1.6050000000000001E-3</v>
      </c>
      <c r="K75">
        <f t="shared" si="5"/>
        <v>27.588001999999999</v>
      </c>
      <c r="L75">
        <f>0.05*F25+(1-0.05)*B25</f>
        <v>1.6050000000000001E-3</v>
      </c>
      <c r="M75">
        <f>I25+E25</f>
        <v>7.4132129999999998</v>
      </c>
      <c r="P75" s="21"/>
      <c r="Q75" t="s">
        <v>37</v>
      </c>
      <c r="R75">
        <f t="shared" si="6"/>
        <v>1.6100000000000001E-3</v>
      </c>
      <c r="S75">
        <f t="shared" si="7"/>
        <v>1.6100000000000001E-3</v>
      </c>
      <c r="U75">
        <f t="shared" si="8"/>
        <v>1.6100000000000001E-3</v>
      </c>
      <c r="V75">
        <f t="shared" si="9"/>
        <v>1.6100000000000001E-3</v>
      </c>
      <c r="X75">
        <f>0.1*F25+(1-0.1)*B25</f>
        <v>1.6100000000000001E-3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1.6200000000000001E-3</v>
      </c>
      <c r="G81">
        <f t="shared" si="11"/>
        <v>1.6200000000000001E-3</v>
      </c>
      <c r="I81">
        <f t="shared" si="12"/>
        <v>1.6200000000000001E-3</v>
      </c>
      <c r="J81">
        <f t="shared" si="13"/>
        <v>1.6200000000000001E-3</v>
      </c>
      <c r="L81">
        <f>0.2*F25+(1-0.2)*B25</f>
        <v>1.6200000000000001E-3</v>
      </c>
      <c r="P81" s="21"/>
      <c r="Q81" t="s">
        <v>37</v>
      </c>
      <c r="R81">
        <f t="shared" si="14"/>
        <v>1.6299999999999999E-3</v>
      </c>
      <c r="S81">
        <f t="shared" si="15"/>
        <v>1.6299999999999999E-3</v>
      </c>
      <c r="U81">
        <f t="shared" si="16"/>
        <v>1.6299999999999999E-3</v>
      </c>
      <c r="V81">
        <f t="shared" si="17"/>
        <v>1.6299999999999999E-3</v>
      </c>
      <c r="X81">
        <f>0.3*F25+(1-0.3)*B25</f>
        <v>1.6299999999999999E-3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1.6102500000000001E-3</v>
      </c>
      <c r="G88">
        <f t="shared" si="19"/>
        <v>1.6102500000000001E-3</v>
      </c>
      <c r="H88">
        <f t="shared" si="20"/>
        <v>3.435635</v>
      </c>
      <c r="I88">
        <f t="shared" si="21"/>
        <v>1.6102500000000001E-3</v>
      </c>
      <c r="J88">
        <f t="shared" si="22"/>
        <v>1.6102500000000001E-3</v>
      </c>
      <c r="K88">
        <f t="shared" si="23"/>
        <v>40.916228000000004</v>
      </c>
      <c r="L88">
        <f>(0.05*(1-0.05)+0.05*(1-0.05))*F25+0.05*0.05*J25+(1-0.05*(1-0.05)-0.05*(1-0.05)-0.05*0.05)*B25</f>
        <v>1.6102500000000001E-3</v>
      </c>
      <c r="M88">
        <f>M25+I25+E25</f>
        <v>10.974188999999999</v>
      </c>
      <c r="O88" s="20"/>
      <c r="P88" s="21"/>
      <c r="Q88" t="s">
        <v>37</v>
      </c>
      <c r="R88">
        <f t="shared" si="24"/>
        <v>1.621E-3</v>
      </c>
      <c r="S88">
        <f t="shared" si="25"/>
        <v>1.621E-3</v>
      </c>
      <c r="U88">
        <f t="shared" si="26"/>
        <v>1.621E-3</v>
      </c>
      <c r="V88">
        <f t="shared" si="27"/>
        <v>1.621E-3</v>
      </c>
      <c r="X88">
        <f>(0.1*0.9+0.1*0.9)*F25+0.1*0.1*J25+(1-0.1*0.9-0.1*0.9-0.1*0.1)*B25</f>
        <v>1.621E-3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1.6440000000000001E-3</v>
      </c>
      <c r="G94">
        <f t="shared" si="29"/>
        <v>1.6440000000000001E-3</v>
      </c>
      <c r="I94">
        <f t="shared" si="30"/>
        <v>1.6440000000000001E-3</v>
      </c>
      <c r="J94">
        <f t="shared" si="31"/>
        <v>1.6440000000000001E-3</v>
      </c>
      <c r="L94">
        <f>(0.2*0.8+0.2*0.8)*F25+0.2*0.2*J25+(1-0.2*0.8-0.2*0.8-0.2*0.2)*B25</f>
        <v>1.6440000000000001E-3</v>
      </c>
      <c r="O94" s="20"/>
      <c r="P94" s="21"/>
      <c r="Q94" t="s">
        <v>37</v>
      </c>
      <c r="R94">
        <f t="shared" si="32"/>
        <v>1.6690000000000001E-3</v>
      </c>
      <c r="S94">
        <f t="shared" si="33"/>
        <v>1.6690000000000001E-3</v>
      </c>
      <c r="U94">
        <f t="shared" si="34"/>
        <v>1.6690000000000001E-3</v>
      </c>
      <c r="V94">
        <f t="shared" si="35"/>
        <v>1.6690000000000001E-3</v>
      </c>
      <c r="X94">
        <f>(0.3*0.7+0.3*0.7)*F25+0.3*0.3*J25+(1-0.3*0.7-0.3*0.7-0.3*0.3)*B25</f>
        <v>1.6690000000000001E-3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1.6157249999999997E-3</v>
      </c>
      <c r="G101">
        <f t="shared" si="37"/>
        <v>1.6157249999999997E-3</v>
      </c>
      <c r="H101">
        <f t="shared" si="38"/>
        <v>4.6358069999999998</v>
      </c>
      <c r="I101">
        <f t="shared" si="39"/>
        <v>1.6157249999999997E-3</v>
      </c>
      <c r="J101">
        <f t="shared" si="40"/>
        <v>1.6157249999999997E-3</v>
      </c>
      <c r="K101">
        <f t="shared" si="41"/>
        <v>53.900416999999997</v>
      </c>
      <c r="L101">
        <f>3*0.05*(1-0.05)*(1-0.05)*F25+3*0.05*0.05*(1-0.05)*J25+0.05*0.05*0.05*N25+(1-3*0.05*(1-0.05)*(1-0.05)-3*0.05*0.05*(1-0.05)-0.05*0.05*0.05)*B25</f>
        <v>1.6157249999999997E-3</v>
      </c>
      <c r="M101">
        <f>Q25+M25+I25+E25</f>
        <v>14.681972000000002</v>
      </c>
      <c r="N101" s="24"/>
      <c r="O101" s="20"/>
      <c r="P101" s="21"/>
      <c r="Q101" t="s">
        <v>37</v>
      </c>
      <c r="R101">
        <f t="shared" si="42"/>
        <v>1.6328E-3</v>
      </c>
      <c r="S101">
        <f t="shared" si="43"/>
        <v>1.6328E-3</v>
      </c>
      <c r="U101">
        <f t="shared" si="44"/>
        <v>1.6328E-3</v>
      </c>
      <c r="V101">
        <f t="shared" si="45"/>
        <v>1.6328E-3</v>
      </c>
      <c r="X101">
        <f>3*0.1*(1-0.1)*(1-0.1)*F25+3*0.1*0.1*(1-0.1)*J25+0.1*0.1*0.1*N25+(1-3*0.1*(1-0.1)*(1-0.1)-3*0.1*0.1*(1-0.1)-0.1*0.1*0.1)*B25</f>
        <v>1.6328E-3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1.6703999999999998E-3</v>
      </c>
      <c r="G107">
        <f t="shared" si="47"/>
        <v>1.6703999999999998E-3</v>
      </c>
      <c r="I107">
        <f t="shared" si="48"/>
        <v>1.6703999999999998E-3</v>
      </c>
      <c r="J107">
        <f t="shared" si="49"/>
        <v>1.6703999999999998E-3</v>
      </c>
      <c r="L107">
        <f>3*0.2*(1-0.2)*(1-0.2)*F25+3*0.2*0.2*(1-0.2)*J25+0.2*0.2*0.2*N25+(1-3*0.2*(1-0.2)*(1-0.2)-3*0.2*0.2*(1-0.2)-0.2*0.2*0.2)*B25</f>
        <v>1.6703999999999998E-3</v>
      </c>
      <c r="N107" s="24"/>
      <c r="O107" s="20"/>
      <c r="P107" s="21"/>
      <c r="Q107" t="s">
        <v>37</v>
      </c>
      <c r="R107">
        <f t="shared" si="50"/>
        <v>1.7116E-3</v>
      </c>
      <c r="S107">
        <f t="shared" si="51"/>
        <v>1.7116E-3</v>
      </c>
      <c r="U107">
        <f t="shared" si="52"/>
        <v>1.7116E-3</v>
      </c>
      <c r="V107">
        <f t="shared" si="53"/>
        <v>1.7116E-3</v>
      </c>
      <c r="X107">
        <f>3*0.3*(1-0.3)*(1-0.3)*F25+3*0.3*0.3*(1-0.3)*J25+0.3*0.3*0.3*N25+(1-3*0.3*(1-0.3)*(1-0.3)-3*0.3*0.3*(1-0.3)-0.3*0.3*0.3)*B25</f>
        <v>1.7116E-3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1.6050000000000001E-3</v>
      </c>
      <c r="G114">
        <f t="shared" si="55"/>
        <v>1.6050000000000001E-3</v>
      </c>
      <c r="H114">
        <f t="shared" si="56"/>
        <v>2.7802120000000001</v>
      </c>
      <c r="I114">
        <f t="shared" si="57"/>
        <v>1.6050000000000001E-3</v>
      </c>
      <c r="J114">
        <f t="shared" si="58"/>
        <v>1.6050000000000001E-3</v>
      </c>
      <c r="K114">
        <f t="shared" si="59"/>
        <v>884.99679100000003</v>
      </c>
      <c r="L114">
        <f>0.05*X25+(1-0.05)*T25</f>
        <v>1.6050000000000001E-3</v>
      </c>
      <c r="M114">
        <f>AA25+W26</f>
        <v>3.610004</v>
      </c>
      <c r="P114" s="21"/>
      <c r="Q114" t="s">
        <v>37</v>
      </c>
      <c r="R114">
        <f t="shared" si="60"/>
        <v>1.6100000000000001E-3</v>
      </c>
      <c r="S114">
        <f t="shared" si="61"/>
        <v>1.6100000000000001E-3</v>
      </c>
      <c r="U114">
        <f t="shared" si="62"/>
        <v>1.6100000000000001E-3</v>
      </c>
      <c r="V114">
        <f t="shared" si="63"/>
        <v>1.6100000000000001E-3</v>
      </c>
      <c r="X114">
        <f>0.1*X25+(1-0.1)*T25</f>
        <v>1.6100000000000001E-3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1.6200000000000001E-3</v>
      </c>
      <c r="G120">
        <f t="shared" si="65"/>
        <v>1.6200000000000001E-3</v>
      </c>
      <c r="I120">
        <f t="shared" si="66"/>
        <v>1.6200000000000001E-3</v>
      </c>
      <c r="J120">
        <f t="shared" si="67"/>
        <v>1.6200000000000001E-3</v>
      </c>
      <c r="L120">
        <f>0.2*X25+(1-0.2)*T25</f>
        <v>1.6200000000000001E-3</v>
      </c>
      <c r="P120" s="21"/>
      <c r="Q120" t="s">
        <v>37</v>
      </c>
      <c r="R120">
        <f t="shared" si="68"/>
        <v>1.6299999999999999E-3</v>
      </c>
      <c r="S120">
        <f t="shared" si="69"/>
        <v>1.6299999999999999E-3</v>
      </c>
      <c r="U120">
        <f t="shared" si="70"/>
        <v>1.6299999999999999E-3</v>
      </c>
      <c r="V120">
        <f t="shared" si="71"/>
        <v>1.6299999999999999E-3</v>
      </c>
      <c r="X120">
        <f>0.3*X25+(1-0.3)*T25</f>
        <v>1.6299999999999999E-3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1.6100000000000001E-3</v>
      </c>
      <c r="G127">
        <f t="shared" si="73"/>
        <v>1.6100000000000001E-3</v>
      </c>
      <c r="H127">
        <f t="shared" si="74"/>
        <v>3.8687399999999998</v>
      </c>
      <c r="I127">
        <f t="shared" si="75"/>
        <v>1.6100000000000001E-3</v>
      </c>
      <c r="J127">
        <f t="shared" si="76"/>
        <v>1.6100000000000001E-3</v>
      </c>
      <c r="K127">
        <f t="shared" si="77"/>
        <v>1274.5169679999999</v>
      </c>
      <c r="L127">
        <f>(0.05*(1-0.05)+0.05*(1-0.05))*X25+0.05*0.05*AB25+(1-0.05*(1-0.05)-0.05*(1-0.05)-0.05*0.05)*T25</f>
        <v>1.6100000000000001E-3</v>
      </c>
      <c r="M127">
        <f>AE25+AA25+W26</f>
        <v>7.109648</v>
      </c>
      <c r="O127" s="20"/>
      <c r="P127" s="21"/>
      <c r="Q127" t="s">
        <v>37</v>
      </c>
      <c r="R127">
        <f t="shared" si="78"/>
        <v>1.6200000000000001E-3</v>
      </c>
      <c r="S127">
        <f t="shared" si="79"/>
        <v>1.6200000000000001E-3</v>
      </c>
      <c r="U127">
        <f t="shared" si="80"/>
        <v>1.6200000000000001E-3</v>
      </c>
      <c r="V127">
        <f t="shared" si="81"/>
        <v>1.6200000000000001E-3</v>
      </c>
      <c r="X127" s="8">
        <f>(0.1*0.9+0.1*0.9)*X25+0.1*0.1*AB25+(1-0.1*0.9-0.1*0.9-0.1*0.1)*T25</f>
        <v>1.6200000000000001E-3</v>
      </c>
    </row>
    <row r="128" spans="2:25" x14ac:dyDescent="0.25">
      <c r="B128" s="22"/>
      <c r="C128" s="4"/>
      <c r="X128" s="8"/>
    </row>
    <row r="129" spans="1:25" x14ac:dyDescent="0.25">
      <c r="B129" s="22"/>
      <c r="C129" s="4"/>
      <c r="X129" s="8"/>
    </row>
    <row r="130" spans="1:25" x14ac:dyDescent="0.25">
      <c r="B130" s="22"/>
      <c r="C130" s="4"/>
      <c r="X130" s="8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 s="8"/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  <c r="X132" s="8"/>
    </row>
    <row r="133" spans="1:25" x14ac:dyDescent="0.25">
      <c r="B133" s="22"/>
      <c r="C133" s="20"/>
      <c r="D133" s="21"/>
      <c r="E133" t="s">
        <v>37</v>
      </c>
      <c r="F133">
        <f t="shared" si="82"/>
        <v>1.64E-3</v>
      </c>
      <c r="G133">
        <f t="shared" si="83"/>
        <v>1.64E-3</v>
      </c>
      <c r="I133">
        <f t="shared" si="84"/>
        <v>1.64E-3</v>
      </c>
      <c r="J133">
        <f t="shared" si="85"/>
        <v>1.64E-3</v>
      </c>
      <c r="L133">
        <f>(0.2*0.8+0.2*0.8)*X25+0.2*0.2*AB25+(1-0.2*0.8-0.2*0.8-0.2*0.2)*T25</f>
        <v>1.64E-3</v>
      </c>
      <c r="O133" s="20"/>
      <c r="P133" s="21"/>
      <c r="Q133" t="s">
        <v>37</v>
      </c>
      <c r="R133">
        <f t="shared" si="86"/>
        <v>1.66E-3</v>
      </c>
      <c r="S133">
        <f t="shared" si="87"/>
        <v>1.66E-3</v>
      </c>
      <c r="U133">
        <f t="shared" si="88"/>
        <v>1.66E-3</v>
      </c>
      <c r="V133">
        <f t="shared" si="89"/>
        <v>1.66E-3</v>
      </c>
      <c r="X133" s="8">
        <f>(0.3*0.7+0.3*0.7)*X25+0.3*0.3*AB25+(1-0.3*0.7-0.3*0.7-0.3*0.3)*T25</f>
        <v>1.66E-3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1.6149999999999999E-3</v>
      </c>
      <c r="G140">
        <f t="shared" si="91"/>
        <v>1.6149999999999999E-3</v>
      </c>
      <c r="H140">
        <f t="shared" si="92"/>
        <v>5.1754480000000003</v>
      </c>
      <c r="I140">
        <f t="shared" si="93"/>
        <v>1.6149999999999999E-3</v>
      </c>
      <c r="J140">
        <f t="shared" si="94"/>
        <v>1.6149999999999999E-3</v>
      </c>
      <c r="K140">
        <f t="shared" si="95"/>
        <v>1746.685348</v>
      </c>
      <c r="L140">
        <f>3*0.05*(1-0.05)*(1-0.05)*X25+3*0.05*0.05*(1-0.05)*AB25+0.05*0.05*0.05*AF25+(1-3*0.05*(1-0.05)*(1-0.05)-3*0.05*0.05*(1-0.05)-0.05*0.05*0.05)*T25</f>
        <v>1.6150124999999998E-3</v>
      </c>
      <c r="M140">
        <f>AI25+AE25+AA25+W26</f>
        <v>10.691737</v>
      </c>
      <c r="N140" s="24"/>
      <c r="O140" s="20"/>
      <c r="P140" s="21"/>
      <c r="Q140" t="s">
        <v>37</v>
      </c>
      <c r="R140">
        <f t="shared" si="96"/>
        <v>1.6299999999999999E-3</v>
      </c>
      <c r="S140">
        <f t="shared" si="97"/>
        <v>1.6299999999999999E-3</v>
      </c>
      <c r="U140">
        <f t="shared" si="98"/>
        <v>1.6299999999999999E-3</v>
      </c>
      <c r="V140">
        <f t="shared" si="99"/>
        <v>1.6299999999999999E-3</v>
      </c>
      <c r="X140">
        <f>3*0.1*(1-0.1)*(1-0.1)*X25+3*0.1*0.1*(1-0.1)*AB25+0.1*0.1*0.1*AF25+(1-3*0.1*(1-0.1)*(1-0.1)-3*0.1*0.1*(1-0.1)-0.1*0.1*0.1)*T25</f>
        <v>1.6301E-3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1.66E-3</v>
      </c>
      <c r="G146">
        <f t="shared" si="101"/>
        <v>1.66E-3</v>
      </c>
      <c r="I146">
        <f t="shared" si="102"/>
        <v>1.66E-3</v>
      </c>
      <c r="J146">
        <f t="shared" si="103"/>
        <v>1.66E-3</v>
      </c>
      <c r="L146">
        <f>3*0.2*(1-0.2)*(1-0.2)*X25+3*0.2*0.2*(1-0.2)*AB25+0.2*0.2*0.2*AF25+(1-3*0.2*(1-0.2)*(1-0.2)-3*0.2*0.2*(1-0.2)-0.2*0.2*0.2)*T25</f>
        <v>1.6608E-3</v>
      </c>
      <c r="N146" s="24"/>
      <c r="O146" s="20"/>
      <c r="P146" s="21"/>
      <c r="Q146" t="s">
        <v>37</v>
      </c>
      <c r="R146">
        <f t="shared" si="104"/>
        <v>1.6899999999999999E-3</v>
      </c>
      <c r="S146">
        <f t="shared" si="105"/>
        <v>1.6899999999999999E-3</v>
      </c>
      <c r="U146">
        <f t="shared" si="106"/>
        <v>1.6899999999999999E-3</v>
      </c>
      <c r="V146">
        <f t="shared" si="107"/>
        <v>1.6899999999999999E-3</v>
      </c>
      <c r="X146">
        <f>3*0.3*(1-0.3)*(1-0.3)*X25+3*0.3*0.3*(1-0.3)*AB25+0.3*0.3*0.3*AF25+(1-3*0.3*(1-0.3)*(1-0.3)-3*0.3*0.3*(1-0.3)-0.3*0.3*0.3)*T25</f>
        <v>1.6926999999999999E-3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1.405E-3</v>
      </c>
      <c r="G153">
        <f t="shared" si="109"/>
        <v>1.505E-3</v>
      </c>
      <c r="H153">
        <f t="shared" si="110"/>
        <v>3.6453369999999996</v>
      </c>
      <c r="I153">
        <f t="shared" si="111"/>
        <v>1.405E-3</v>
      </c>
      <c r="J153">
        <f t="shared" si="112"/>
        <v>1.5150000000000001E-3</v>
      </c>
      <c r="K153">
        <f t="shared" si="113"/>
        <v>1041.8360320000002</v>
      </c>
      <c r="L153">
        <f>0.05*F46+(1-0.05)*B46</f>
        <v>1.41E-3</v>
      </c>
      <c r="M153">
        <f>I46+E46</f>
        <v>7.7142269999999993</v>
      </c>
      <c r="P153" s="21"/>
      <c r="Q153" t="s">
        <v>37</v>
      </c>
      <c r="R153">
        <f t="shared" si="114"/>
        <v>1.41E-3</v>
      </c>
      <c r="S153">
        <f t="shared" si="115"/>
        <v>1.5100000000000001E-3</v>
      </c>
      <c r="U153">
        <f t="shared" si="116"/>
        <v>1.41E-3</v>
      </c>
      <c r="V153">
        <f t="shared" si="117"/>
        <v>1.5300000000000001E-3</v>
      </c>
      <c r="X153">
        <f>0.1*F46+(1-0.1)*B46</f>
        <v>1.42E-3</v>
      </c>
    </row>
    <row r="154" spans="1:25" x14ac:dyDescent="0.25">
      <c r="C154" s="22"/>
    </row>
    <row r="155" spans="1:25" x14ac:dyDescent="0.25">
      <c r="C155" s="22"/>
      <c r="L155" s="1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1.4200000000000003E-3</v>
      </c>
      <c r="G159">
        <f t="shared" si="119"/>
        <v>1.5200000000000001E-3</v>
      </c>
      <c r="I159">
        <f t="shared" si="120"/>
        <v>1.4200000000000003E-3</v>
      </c>
      <c r="J159">
        <f t="shared" si="121"/>
        <v>1.5600000000000002E-3</v>
      </c>
      <c r="L159">
        <f>0.2*F46+(1-0.2)*B46</f>
        <v>1.4400000000000001E-3</v>
      </c>
      <c r="P159" s="21"/>
      <c r="Q159" t="s">
        <v>37</v>
      </c>
      <c r="R159">
        <f t="shared" si="122"/>
        <v>1.4299999999999998E-3</v>
      </c>
      <c r="S159">
        <f t="shared" si="123"/>
        <v>1.5299999999999999E-3</v>
      </c>
      <c r="U159">
        <f t="shared" si="124"/>
        <v>1.4299999999999998E-3</v>
      </c>
      <c r="V159">
        <f t="shared" si="125"/>
        <v>1.5899999999999998E-3</v>
      </c>
      <c r="X159">
        <f>0.3*F46+(1-0.3)*B46</f>
        <v>1.4599999999999999E-3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1.41E-3</v>
      </c>
      <c r="G166">
        <f t="shared" si="127"/>
        <v>1.5100000000000001E-3</v>
      </c>
      <c r="H166">
        <f t="shared" si="128"/>
        <v>4.8192019999999998</v>
      </c>
      <c r="I166">
        <f t="shared" si="129"/>
        <v>1.41E-3</v>
      </c>
      <c r="J166">
        <f t="shared" si="130"/>
        <v>1.5295E-3</v>
      </c>
      <c r="K166">
        <f t="shared" si="131"/>
        <v>1560.6891450000001</v>
      </c>
      <c r="L166">
        <f>(0.05*(1-0.05)+0.05*(1-0.05))*F46+0.05*0.05*J46+(1-0.05*(1-0.05)-0.05*(1-0.05)-0.05*0.05)*B46</f>
        <v>1.4195000000000002E-3</v>
      </c>
      <c r="M166">
        <f>M46+I46+E46</f>
        <v>11.787633000000001</v>
      </c>
      <c r="O166" s="20"/>
      <c r="P166" s="21"/>
      <c r="Q166" t="s">
        <v>37</v>
      </c>
      <c r="R166">
        <f t="shared" si="132"/>
        <v>1.42E-3</v>
      </c>
      <c r="S166">
        <f t="shared" si="133"/>
        <v>1.5200000000000001E-3</v>
      </c>
      <c r="U166">
        <f t="shared" si="134"/>
        <v>1.42E-3</v>
      </c>
      <c r="V166">
        <f t="shared" si="135"/>
        <v>1.5580000000000001E-3</v>
      </c>
      <c r="X166">
        <f>(0.1*0.9+0.1*0.9)*F46+0.1*0.1*J46+(1-0.1*0.9-0.1*0.9-0.1*0.1)*B46</f>
        <v>1.438E-3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1.4399999999999999E-3</v>
      </c>
      <c r="G172">
        <f t="shared" si="137"/>
        <v>1.5400000000000001E-3</v>
      </c>
      <c r="I172">
        <f t="shared" si="138"/>
        <v>1.4399999999999999E-3</v>
      </c>
      <c r="J172">
        <f t="shared" si="139"/>
        <v>1.6120000000000002E-3</v>
      </c>
      <c r="L172">
        <f>(0.2*0.8+0.2*0.8)*F46+0.2*0.2*J46+(1-0.2*0.8-0.2*0.8-0.2*0.2)*B46</f>
        <v>1.472E-3</v>
      </c>
      <c r="O172" s="20"/>
      <c r="P172" s="21"/>
      <c r="Q172" t="s">
        <v>37</v>
      </c>
      <c r="R172">
        <f t="shared" si="140"/>
        <v>1.4600000000000001E-3</v>
      </c>
      <c r="S172">
        <f t="shared" si="141"/>
        <v>1.5600000000000002E-3</v>
      </c>
      <c r="U172">
        <f t="shared" si="142"/>
        <v>1.4600000000000001E-3</v>
      </c>
      <c r="V172">
        <f t="shared" si="143"/>
        <v>1.6620000000000001E-3</v>
      </c>
      <c r="X172">
        <f>(0.3*0.7+0.3*0.7)*F46+0.3*0.3*J46+(1-0.3*0.7-0.3*0.7-0.3*0.3)*B46</f>
        <v>1.5020000000000001E-3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1.415E-3</v>
      </c>
      <c r="G179">
        <f t="shared" si="145"/>
        <v>1.5149999999999999E-3</v>
      </c>
      <c r="H179">
        <f t="shared" si="146"/>
        <v>6.2277079999999998</v>
      </c>
      <c r="I179">
        <f t="shared" si="147"/>
        <v>1.415E-3</v>
      </c>
      <c r="J179">
        <f t="shared" si="148"/>
        <v>1.5435E-3</v>
      </c>
      <c r="K179">
        <f t="shared" si="149"/>
        <v>2056.7322469999999</v>
      </c>
      <c r="L179">
        <f>3*0.05*(1-0.05)*(1-0.05)*F46+3*0.05*0.05*(1-0.05)*J46+0.05*0.05*0.05*N46+(1-3*0.05*(1-0.05)*(1-0.05)-3*0.05*0.05*(1-0.05)-0.05*0.05*0.05)*B46</f>
        <v>1.42855E-3</v>
      </c>
      <c r="M179">
        <f>Q46+M46+I46+E46</f>
        <v>15.984003</v>
      </c>
      <c r="N179" s="24"/>
      <c r="O179" s="20"/>
      <c r="P179" s="21"/>
      <c r="Q179" t="s">
        <v>37</v>
      </c>
      <c r="R179">
        <f t="shared" si="150"/>
        <v>1.4299999999999998E-3</v>
      </c>
      <c r="S179">
        <f t="shared" si="151"/>
        <v>1.5300000000000001E-3</v>
      </c>
      <c r="U179">
        <f t="shared" si="152"/>
        <v>1.4299999999999998E-3</v>
      </c>
      <c r="V179">
        <f t="shared" si="153"/>
        <v>1.5839999999999999E-3</v>
      </c>
      <c r="X179">
        <f>3*0.1*(1-0.1)*(1-0.1)*F46+3*0.1*0.1*(1-0.1)*J46+0.1*0.1*0.1*N46+(1-3*0.1*(1-0.1)*(1-0.1)-3*0.1*0.1*(1-0.1)-0.1*0.1*0.1)*B46</f>
        <v>1.4543999999999998E-3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1.4599999999999999E-3</v>
      </c>
      <c r="G185">
        <f t="shared" si="155"/>
        <v>1.56E-3</v>
      </c>
      <c r="I185">
        <f t="shared" si="156"/>
        <v>1.4599999999999999E-3</v>
      </c>
      <c r="J185">
        <f t="shared" si="157"/>
        <v>1.6559999999999999E-3</v>
      </c>
      <c r="L185">
        <f>3*0.2*(1-0.2)*(1-0.2)*F46+3*0.2*0.2*(1-0.2)*J46+0.2*0.2*0.2*N46+(1-3*0.2*(1-0.2)*(1-0.2)-3*0.2*0.2*(1-0.2)-0.2*0.2*0.2)*B46</f>
        <v>1.4992E-3</v>
      </c>
      <c r="N185" s="24"/>
      <c r="O185" s="20"/>
      <c r="P185" s="21"/>
      <c r="Q185" t="s">
        <v>37</v>
      </c>
      <c r="R185">
        <f t="shared" si="158"/>
        <v>1.4900000000000002E-3</v>
      </c>
      <c r="S185">
        <f t="shared" si="159"/>
        <v>1.5900000000000003E-3</v>
      </c>
      <c r="U185">
        <f t="shared" si="160"/>
        <v>1.4900000000000002E-3</v>
      </c>
      <c r="V185">
        <f t="shared" si="161"/>
        <v>1.7160000000000001E-3</v>
      </c>
      <c r="X185">
        <f>3*0.3*(1-0.3)*(1-0.3)*F46+3*0.3*0.3*(1-0.3)*J46+0.3*0.3*0.3*N46+(1-3*0.3*(1-0.3)*(1-0.3)-3*0.3*0.3*(1-0.3)-0.3*0.3*0.3)*B46</f>
        <v>1.5368000000000001E-3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8.0000000000000004E-4</v>
      </c>
      <c r="G192">
        <f t="shared" si="163"/>
        <v>1.2049999999999999E-3</v>
      </c>
      <c r="H192">
        <f t="shared" si="164"/>
        <v>2.6203020000000001</v>
      </c>
      <c r="I192">
        <f t="shared" si="165"/>
        <v>8.0500000000000005E-4</v>
      </c>
      <c r="J192">
        <f t="shared" si="166"/>
        <v>1.2049999999999999E-3</v>
      </c>
      <c r="K192">
        <f t="shared" si="167"/>
        <v>971.19950999999992</v>
      </c>
      <c r="L192">
        <f>0.05*X46+(1-0.05)*T46</f>
        <v>1.1049999999999999E-3</v>
      </c>
      <c r="M192">
        <f>AA46+W46</f>
        <v>8.1564230000000002</v>
      </c>
      <c r="P192" s="21"/>
      <c r="Q192" t="s">
        <v>37</v>
      </c>
      <c r="R192">
        <f t="shared" si="168"/>
        <v>8.0000000000000004E-4</v>
      </c>
      <c r="S192">
        <f t="shared" si="169"/>
        <v>1.2099999999999999E-3</v>
      </c>
      <c r="U192">
        <f t="shared" si="170"/>
        <v>8.1000000000000006E-4</v>
      </c>
      <c r="V192">
        <f t="shared" si="171"/>
        <v>1.2099999999999999E-3</v>
      </c>
      <c r="X192">
        <f>0.1*X46+(1-0.1)*T46</f>
        <v>1.1099999999999999E-3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8.0000000000000004E-4</v>
      </c>
      <c r="G198">
        <f t="shared" si="173"/>
        <v>1.2199999999999999E-3</v>
      </c>
      <c r="I198">
        <f t="shared" si="174"/>
        <v>8.2000000000000009E-4</v>
      </c>
      <c r="J198">
        <f t="shared" si="175"/>
        <v>1.2199999999999999E-3</v>
      </c>
      <c r="L198">
        <f>0.2*X46+(1-0.2)*T46</f>
        <v>1.1200000000000001E-3</v>
      </c>
      <c r="P198" s="21"/>
      <c r="Q198" t="s">
        <v>37</v>
      </c>
      <c r="R198">
        <f t="shared" si="176"/>
        <v>7.9999999999999993E-4</v>
      </c>
      <c r="S198">
        <f t="shared" si="177"/>
        <v>1.23E-3</v>
      </c>
      <c r="U198">
        <f t="shared" si="178"/>
        <v>8.3000000000000001E-4</v>
      </c>
      <c r="V198">
        <f t="shared" si="179"/>
        <v>1.23E-3</v>
      </c>
      <c r="X198">
        <f>0.3*X46+(1-0.3)*T46</f>
        <v>1.1299999999999999E-3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8.0025000000000007E-4</v>
      </c>
      <c r="G205">
        <f t="shared" si="181"/>
        <v>1.2099999999999999E-3</v>
      </c>
      <c r="H205">
        <f t="shared" si="182"/>
        <v>4.1051169999999999</v>
      </c>
      <c r="I205">
        <f t="shared" si="183"/>
        <v>8.1000000000000006E-4</v>
      </c>
      <c r="J205">
        <f t="shared" si="184"/>
        <v>1.2099999999999999E-3</v>
      </c>
      <c r="K205">
        <f>AE41+AA41+W41</f>
        <v>1778.8160619999999</v>
      </c>
      <c r="L205">
        <f>(0.05*(1-0.05)+0.05*(1-0.05))*X46+0.05*0.05*AB46+(1-0.05*(1-0.05)-0.05*(1-0.05)-0.05*0.05)*T46</f>
        <v>1.1100000000000001E-3</v>
      </c>
      <c r="M205">
        <f>AE46+AA46+W46</f>
        <v>11.583691999999999</v>
      </c>
      <c r="O205" s="20"/>
      <c r="P205" s="21"/>
      <c r="Q205" t="s">
        <v>37</v>
      </c>
      <c r="R205">
        <f t="shared" si="185"/>
        <v>8.0100000000000006E-4</v>
      </c>
      <c r="S205">
        <f t="shared" si="186"/>
        <v>1.2199999999999999E-3</v>
      </c>
      <c r="U205">
        <f t="shared" si="187"/>
        <v>8.1999999999999998E-4</v>
      </c>
      <c r="V205">
        <f t="shared" si="188"/>
        <v>1.2199999999999999E-3</v>
      </c>
      <c r="X205">
        <f>(0.1*0.9+0.1*0.9)*X46+0.1*0.1*AB46+(1-0.1*0.9-0.1*0.9-0.1*0.1)*T46</f>
        <v>1.1200000000000001E-3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8.0400000000000003E-4</v>
      </c>
      <c r="G211">
        <f t="shared" si="190"/>
        <v>1.2399999999999998E-3</v>
      </c>
      <c r="I211">
        <f t="shared" si="191"/>
        <v>8.4000000000000003E-4</v>
      </c>
      <c r="J211">
        <f t="shared" si="192"/>
        <v>1.2399999999999998E-3</v>
      </c>
      <c r="L211">
        <f>(0.2*0.8+0.2*0.8)*X46+0.2*0.2*AB46+(1-0.2*0.8-0.2*0.8-0.2*0.2)*T46</f>
        <v>1.14E-3</v>
      </c>
      <c r="O211" s="20"/>
      <c r="P211" s="21"/>
      <c r="Q211" t="s">
        <v>37</v>
      </c>
      <c r="R211">
        <f t="shared" si="193"/>
        <v>8.0900000000000004E-4</v>
      </c>
      <c r="S211">
        <f t="shared" si="194"/>
        <v>1.2600000000000001E-3</v>
      </c>
      <c r="U211">
        <f t="shared" si="195"/>
        <v>8.6000000000000009E-4</v>
      </c>
      <c r="V211">
        <f t="shared" si="196"/>
        <v>1.2600000000000001E-3</v>
      </c>
      <c r="X211">
        <f>(0.3*0.7+0.3*0.7)*X46+0.3*0.3*AB46+(1-0.3*0.7-0.3*0.7-0.3*0.3)*T46</f>
        <v>1.16E-3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8.0073749999999989E-4</v>
      </c>
      <c r="G218">
        <f t="shared" si="198"/>
        <v>1.2149999999999997E-3</v>
      </c>
      <c r="H218">
        <f t="shared" si="199"/>
        <v>5.5299290000000001</v>
      </c>
      <c r="I218">
        <f t="shared" si="200"/>
        <v>8.1498749999999994E-4</v>
      </c>
      <c r="J218">
        <f t="shared" si="201"/>
        <v>1.2150249999999998E-3</v>
      </c>
      <c r="K218">
        <f t="shared" si="202"/>
        <v>2435.5816199999999</v>
      </c>
      <c r="L218">
        <f>3*0.05*(1-0.05)*(1-0.05)*X46+3*0.05*0.05*(1-0.05)*AB46+0.05*0.05*0.05*AF46+(1-3*0.05*(1-0.05)*(1-0.05)-3*0.05*0.05*(1-0.05)-0.05*0.05*0.05)*T46</f>
        <v>1.1149875E-3</v>
      </c>
      <c r="M218">
        <f>AI46+AE46+AA46+W46</f>
        <v>15.296016999999999</v>
      </c>
      <c r="N218" s="24"/>
      <c r="O218" s="20"/>
      <c r="P218" s="21"/>
      <c r="Q218" t="s">
        <v>37</v>
      </c>
      <c r="R218">
        <f t="shared" si="203"/>
        <v>8.0290000000000005E-4</v>
      </c>
      <c r="S218">
        <f t="shared" si="204"/>
        <v>1.2299999999999998E-3</v>
      </c>
      <c r="U218">
        <f t="shared" si="205"/>
        <v>8.2990000000000006E-4</v>
      </c>
      <c r="V218">
        <f t="shared" si="206"/>
        <v>1.2301999999999999E-3</v>
      </c>
      <c r="X218">
        <f>3*0.1*(1-0.1)*(1-0.1)*X46+3*0.1*0.1*(1-0.1)*AB46+0.1*0.1*0.1*AF46+(1-3*0.1*(1-0.1)*(1-0.1)-3*0.1*0.1*(1-0.1)-0.1*0.1*0.1)*T46</f>
        <v>1.1298999999999999E-3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8.1119999999999999E-4</v>
      </c>
      <c r="G224">
        <f t="shared" si="208"/>
        <v>1.2599999999999998E-3</v>
      </c>
      <c r="I224">
        <f t="shared" si="209"/>
        <v>8.5919999999999996E-4</v>
      </c>
      <c r="J224">
        <f t="shared" si="210"/>
        <v>1.2615999999999999E-3</v>
      </c>
      <c r="L224">
        <f>3*0.2*(1-0.2)*(1-0.2)*X46+3*0.2*0.2*(1-0.2)*AB46+0.2*0.2*0.2*AF46+(1-3*0.2*(1-0.2)*(1-0.2)-3*0.2*0.2*(1-0.2)-0.2*0.2*0.2)*T46</f>
        <v>1.1592E-3</v>
      </c>
      <c r="N224" s="24"/>
      <c r="O224" s="20"/>
      <c r="P224" s="21"/>
      <c r="Q224" t="s">
        <v>37</v>
      </c>
      <c r="R224">
        <f t="shared" si="211"/>
        <v>8.2430000000000014E-4</v>
      </c>
      <c r="S224">
        <f t="shared" si="212"/>
        <v>1.2899999999999999E-3</v>
      </c>
      <c r="U224">
        <f t="shared" si="213"/>
        <v>8.8730000000000005E-4</v>
      </c>
      <c r="V224">
        <f t="shared" si="214"/>
        <v>1.2953999999999999E-3</v>
      </c>
      <c r="X224">
        <f>3*0.3*(1-0.3)*(1-0.3)*X46+3*0.3*0.3*(1-0.3)*AB46+0.3*0.3*0.3*AF46+(1-3*0.3*(1-0.3)*(1-0.3)-3*0.3*0.3*(1-0.3)-0.3*0.3*0.3)*T46</f>
        <v>1.1873000000000001E-3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3.4506000000000001E-4</v>
      </c>
      <c r="G231">
        <f t="shared" si="216"/>
        <v>7.7117500000000003E-4</v>
      </c>
      <c r="H231">
        <f t="shared" si="217"/>
        <v>2.8332920000000001</v>
      </c>
      <c r="I231">
        <f t="shared" si="218"/>
        <v>3.4803499999999996E-4</v>
      </c>
      <c r="J231">
        <f t="shared" si="219"/>
        <v>7.6938500000000003E-4</v>
      </c>
      <c r="K231">
        <f t="shared" si="220"/>
        <v>826.11785600000007</v>
      </c>
      <c r="L231">
        <f>0.05*G66+(1-0.05)*B66</f>
        <v>5.4934499999999991E-4</v>
      </c>
      <c r="M231">
        <f>I66+E66</f>
        <v>7.1515909999999998</v>
      </c>
      <c r="P231" s="21"/>
      <c r="Q231" t="s">
        <v>37</v>
      </c>
      <c r="R231">
        <f t="shared" si="221"/>
        <v>3.4662000000000001E-4</v>
      </c>
      <c r="S231">
        <f t="shared" si="222"/>
        <v>7.7444999999999999E-4</v>
      </c>
      <c r="U231">
        <f t="shared" si="223"/>
        <v>3.5257000000000002E-4</v>
      </c>
      <c r="V231">
        <f t="shared" si="224"/>
        <v>7.7087E-4</v>
      </c>
      <c r="X231">
        <f>0.1*G66+(1-0.1)*B66</f>
        <v>5.5259000000000005E-4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3.4974000000000002E-4</v>
      </c>
      <c r="G237">
        <f t="shared" si="226"/>
        <v>7.8100000000000001E-4</v>
      </c>
      <c r="I237">
        <f t="shared" si="227"/>
        <v>3.6163999999999999E-4</v>
      </c>
      <c r="J237">
        <f t="shared" si="228"/>
        <v>7.7384000000000003E-4</v>
      </c>
      <c r="L237">
        <f>0.2*G66+(1-0.2)*B66</f>
        <v>5.5907999999999999E-4</v>
      </c>
      <c r="P237" s="21"/>
      <c r="Q237" t="s">
        <v>37</v>
      </c>
      <c r="R237">
        <f t="shared" si="229"/>
        <v>3.5285999999999998E-4</v>
      </c>
      <c r="S237">
        <f t="shared" si="230"/>
        <v>7.8754999999999993E-4</v>
      </c>
      <c r="U237">
        <f t="shared" si="231"/>
        <v>3.7071000000000001E-4</v>
      </c>
      <c r="V237">
        <f t="shared" si="232"/>
        <v>7.7680999999999996E-4</v>
      </c>
      <c r="X237">
        <f>0.3*G66+(1-0.3)*B66</f>
        <v>5.6556999999999994E-4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3.4661674999999999E-4</v>
      </c>
      <c r="G244">
        <f t="shared" si="234"/>
        <v>7.7444500000000002E-4</v>
      </c>
      <c r="H244">
        <f t="shared" si="235"/>
        <v>4.2226470000000003</v>
      </c>
      <c r="I244">
        <f t="shared" si="236"/>
        <v>3.5244425000000002E-4</v>
      </c>
      <c r="J244">
        <f t="shared" si="237"/>
        <v>7.7077725000000003E-4</v>
      </c>
      <c r="K244">
        <f t="shared" si="238"/>
        <v>1351.7638460000001</v>
      </c>
      <c r="L244">
        <f>(0.05*(1-0.05)+0.05*(1-0.05))*G66+0.05*0.05*J66+(1-0.05*(1-0.05)-0.05*(1-0.05)-0.05*0.05)*B66</f>
        <v>5.5251924999999999E-4</v>
      </c>
      <c r="M244">
        <f>M66+I66+E66</f>
        <v>10.688326</v>
      </c>
      <c r="O244" s="20"/>
      <c r="P244" s="21"/>
      <c r="Q244" t="s">
        <v>37</v>
      </c>
      <c r="R244">
        <f t="shared" si="239"/>
        <v>3.4972699999999998E-4</v>
      </c>
      <c r="S244">
        <f t="shared" si="240"/>
        <v>7.8098000000000002E-4</v>
      </c>
      <c r="U244">
        <f t="shared" si="241"/>
        <v>3.6113699999999998E-4</v>
      </c>
      <c r="V244">
        <f t="shared" si="242"/>
        <v>7.7346900000000004E-4</v>
      </c>
      <c r="X244">
        <f>(0.1*0.9+0.1*0.9)*G66+0.1*0.1*J66+(1-0.1*0.9-0.1*0.9-0.1*0.1)*B66</f>
        <v>5.5879699999999998E-4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3.5592799999999998E-4</v>
      </c>
      <c r="G250">
        <f t="shared" si="244"/>
        <v>7.9401999999999999E-4</v>
      </c>
      <c r="I250">
        <f t="shared" si="245"/>
        <v>3.7776800000000001E-4</v>
      </c>
      <c r="J250">
        <f t="shared" si="246"/>
        <v>7.7829599999999994E-4</v>
      </c>
      <c r="L250">
        <f>(0.2*0.8+0.2*0.8)*G66+0.2*0.2*J66+(1-0.2*0.8-0.2*0.8-0.2*0.2)*B66</f>
        <v>5.7092799999999995E-4</v>
      </c>
      <c r="O250" s="20"/>
      <c r="P250" s="21"/>
      <c r="Q250" t="s">
        <v>37</v>
      </c>
      <c r="R250">
        <f t="shared" si="247"/>
        <v>3.6210300000000001E-4</v>
      </c>
      <c r="S250">
        <f t="shared" si="248"/>
        <v>8.0702000000000009E-4</v>
      </c>
      <c r="U250">
        <f t="shared" si="249"/>
        <v>3.9339300000000002E-4</v>
      </c>
      <c r="V250">
        <f t="shared" si="250"/>
        <v>7.8238100000000007E-4</v>
      </c>
      <c r="X250">
        <f>(0.3*0.7+0.3*0.7)*G66+0.3*0.3*J66+(1-0.3*0.7-0.3*0.7-0.3*0.3)*B66</f>
        <v>5.8249300000000001E-4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3.4814109999999998E-4</v>
      </c>
      <c r="G257">
        <f t="shared" si="252"/>
        <v>7.7784019999999987E-4</v>
      </c>
      <c r="H257">
        <f t="shared" si="253"/>
        <v>5.3595670000000002</v>
      </c>
      <c r="I257">
        <f t="shared" si="254"/>
        <v>3.5673368749999999E-4</v>
      </c>
      <c r="J257">
        <f t="shared" si="255"/>
        <v>7.7209151249999983E-4</v>
      </c>
      <c r="K257">
        <f t="shared" si="256"/>
        <v>1830.901372</v>
      </c>
      <c r="L257">
        <f>3*0.05*(1-0.05)*(1-0.05)*G66+3*0.05*0.05*(1-0.05)*J66+0.05*0.05*0.05*N66+(1-3*0.05*(1-0.05)*(1-0.05)-3*0.05*0.05*(1-0.05)-0.05*0.05*0.05)*B66</f>
        <v>5.5563006249999996E-4</v>
      </c>
      <c r="M257">
        <f>Q66+M66+I66+E66</f>
        <v>14.306260000000002</v>
      </c>
      <c r="N257" s="24"/>
      <c r="O257" s="20"/>
      <c r="P257" s="21"/>
      <c r="Q257" t="s">
        <v>37</v>
      </c>
      <c r="R257">
        <f t="shared" si="257"/>
        <v>3.5258780000000002E-4</v>
      </c>
      <c r="S257">
        <f t="shared" si="258"/>
        <v>7.8853159999999986E-4</v>
      </c>
      <c r="U257">
        <f t="shared" si="259"/>
        <v>3.6924850000000003E-4</v>
      </c>
      <c r="V257">
        <f t="shared" si="260"/>
        <v>7.7581509999999994E-4</v>
      </c>
      <c r="X257">
        <f>3*0.1*(1-0.1)*(1-0.1)*G66+3*0.1*0.1*(1-0.1)*J66+0.1*0.1*0.1*N66+(1-3*0.1*(1-0.1)*(1-0.1)-3*0.1*0.1*(1-0.1)-0.1*0.1*0.1)*B66</f>
        <v>5.6477950000000002E-4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3.6019839999999997E-4</v>
      </c>
      <c r="G263">
        <f t="shared" si="262"/>
        <v>8.1529279999999996E-4</v>
      </c>
      <c r="I263">
        <f t="shared" si="263"/>
        <v>3.9226400000000002E-4</v>
      </c>
      <c r="J263">
        <f t="shared" si="264"/>
        <v>7.8221279999999996E-4</v>
      </c>
      <c r="L263">
        <f>3*0.2*(1-0.2)*(1-0.2)*G66+3*0.2*0.2*(1-0.2)*J66+0.2*0.2*0.2*N66+(1-3*0.2*(1-0.2)*(1-0.2)-3*0.2*0.2*(1-0.2)-0.2*0.2*0.2)*B66</f>
        <v>5.8211199999999997E-4</v>
      </c>
      <c r="N263" s="24"/>
      <c r="O263" s="20"/>
      <c r="P263" s="21"/>
      <c r="Q263" t="s">
        <v>37</v>
      </c>
      <c r="R263">
        <f t="shared" si="265"/>
        <v>3.6493259999999998E-4</v>
      </c>
      <c r="S263">
        <f t="shared" si="266"/>
        <v>8.544332E-4</v>
      </c>
      <c r="U263">
        <f t="shared" si="267"/>
        <v>4.1283149999999996E-4</v>
      </c>
      <c r="V263">
        <f t="shared" si="268"/>
        <v>7.8780169999999989E-4</v>
      </c>
      <c r="X263">
        <f>3*0.3*(1-0.3)*(1-0.3)*G66+3*0.3*0.3*(1-0.3)*J66+0.3*0.3*0.3*N66+(1-3*0.3*(1-0.3)*(1-0.3)-3*0.3*0.3*(1-0.3)-0.3*0.3*0.3)*B66</f>
        <v>5.9844849999999997E-4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" right="0" top="1" bottom="0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8" customWidth="1"/>
    <col min="6" max="6" width="12.88671875"/>
    <col min="7" max="7" width="24.33203125" customWidth="1"/>
    <col min="8" max="8" width="13.21875" customWidth="1"/>
    <col min="9" max="9" width="12.44140625" customWidth="1"/>
    <col min="10" max="10" width="12.88671875"/>
    <col min="11" max="11" width="11.77734375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96</v>
      </c>
      <c r="C9" s="16"/>
      <c r="D9" s="16"/>
      <c r="E9" s="16"/>
      <c r="F9" s="16" t="s">
        <v>97</v>
      </c>
      <c r="G9" s="16"/>
      <c r="H9" s="16"/>
      <c r="I9" s="16"/>
      <c r="J9" s="16" t="s">
        <v>98</v>
      </c>
      <c r="K9" s="16"/>
      <c r="L9" s="16"/>
      <c r="M9" s="16"/>
      <c r="N9" s="16" t="s">
        <v>99</v>
      </c>
      <c r="O9" s="16"/>
      <c r="P9" s="16"/>
      <c r="Q9" s="16"/>
      <c r="S9" s="22" t="s">
        <v>12</v>
      </c>
      <c r="T9" s="16" t="s">
        <v>96</v>
      </c>
      <c r="U9" s="16"/>
      <c r="V9" s="16"/>
      <c r="W9" s="16"/>
      <c r="X9" s="16" t="s">
        <v>97</v>
      </c>
      <c r="Y9" s="16"/>
      <c r="Z9" s="16"/>
      <c r="AA9" s="16"/>
      <c r="AB9" s="16" t="s">
        <v>98</v>
      </c>
      <c r="AC9" s="16"/>
      <c r="AD9" s="16"/>
      <c r="AE9" s="16"/>
      <c r="AF9" s="16" t="s">
        <v>99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10">
        <v>1.5E-3</v>
      </c>
      <c r="D13" s="10">
        <v>1.5E-3</v>
      </c>
      <c r="E13" s="10">
        <v>0.94707600000000003</v>
      </c>
      <c r="F13" t="s">
        <v>22</v>
      </c>
      <c r="G13" s="10">
        <v>1.6000000000000001E-3</v>
      </c>
      <c r="H13" s="10">
        <v>1.6000000000000001E-3</v>
      </c>
      <c r="I13" s="10">
        <v>1.1919090000000001</v>
      </c>
      <c r="J13" t="s">
        <v>22</v>
      </c>
      <c r="K13" s="10">
        <v>1.8E-3</v>
      </c>
      <c r="L13" s="10">
        <v>1.8E-3</v>
      </c>
      <c r="M13" s="10">
        <v>1.188698</v>
      </c>
      <c r="N13" t="s">
        <v>22</v>
      </c>
      <c r="O13" s="10">
        <v>1.9E-3</v>
      </c>
      <c r="P13" s="10">
        <v>1.9E-3</v>
      </c>
      <c r="Q13" s="10">
        <v>1.18042</v>
      </c>
      <c r="S13" s="22"/>
      <c r="T13" t="s">
        <v>22</v>
      </c>
      <c r="U13">
        <v>1.5E-3</v>
      </c>
      <c r="V13">
        <v>1.5E-3</v>
      </c>
      <c r="W13">
        <v>1.34996</v>
      </c>
      <c r="X13" t="s">
        <v>22</v>
      </c>
      <c r="Y13">
        <v>1.6000000000000001E-3</v>
      </c>
      <c r="Z13">
        <v>1.6000000000000001E-3</v>
      </c>
      <c r="AA13">
        <v>1.3144469999999999</v>
      </c>
      <c r="AB13" t="s">
        <v>22</v>
      </c>
      <c r="AC13">
        <v>1.6999999999999999E-3</v>
      </c>
      <c r="AD13">
        <v>1.6999999999999999E-3</v>
      </c>
      <c r="AE13">
        <v>1.3311569999999999</v>
      </c>
      <c r="AF13" t="s">
        <v>22</v>
      </c>
      <c r="AG13">
        <v>1.8E-3</v>
      </c>
      <c r="AH13">
        <v>1.8E-3</v>
      </c>
      <c r="AI13">
        <v>1.344654</v>
      </c>
    </row>
    <row r="16" spans="1:35" x14ac:dyDescent="0.25">
      <c r="A16" s="18" t="s">
        <v>23</v>
      </c>
      <c r="B16" s="16" t="s">
        <v>96</v>
      </c>
      <c r="C16" s="16"/>
      <c r="D16" s="16"/>
      <c r="E16" s="16"/>
      <c r="F16" s="16" t="s">
        <v>97</v>
      </c>
      <c r="G16" s="16"/>
      <c r="H16" s="16"/>
      <c r="I16" s="16"/>
      <c r="J16" s="16" t="s">
        <v>98</v>
      </c>
      <c r="K16" s="16"/>
      <c r="L16" s="16"/>
      <c r="M16" s="16"/>
      <c r="N16" s="16" t="s">
        <v>99</v>
      </c>
      <c r="O16" s="16"/>
      <c r="P16" s="16"/>
      <c r="Q16" s="16"/>
      <c r="S16" s="18" t="s">
        <v>23</v>
      </c>
      <c r="T16" s="16" t="s">
        <v>96</v>
      </c>
      <c r="U16" s="16"/>
      <c r="V16" s="16"/>
      <c r="W16" s="16"/>
      <c r="X16" s="16" t="s">
        <v>97</v>
      </c>
      <c r="Y16" s="16"/>
      <c r="Z16" s="16"/>
      <c r="AA16" s="16"/>
      <c r="AB16" s="16" t="s">
        <v>98</v>
      </c>
      <c r="AC16" s="16"/>
      <c r="AD16" s="16"/>
      <c r="AE16" s="16"/>
      <c r="AF16" s="16" t="s">
        <v>99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1.5E-3</v>
      </c>
      <c r="D20">
        <v>1.5E-3</v>
      </c>
      <c r="E20">
        <v>4.759023</v>
      </c>
      <c r="F20" t="s">
        <v>22</v>
      </c>
      <c r="G20">
        <v>1.6000000000000001E-3</v>
      </c>
      <c r="H20">
        <v>1.6000000000000001E-3</v>
      </c>
      <c r="I20">
        <v>4.5859899999999998</v>
      </c>
      <c r="J20" t="s">
        <v>22</v>
      </c>
      <c r="K20">
        <v>1.8E-3</v>
      </c>
      <c r="L20">
        <v>1.8E-3</v>
      </c>
      <c r="M20">
        <v>4.750356</v>
      </c>
      <c r="N20" t="s">
        <v>22</v>
      </c>
      <c r="O20">
        <v>1.9E-3</v>
      </c>
      <c r="P20">
        <v>1.9E-3</v>
      </c>
      <c r="Q20">
        <v>4.470351</v>
      </c>
      <c r="S20" s="18"/>
      <c r="T20" t="s">
        <v>22</v>
      </c>
      <c r="U20">
        <v>1.5E-3</v>
      </c>
      <c r="V20">
        <v>1.5E-3</v>
      </c>
      <c r="W20">
        <v>126.047701</v>
      </c>
      <c r="X20" t="s">
        <v>22</v>
      </c>
      <c r="Y20">
        <v>1.6000000000000001E-3</v>
      </c>
      <c r="Z20">
        <v>1.6999999999999999E-3</v>
      </c>
      <c r="AA20">
        <v>113.113968</v>
      </c>
      <c r="AB20" t="s">
        <v>22</v>
      </c>
      <c r="AC20">
        <v>1.6999999999999999E-3</v>
      </c>
      <c r="AD20">
        <v>1.6999999999999999E-3</v>
      </c>
      <c r="AE20">
        <v>92.19135</v>
      </c>
      <c r="AF20" t="s">
        <v>22</v>
      </c>
      <c r="AG20">
        <v>1.8E-3</v>
      </c>
      <c r="AH20">
        <v>1.8E-3</v>
      </c>
      <c r="AI20">
        <v>91.325406999999998</v>
      </c>
    </row>
    <row r="23" spans="1:35" x14ac:dyDescent="0.25">
      <c r="A23" s="23" t="s">
        <v>24</v>
      </c>
      <c r="B23" s="16" t="s">
        <v>96</v>
      </c>
      <c r="C23" s="16"/>
      <c r="D23" s="16"/>
      <c r="E23" s="16"/>
      <c r="F23" s="16" t="s">
        <v>97</v>
      </c>
      <c r="G23" s="16"/>
      <c r="H23" s="16"/>
      <c r="I23" s="16"/>
      <c r="J23" s="16" t="s">
        <v>98</v>
      </c>
      <c r="K23" s="16"/>
      <c r="L23" s="16"/>
      <c r="M23" s="16"/>
      <c r="N23" s="16" t="s">
        <v>99</v>
      </c>
      <c r="O23" s="16"/>
      <c r="P23" s="16"/>
      <c r="Q23" s="16"/>
      <c r="S23" s="23" t="s">
        <v>24</v>
      </c>
      <c r="T23" s="16" t="s">
        <v>96</v>
      </c>
      <c r="U23" s="16"/>
      <c r="V23" s="16"/>
      <c r="W23" s="16"/>
      <c r="X23" s="16" t="s">
        <v>97</v>
      </c>
      <c r="Y23" s="16"/>
      <c r="Z23" s="16"/>
      <c r="AA23" s="16"/>
      <c r="AB23" s="16" t="s">
        <v>98</v>
      </c>
      <c r="AC23" s="16"/>
      <c r="AD23" s="16"/>
      <c r="AE23" s="16"/>
      <c r="AF23" s="16" t="s">
        <v>99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25">
        <v>1.5E-3</v>
      </c>
      <c r="C25" s="26"/>
      <c r="D25" s="26"/>
      <c r="E25">
        <v>3.0473560000000002</v>
      </c>
      <c r="F25" s="6">
        <v>1.6000000000000001E-3</v>
      </c>
      <c r="G25" s="6"/>
      <c r="H25" s="6"/>
      <c r="I25">
        <v>3.3850009999999999</v>
      </c>
      <c r="J25" s="6">
        <v>1.8E-3</v>
      </c>
      <c r="K25" s="6"/>
      <c r="L25" s="6"/>
      <c r="M25">
        <v>3.2957380000000001</v>
      </c>
      <c r="N25" s="6">
        <v>1.9E-3</v>
      </c>
      <c r="O25" s="6"/>
      <c r="P25" s="6"/>
      <c r="Q25">
        <v>4.0317980000000002</v>
      </c>
      <c r="S25" s="23"/>
      <c r="T25" s="6">
        <v>1.5E-3</v>
      </c>
      <c r="U25" s="6"/>
      <c r="V25" s="6"/>
      <c r="W25">
        <v>4.1045819999999997</v>
      </c>
      <c r="X25" s="6">
        <v>1.6000000000000001E-3</v>
      </c>
      <c r="Y25" s="6"/>
      <c r="Z25" s="6"/>
      <c r="AA25">
        <v>3.2640709999999999</v>
      </c>
      <c r="AB25" s="6">
        <v>1.6999999999999999E-3</v>
      </c>
      <c r="AC25" s="6"/>
      <c r="AD25" s="6"/>
      <c r="AE25">
        <v>3.2508880000000002</v>
      </c>
      <c r="AF25" s="6">
        <v>1.8E-3</v>
      </c>
      <c r="AG25" s="6"/>
      <c r="AH25" s="6"/>
      <c r="AI25">
        <v>4.0218170000000004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96</v>
      </c>
      <c r="C30" s="16"/>
      <c r="D30" s="16"/>
      <c r="E30" s="16"/>
      <c r="F30" s="16" t="s">
        <v>97</v>
      </c>
      <c r="G30" s="16"/>
      <c r="H30" s="16"/>
      <c r="I30" s="16"/>
      <c r="J30" s="16" t="s">
        <v>98</v>
      </c>
      <c r="K30" s="16"/>
      <c r="L30" s="16"/>
      <c r="M30" s="16"/>
      <c r="N30" s="16" t="s">
        <v>99</v>
      </c>
      <c r="O30" s="16"/>
      <c r="P30" s="16"/>
      <c r="Q30" s="16"/>
      <c r="S30" s="22" t="s">
        <v>12</v>
      </c>
      <c r="T30" s="16" t="s">
        <v>96</v>
      </c>
      <c r="U30" s="16"/>
      <c r="V30" s="16"/>
      <c r="W30" s="16"/>
      <c r="X30" s="16" t="s">
        <v>97</v>
      </c>
      <c r="Y30" s="16"/>
      <c r="Z30" s="16"/>
      <c r="AA30" s="16"/>
      <c r="AB30" s="16" t="s">
        <v>98</v>
      </c>
      <c r="AC30" s="16"/>
      <c r="AD30" s="16"/>
      <c r="AE30" s="16"/>
      <c r="AF30" s="16" t="s">
        <v>99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1.2999999999999999E-3</v>
      </c>
      <c r="D34">
        <v>1.4E-3</v>
      </c>
      <c r="E34">
        <v>1.3343119999999999</v>
      </c>
      <c r="F34" t="s">
        <v>22</v>
      </c>
      <c r="G34">
        <v>1.4E-3</v>
      </c>
      <c r="H34">
        <v>1.5E-3</v>
      </c>
      <c r="I34">
        <v>1.3262940000000001</v>
      </c>
      <c r="J34" t="s">
        <v>22</v>
      </c>
      <c r="K34" s="8">
        <v>1.5E-3</v>
      </c>
      <c r="L34" s="11">
        <v>1.6000000000000001E-3</v>
      </c>
      <c r="M34">
        <v>1.3296319999999999</v>
      </c>
      <c r="N34" t="s">
        <v>22</v>
      </c>
      <c r="O34">
        <v>1.6000000000000001E-3</v>
      </c>
      <c r="P34">
        <v>1.6999999999999999E-3</v>
      </c>
      <c r="Q34">
        <v>1.176485</v>
      </c>
      <c r="S34" s="22"/>
      <c r="T34" t="s">
        <v>22</v>
      </c>
      <c r="U34">
        <v>8.0000000000000004E-4</v>
      </c>
      <c r="V34">
        <v>1.1000000000000001E-3</v>
      </c>
      <c r="W34">
        <v>1.0623370000000001</v>
      </c>
      <c r="X34" t="s">
        <v>22</v>
      </c>
      <c r="Y34">
        <v>8.0000000000000004E-4</v>
      </c>
      <c r="Z34">
        <v>1.1999999999999999E-3</v>
      </c>
      <c r="AA34">
        <v>1.32243</v>
      </c>
      <c r="AB34" t="s">
        <v>22</v>
      </c>
      <c r="AC34">
        <v>8.9999999999999998E-4</v>
      </c>
      <c r="AD34">
        <v>1.2999999999999999E-3</v>
      </c>
      <c r="AE34">
        <v>1.3581000000000001</v>
      </c>
      <c r="AF34" t="s">
        <v>22</v>
      </c>
      <c r="AG34">
        <v>1E-3</v>
      </c>
      <c r="AH34" s="11">
        <v>1.4E-3</v>
      </c>
      <c r="AI34">
        <v>1.3257730000000001</v>
      </c>
    </row>
    <row r="37" spans="1:35" x14ac:dyDescent="0.25">
      <c r="A37" s="18" t="s">
        <v>23</v>
      </c>
      <c r="B37" s="16" t="s">
        <v>96</v>
      </c>
      <c r="C37" s="16"/>
      <c r="D37" s="16"/>
      <c r="E37" s="16"/>
      <c r="F37" s="16" t="s">
        <v>97</v>
      </c>
      <c r="G37" s="16"/>
      <c r="H37" s="16"/>
      <c r="I37" s="16"/>
      <c r="J37" s="16" t="s">
        <v>98</v>
      </c>
      <c r="K37" s="16"/>
      <c r="L37" s="16"/>
      <c r="M37" s="16"/>
      <c r="N37" s="16" t="s">
        <v>99</v>
      </c>
      <c r="O37" s="16"/>
      <c r="P37" s="16"/>
      <c r="Q37" s="16"/>
      <c r="S37" s="18" t="s">
        <v>23</v>
      </c>
      <c r="T37" s="16" t="s">
        <v>96</v>
      </c>
      <c r="U37" s="16"/>
      <c r="V37" s="16"/>
      <c r="W37" s="16"/>
      <c r="X37" s="16" t="s">
        <v>97</v>
      </c>
      <c r="Y37" s="16"/>
      <c r="Z37" s="16"/>
      <c r="AA37" s="16"/>
      <c r="AB37" s="16" t="s">
        <v>98</v>
      </c>
      <c r="AC37" s="16"/>
      <c r="AD37" s="16"/>
      <c r="AE37" s="16"/>
      <c r="AF37" s="16" t="s">
        <v>99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1.2999999999999999E-3</v>
      </c>
      <c r="D41" s="8">
        <v>1.5E-3</v>
      </c>
      <c r="E41">
        <v>137.345044</v>
      </c>
      <c r="F41" t="s">
        <v>22</v>
      </c>
      <c r="G41">
        <v>1.4E-3</v>
      </c>
      <c r="H41">
        <v>1.5E-3</v>
      </c>
      <c r="I41">
        <v>109.729518</v>
      </c>
      <c r="J41" t="s">
        <v>22</v>
      </c>
      <c r="K41" s="8">
        <v>1.5E-3</v>
      </c>
      <c r="L41" s="8">
        <v>1.6000000000000001E-3</v>
      </c>
      <c r="M41">
        <v>104.411344</v>
      </c>
      <c r="N41" t="s">
        <v>22</v>
      </c>
      <c r="O41">
        <v>1.6000000000000001E-3</v>
      </c>
      <c r="P41" s="8">
        <v>1.8E-3</v>
      </c>
      <c r="Q41">
        <v>117.763192</v>
      </c>
      <c r="S41" s="18"/>
      <c r="T41" t="s">
        <v>22</v>
      </c>
      <c r="U41">
        <v>8.0000000000000004E-4</v>
      </c>
      <c r="V41">
        <v>1.1000000000000001E-3</v>
      </c>
      <c r="W41" s="8">
        <v>116.392145</v>
      </c>
      <c r="X41" t="s">
        <v>22</v>
      </c>
      <c r="Y41">
        <v>8.9999999999999998E-4</v>
      </c>
      <c r="Z41">
        <v>1.1999999999999999E-3</v>
      </c>
      <c r="AA41">
        <v>123.568417</v>
      </c>
      <c r="AB41" t="s">
        <v>22</v>
      </c>
      <c r="AC41">
        <v>1E-3</v>
      </c>
      <c r="AD41">
        <v>1.2999999999999999E-3</v>
      </c>
      <c r="AE41">
        <v>114.427182</v>
      </c>
      <c r="AF41" t="s">
        <v>22</v>
      </c>
      <c r="AG41">
        <v>1E-3</v>
      </c>
      <c r="AH41" s="11">
        <v>1.4E-3</v>
      </c>
      <c r="AI41">
        <v>139.66876099999999</v>
      </c>
    </row>
    <row r="44" spans="1:35" x14ac:dyDescent="0.25">
      <c r="A44" s="23" t="s">
        <v>24</v>
      </c>
      <c r="B44" s="16" t="s">
        <v>96</v>
      </c>
      <c r="C44" s="16"/>
      <c r="D44" s="16"/>
      <c r="E44" s="16"/>
      <c r="F44" s="16" t="s">
        <v>97</v>
      </c>
      <c r="G44" s="16"/>
      <c r="H44" s="16"/>
      <c r="I44" s="16"/>
      <c r="J44" s="16" t="s">
        <v>98</v>
      </c>
      <c r="K44" s="16"/>
      <c r="L44" s="16"/>
      <c r="M44" s="16"/>
      <c r="N44" s="16" t="s">
        <v>99</v>
      </c>
      <c r="O44" s="16"/>
      <c r="P44" s="16"/>
      <c r="Q44" s="16"/>
      <c r="S44" s="23" t="s">
        <v>24</v>
      </c>
      <c r="T44" s="16" t="s">
        <v>96</v>
      </c>
      <c r="U44" s="16"/>
      <c r="V44" s="16"/>
      <c r="W44" s="16"/>
      <c r="X44" s="16" t="s">
        <v>97</v>
      </c>
      <c r="Y44" s="16"/>
      <c r="Z44" s="16"/>
      <c r="AA44" s="16"/>
      <c r="AB44" s="16" t="s">
        <v>98</v>
      </c>
      <c r="AC44" s="16"/>
      <c r="AD44" s="16"/>
      <c r="AE44" s="16"/>
      <c r="AF44" s="16" t="s">
        <v>99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6">
        <v>1.4E-3</v>
      </c>
      <c r="C46" s="6"/>
      <c r="D46" s="6"/>
      <c r="E46">
        <v>3.0969500000000001</v>
      </c>
      <c r="F46" s="6">
        <v>1.4E-3</v>
      </c>
      <c r="G46" s="6"/>
      <c r="H46" s="6"/>
      <c r="I46">
        <v>4.1044770000000002</v>
      </c>
      <c r="J46" s="6">
        <v>1.5E-3</v>
      </c>
      <c r="K46" s="6"/>
      <c r="L46" s="6"/>
      <c r="M46">
        <v>4.0762239999999998</v>
      </c>
      <c r="N46" s="6">
        <v>1.6000000000000001E-3</v>
      </c>
      <c r="O46" s="6"/>
      <c r="P46" s="6"/>
      <c r="Q46">
        <v>3.269844</v>
      </c>
      <c r="S46" s="23"/>
      <c r="T46" s="6">
        <v>1E-3</v>
      </c>
      <c r="U46" s="6"/>
      <c r="V46" s="6"/>
      <c r="W46">
        <v>3.8749449999999999</v>
      </c>
      <c r="X46" s="6">
        <v>1.1000000000000001E-3</v>
      </c>
      <c r="Y46" s="6"/>
      <c r="Z46" s="6"/>
      <c r="AA46">
        <v>3.4191980000000002</v>
      </c>
      <c r="AB46" s="6">
        <v>1.1999999999999999E-3</v>
      </c>
      <c r="AC46" s="6"/>
      <c r="AD46" s="6"/>
      <c r="AE46">
        <v>3.3398949999999998</v>
      </c>
      <c r="AF46" s="6">
        <v>1.2999999999999999E-3</v>
      </c>
      <c r="AG46" s="6"/>
      <c r="AH46" s="6"/>
      <c r="AI46">
        <v>4.0839879999999997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96</v>
      </c>
      <c r="C50" s="16"/>
      <c r="D50" s="16"/>
      <c r="E50" s="16"/>
      <c r="F50" s="16" t="s">
        <v>97</v>
      </c>
      <c r="G50" s="16"/>
      <c r="H50" s="16"/>
      <c r="I50" s="16"/>
      <c r="J50" s="16" t="s">
        <v>98</v>
      </c>
      <c r="K50" s="16"/>
      <c r="L50" s="16"/>
      <c r="M50" s="16"/>
      <c r="N50" s="16" t="s">
        <v>99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3.435E-4</v>
      </c>
      <c r="D54" s="2">
        <v>7.2300000000000001E-4</v>
      </c>
      <c r="E54">
        <v>1.3310759999999999</v>
      </c>
      <c r="F54" t="s">
        <v>22</v>
      </c>
      <c r="G54" s="2">
        <v>3.7659999999999999E-4</v>
      </c>
      <c r="H54" s="2">
        <v>7.9009999999999996E-4</v>
      </c>
      <c r="I54">
        <v>1.0580229999999999</v>
      </c>
      <c r="J54" t="s">
        <v>22</v>
      </c>
      <c r="K54" s="2">
        <v>4.083E-4</v>
      </c>
      <c r="L54" s="2">
        <v>8.5479999999999996E-4</v>
      </c>
      <c r="M54">
        <v>1.3314809999999999</v>
      </c>
      <c r="N54" t="s">
        <v>22</v>
      </c>
      <c r="O54" s="2">
        <v>4.3859999999999998E-4</v>
      </c>
      <c r="P54" s="2">
        <v>9.1739999999999996E-4</v>
      </c>
      <c r="Q54">
        <v>1.3284</v>
      </c>
    </row>
    <row r="57" spans="1:17" x14ac:dyDescent="0.25">
      <c r="A57" s="18" t="s">
        <v>23</v>
      </c>
      <c r="B57" s="16" t="s">
        <v>96</v>
      </c>
      <c r="C57" s="16"/>
      <c r="D57" s="16"/>
      <c r="E57" s="16"/>
      <c r="F57" s="16" t="s">
        <v>97</v>
      </c>
      <c r="G57" s="16"/>
      <c r="H57" s="16"/>
      <c r="I57" s="16"/>
      <c r="J57" s="16" t="s">
        <v>98</v>
      </c>
      <c r="K57" s="16"/>
      <c r="L57" s="16"/>
      <c r="M57" s="16"/>
      <c r="N57" s="16" t="s">
        <v>99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3.435E-4</v>
      </c>
      <c r="D61" s="2">
        <v>7.2320000000000001E-4</v>
      </c>
      <c r="E61">
        <v>113.56341</v>
      </c>
      <c r="F61" t="s">
        <v>22</v>
      </c>
      <c r="G61" s="2">
        <v>4.2989999999999999E-4</v>
      </c>
      <c r="H61" s="2">
        <v>7.5790000000000005E-4</v>
      </c>
      <c r="I61">
        <v>143.95960600000001</v>
      </c>
      <c r="J61" t="s">
        <v>22</v>
      </c>
      <c r="K61" s="2">
        <v>4.729E-4</v>
      </c>
      <c r="L61" s="2">
        <v>7.5810000000000005E-4</v>
      </c>
      <c r="M61">
        <v>111.85176800000001</v>
      </c>
      <c r="N61" t="s">
        <v>22</v>
      </c>
      <c r="O61" s="2">
        <v>5.1159999999999997E-4</v>
      </c>
      <c r="P61" s="2">
        <v>8.317E-4</v>
      </c>
      <c r="Q61">
        <v>112.432778</v>
      </c>
    </row>
    <row r="64" spans="1:17" x14ac:dyDescent="0.25">
      <c r="A64" s="23" t="s">
        <v>24</v>
      </c>
      <c r="B64" s="16" t="s">
        <v>96</v>
      </c>
      <c r="C64" s="16"/>
      <c r="D64" s="16"/>
      <c r="E64" s="16"/>
      <c r="F64" s="16" t="s">
        <v>97</v>
      </c>
      <c r="G64" s="16"/>
      <c r="H64" s="16"/>
      <c r="I64" s="16"/>
      <c r="J64" s="16" t="s">
        <v>98</v>
      </c>
      <c r="K64" s="16"/>
      <c r="L64" s="16"/>
      <c r="M64" s="16"/>
      <c r="N64" s="16" t="s">
        <v>99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5.3490000000000005E-4</v>
      </c>
      <c r="C66" s="6"/>
      <c r="D66" s="6"/>
      <c r="E66">
        <v>2.9059840000000001</v>
      </c>
      <c r="F66" s="3">
        <v>5.9049999999999999E-4</v>
      </c>
      <c r="G66" s="6"/>
      <c r="H66" s="6"/>
      <c r="I66">
        <v>3.7157149999999999</v>
      </c>
      <c r="J66" s="3">
        <v>6.38E-4</v>
      </c>
      <c r="K66" s="6"/>
      <c r="L66" s="6"/>
      <c r="M66">
        <v>3.5741770000000002</v>
      </c>
      <c r="N66" s="3">
        <v>6.847E-4</v>
      </c>
      <c r="O66" s="6"/>
      <c r="P66" s="6"/>
      <c r="Q66">
        <v>3.6295380000000002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1.505E-3</v>
      </c>
      <c r="G75">
        <f t="shared" si="1"/>
        <v>1.505E-3</v>
      </c>
      <c r="H75">
        <f t="shared" si="2"/>
        <v>2.1389849999999999</v>
      </c>
      <c r="I75">
        <f t="shared" si="3"/>
        <v>1.505E-3</v>
      </c>
      <c r="J75">
        <f t="shared" si="4"/>
        <v>1.505E-3</v>
      </c>
      <c r="K75">
        <f t="shared" si="5"/>
        <v>9.3450129999999998</v>
      </c>
      <c r="L75">
        <f>0.05*F25+(1-0.05)*B25</f>
        <v>1.505E-3</v>
      </c>
      <c r="M75">
        <f>I25+E25</f>
        <v>6.4323569999999997</v>
      </c>
      <c r="P75" s="21"/>
      <c r="Q75" t="s">
        <v>37</v>
      </c>
      <c r="R75">
        <f t="shared" si="6"/>
        <v>1.5100000000000001E-3</v>
      </c>
      <c r="S75">
        <f t="shared" si="7"/>
        <v>1.5100000000000001E-3</v>
      </c>
      <c r="U75">
        <f t="shared" si="8"/>
        <v>1.5100000000000001E-3</v>
      </c>
      <c r="V75">
        <f t="shared" si="9"/>
        <v>1.5100000000000001E-3</v>
      </c>
      <c r="X75">
        <f>0.1*F25+(1-0.1)*B25</f>
        <v>1.5100000000000001E-3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1.5200000000000001E-3</v>
      </c>
      <c r="G81">
        <f t="shared" si="11"/>
        <v>1.5200000000000001E-3</v>
      </c>
      <c r="I81">
        <f t="shared" si="12"/>
        <v>1.5200000000000001E-3</v>
      </c>
      <c r="J81">
        <f t="shared" si="13"/>
        <v>1.5200000000000001E-3</v>
      </c>
      <c r="L81">
        <f>0.2*F25+(1-0.2)*B25</f>
        <v>1.5200000000000001E-3</v>
      </c>
      <c r="P81" s="21"/>
      <c r="Q81" t="s">
        <v>37</v>
      </c>
      <c r="R81">
        <f t="shared" si="14"/>
        <v>1.5299999999999999E-3</v>
      </c>
      <c r="S81">
        <f t="shared" si="15"/>
        <v>1.5299999999999999E-3</v>
      </c>
      <c r="U81">
        <f t="shared" si="16"/>
        <v>1.5299999999999999E-3</v>
      </c>
      <c r="V81">
        <f t="shared" si="17"/>
        <v>1.5299999999999999E-3</v>
      </c>
      <c r="X81">
        <f>0.3*F25+(1-0.3)*B25</f>
        <v>1.5299999999999999E-3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1.5102500000000001E-3</v>
      </c>
      <c r="G88">
        <f t="shared" si="19"/>
        <v>1.5102500000000001E-3</v>
      </c>
      <c r="H88">
        <f t="shared" si="20"/>
        <v>3.3276830000000004</v>
      </c>
      <c r="I88">
        <f t="shared" si="21"/>
        <v>1.5102500000000001E-3</v>
      </c>
      <c r="J88">
        <f t="shared" si="22"/>
        <v>1.5102500000000001E-3</v>
      </c>
      <c r="K88">
        <f t="shared" si="23"/>
        <v>14.095368999999998</v>
      </c>
      <c r="L88">
        <f>(0.05*(1-0.05)+0.05*(1-0.05))*F25+0.05*0.05*J25+(1-0.05*(1-0.05)-0.05*(1-0.05)-0.05*0.05)*B25</f>
        <v>1.5102500000000001E-3</v>
      </c>
      <c r="M88">
        <f>M25+I25+E25</f>
        <v>9.7280949999999997</v>
      </c>
      <c r="O88" s="20"/>
      <c r="P88" s="21"/>
      <c r="Q88" t="s">
        <v>37</v>
      </c>
      <c r="R88">
        <f t="shared" si="24"/>
        <v>1.5210000000000002E-3</v>
      </c>
      <c r="S88">
        <f t="shared" si="25"/>
        <v>1.5210000000000002E-3</v>
      </c>
      <c r="U88">
        <f t="shared" si="26"/>
        <v>1.5210000000000002E-3</v>
      </c>
      <c r="V88">
        <f t="shared" si="27"/>
        <v>1.5210000000000002E-3</v>
      </c>
      <c r="X88">
        <f>(0.1*0.9+0.1*0.9)*F25+0.1*0.1*J25+(1-0.1*0.9-0.1*0.9-0.1*0.1)*B25</f>
        <v>1.5210000000000002E-3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1.544E-3</v>
      </c>
      <c r="G94">
        <f t="shared" si="29"/>
        <v>1.544E-3</v>
      </c>
      <c r="I94">
        <f t="shared" si="30"/>
        <v>1.544E-3</v>
      </c>
      <c r="J94">
        <f t="shared" si="31"/>
        <v>1.544E-3</v>
      </c>
      <c r="L94">
        <f>(0.2*0.8+0.2*0.8)*F25+0.2*0.2*J25+(1-0.2*0.8-0.2*0.8-0.2*0.2)*B25</f>
        <v>1.544E-3</v>
      </c>
      <c r="O94" s="20"/>
      <c r="P94" s="21"/>
      <c r="Q94" t="s">
        <v>37</v>
      </c>
      <c r="R94">
        <f t="shared" si="32"/>
        <v>1.5690000000000001E-3</v>
      </c>
      <c r="S94">
        <f t="shared" si="33"/>
        <v>1.5690000000000001E-3</v>
      </c>
      <c r="U94">
        <f t="shared" si="34"/>
        <v>1.5690000000000001E-3</v>
      </c>
      <c r="V94">
        <f t="shared" si="35"/>
        <v>1.5690000000000001E-3</v>
      </c>
      <c r="X94">
        <f>(0.3*0.7+0.3*0.7)*F25+0.3*0.3*J25+(1-0.3*0.7-0.3*0.7-0.3*0.3)*B25</f>
        <v>1.5690000000000001E-3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1.5157249999999999E-3</v>
      </c>
      <c r="G101">
        <f t="shared" si="37"/>
        <v>1.5157249999999999E-3</v>
      </c>
      <c r="H101">
        <f t="shared" si="38"/>
        <v>4.5081030000000002</v>
      </c>
      <c r="I101">
        <f t="shared" si="39"/>
        <v>1.5157249999999999E-3</v>
      </c>
      <c r="J101">
        <f t="shared" si="40"/>
        <v>1.5157249999999999E-3</v>
      </c>
      <c r="K101">
        <f t="shared" si="41"/>
        <v>18.565719999999999</v>
      </c>
      <c r="L101">
        <f>3*0.05*(1-0.05)*(1-0.05)*F25+3*0.05*0.05*(1-0.05)*J25+0.05*0.05*0.05*N25+(1-3*0.05*(1-0.05)*(1-0.05)-3*0.05*0.05*(1-0.05)-0.05*0.05*0.05)*B25</f>
        <v>1.5157249999999999E-3</v>
      </c>
      <c r="M101">
        <f>Q25+M25+I25+E25</f>
        <v>13.759893000000002</v>
      </c>
      <c r="N101" s="24"/>
      <c r="O101" s="20"/>
      <c r="P101" s="21"/>
      <c r="Q101" t="s">
        <v>37</v>
      </c>
      <c r="R101">
        <f t="shared" si="42"/>
        <v>1.5328E-3</v>
      </c>
      <c r="S101">
        <f t="shared" si="43"/>
        <v>1.5328E-3</v>
      </c>
      <c r="U101">
        <f t="shared" si="44"/>
        <v>1.5328E-3</v>
      </c>
      <c r="V101">
        <f t="shared" si="45"/>
        <v>1.5328E-3</v>
      </c>
      <c r="X101">
        <f>3*0.1*(1-0.1)*(1-0.1)*F25+3*0.1*0.1*(1-0.1)*J25+0.1*0.1*0.1*N25+(1-3*0.1*(1-0.1)*(1-0.1)-3*0.1*0.1*(1-0.1)-0.1*0.1*0.1)*B25</f>
        <v>1.5328E-3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1.5704E-3</v>
      </c>
      <c r="G107">
        <f t="shared" si="47"/>
        <v>1.5704E-3</v>
      </c>
      <c r="I107">
        <f t="shared" si="48"/>
        <v>1.5704E-3</v>
      </c>
      <c r="J107">
        <f t="shared" si="49"/>
        <v>1.5704E-3</v>
      </c>
      <c r="L107">
        <f>3*0.2*(1-0.2)*(1-0.2)*F25+3*0.2*0.2*(1-0.2)*J25+0.2*0.2*0.2*N25+(1-3*0.2*(1-0.2)*(1-0.2)-3*0.2*0.2*(1-0.2)-0.2*0.2*0.2)*B25</f>
        <v>1.5704E-3</v>
      </c>
      <c r="N107" s="24"/>
      <c r="O107" s="20"/>
      <c r="P107" s="21"/>
      <c r="Q107" t="s">
        <v>37</v>
      </c>
      <c r="R107">
        <f t="shared" si="50"/>
        <v>1.6116000000000004E-3</v>
      </c>
      <c r="S107">
        <f t="shared" si="51"/>
        <v>1.6116000000000004E-3</v>
      </c>
      <c r="U107">
        <f t="shared" si="52"/>
        <v>1.6116000000000004E-3</v>
      </c>
      <c r="V107">
        <f t="shared" si="53"/>
        <v>1.6116000000000004E-3</v>
      </c>
      <c r="X107">
        <f>3*0.3*(1-0.3)*(1-0.3)*F25+3*0.3*0.3*(1-0.3)*J25+0.3*0.3*0.3*N25+(1-3*0.3*(1-0.3)*(1-0.3)-3*0.3*0.3*(1-0.3)-0.3*0.3*0.3)*B25</f>
        <v>1.6116000000000004E-3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1.505E-3</v>
      </c>
      <c r="G114">
        <f t="shared" si="55"/>
        <v>1.505E-3</v>
      </c>
      <c r="H114">
        <f t="shared" si="56"/>
        <v>2.6644069999999997</v>
      </c>
      <c r="I114">
        <f t="shared" si="57"/>
        <v>1.505E-3</v>
      </c>
      <c r="J114">
        <f t="shared" si="58"/>
        <v>1.5100000000000001E-3</v>
      </c>
      <c r="K114">
        <f t="shared" si="59"/>
        <v>239.16166900000002</v>
      </c>
      <c r="L114">
        <f>0.05*X25+(1-0.05)*T25</f>
        <v>1.505E-3</v>
      </c>
      <c r="M114">
        <f>AA25+W25</f>
        <v>7.3686530000000001</v>
      </c>
      <c r="P114" s="21"/>
      <c r="Q114" t="s">
        <v>37</v>
      </c>
      <c r="R114">
        <f t="shared" si="60"/>
        <v>1.5100000000000001E-3</v>
      </c>
      <c r="S114">
        <f t="shared" si="61"/>
        <v>1.5100000000000001E-3</v>
      </c>
      <c r="U114">
        <f t="shared" si="62"/>
        <v>1.5100000000000001E-3</v>
      </c>
      <c r="V114">
        <f t="shared" si="63"/>
        <v>1.5200000000000001E-3</v>
      </c>
      <c r="X114">
        <f>0.1*X25+(1-0.1)*T25</f>
        <v>1.5100000000000001E-3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1.5200000000000001E-3</v>
      </c>
      <c r="G120">
        <f t="shared" si="65"/>
        <v>1.5200000000000001E-3</v>
      </c>
      <c r="I120">
        <f t="shared" si="66"/>
        <v>1.5200000000000001E-3</v>
      </c>
      <c r="J120">
        <f t="shared" si="67"/>
        <v>1.5400000000000001E-3</v>
      </c>
      <c r="L120">
        <f>0.2*X25+(1-0.2)*T25</f>
        <v>1.5200000000000001E-3</v>
      </c>
      <c r="P120" s="21"/>
      <c r="Q120" t="s">
        <v>37</v>
      </c>
      <c r="R120">
        <f t="shared" si="68"/>
        <v>1.5299999999999999E-3</v>
      </c>
      <c r="S120">
        <f t="shared" si="69"/>
        <v>1.5299999999999999E-3</v>
      </c>
      <c r="U120">
        <f t="shared" si="70"/>
        <v>1.5299999999999999E-3</v>
      </c>
      <c r="V120">
        <f t="shared" si="71"/>
        <v>1.5599999999999998E-3</v>
      </c>
      <c r="X120">
        <f>0.3*X25+(1-0.3)*T25</f>
        <v>1.5299999999999999E-3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1.5100000000000001E-3</v>
      </c>
      <c r="G127">
        <f t="shared" si="73"/>
        <v>1.5100000000000001E-3</v>
      </c>
      <c r="H127">
        <f t="shared" si="74"/>
        <v>3.9955639999999999</v>
      </c>
      <c r="I127">
        <f t="shared" si="75"/>
        <v>1.5100000000000001E-3</v>
      </c>
      <c r="J127">
        <f t="shared" si="76"/>
        <v>1.5195E-3</v>
      </c>
      <c r="K127">
        <f t="shared" si="77"/>
        <v>331.35301900000002</v>
      </c>
      <c r="L127">
        <f>(0.05*(1-0.05)+0.05*(1-0.05))*X25+0.05*0.05*AB25+(1-0.05*(1-0.05)-0.05*(1-0.05)-0.05*0.05)*T25</f>
        <v>1.5100000000000001E-3</v>
      </c>
      <c r="M127">
        <f>AE25+AA25+W25</f>
        <v>10.619541</v>
      </c>
      <c r="O127" s="20"/>
      <c r="P127" s="21"/>
      <c r="Q127" t="s">
        <v>37</v>
      </c>
      <c r="R127">
        <f t="shared" si="78"/>
        <v>1.5200000000000001E-3</v>
      </c>
      <c r="S127">
        <f t="shared" si="79"/>
        <v>1.5200000000000001E-3</v>
      </c>
      <c r="U127">
        <f t="shared" si="80"/>
        <v>1.5200000000000001E-3</v>
      </c>
      <c r="V127">
        <f t="shared" si="81"/>
        <v>1.5380000000000001E-3</v>
      </c>
      <c r="X127">
        <f>(0.1*0.9+0.1*0.9)*X25+0.1*0.1*AB25+(1-0.1*0.9-0.1*0.9-0.1*0.1)*T25</f>
        <v>1.5200000000000001E-3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1.5400000000000001E-3</v>
      </c>
      <c r="G133">
        <f t="shared" si="83"/>
        <v>1.5400000000000001E-3</v>
      </c>
      <c r="I133">
        <f t="shared" si="84"/>
        <v>1.5400000000000001E-3</v>
      </c>
      <c r="J133">
        <f t="shared" si="85"/>
        <v>1.572E-3</v>
      </c>
      <c r="L133">
        <f>(0.2*0.8+0.2*0.8)*X25+0.2*0.2*AB25+(1-0.2*0.8-0.2*0.8-0.2*0.2)*T25</f>
        <v>1.5400000000000001E-3</v>
      </c>
      <c r="O133" s="20"/>
      <c r="P133" s="21"/>
      <c r="Q133" t="s">
        <v>37</v>
      </c>
      <c r="R133">
        <f t="shared" si="86"/>
        <v>1.5600000000000002E-3</v>
      </c>
      <c r="S133">
        <f t="shared" si="87"/>
        <v>1.5600000000000002E-3</v>
      </c>
      <c r="U133">
        <f t="shared" si="88"/>
        <v>1.5600000000000002E-3</v>
      </c>
      <c r="V133">
        <f t="shared" si="89"/>
        <v>1.6020000000000001E-3</v>
      </c>
      <c r="X133">
        <f>(0.3*0.7+0.3*0.7)*X25+0.3*0.3*AB25+(1-0.3*0.7-0.3*0.7-0.3*0.3)*T25</f>
        <v>1.5600000000000002E-3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1.5149999999999999E-3</v>
      </c>
      <c r="G140">
        <f t="shared" si="91"/>
        <v>1.5149999999999999E-3</v>
      </c>
      <c r="H140">
        <f t="shared" si="92"/>
        <v>5.3402180000000001</v>
      </c>
      <c r="I140">
        <f t="shared" si="93"/>
        <v>1.5149999999999999E-3</v>
      </c>
      <c r="J140">
        <f t="shared" si="94"/>
        <v>1.5285374999999999E-3</v>
      </c>
      <c r="K140">
        <f t="shared" si="95"/>
        <v>422.678426</v>
      </c>
      <c r="L140">
        <f>3*0.05*(1-0.05)*(1-0.05)*X25+3*0.05*0.05*(1-0.05)*AB25+0.05*0.05*0.05*AF25+(1-3*0.05*(1-0.05)*(1-0.05)-3*0.05*0.05*(1-0.05)-0.05*0.05*0.05)*T25</f>
        <v>1.5149999999999999E-3</v>
      </c>
      <c r="M140">
        <f>AI25+AE25+AA25+W25</f>
        <v>14.641358</v>
      </c>
      <c r="N140" s="24"/>
      <c r="O140" s="20"/>
      <c r="P140" s="21"/>
      <c r="Q140" t="s">
        <v>37</v>
      </c>
      <c r="R140">
        <f t="shared" si="96"/>
        <v>1.5300000000000001E-3</v>
      </c>
      <c r="S140">
        <f t="shared" si="97"/>
        <v>1.5300000000000001E-3</v>
      </c>
      <c r="U140">
        <f t="shared" si="98"/>
        <v>1.5300000000000001E-3</v>
      </c>
      <c r="V140">
        <f t="shared" si="99"/>
        <v>1.5543E-3</v>
      </c>
      <c r="X140">
        <f>3*0.1*(1-0.1)*(1-0.1)*X25+3*0.1*0.1*(1-0.1)*AB25+0.1*0.1*0.1*AF25+(1-3*0.1*(1-0.1)*(1-0.1)-3*0.1*0.1*(1-0.1)-0.1*0.1*0.1)*T25</f>
        <v>1.5300000000000001E-3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1.56E-3</v>
      </c>
      <c r="G146">
        <f t="shared" si="101"/>
        <v>1.56E-3</v>
      </c>
      <c r="I146">
        <f t="shared" si="102"/>
        <v>1.56E-3</v>
      </c>
      <c r="J146">
        <f t="shared" si="103"/>
        <v>1.5983999999999998E-3</v>
      </c>
      <c r="L146">
        <f>3*0.2*(1-0.2)*(1-0.2)*X25+3*0.2*0.2*(1-0.2)*AB25+0.2*0.2*0.2*AF25+(1-3*0.2*(1-0.2)*(1-0.2)-3*0.2*0.2*(1-0.2)-0.2*0.2*0.2)*T25</f>
        <v>1.56E-3</v>
      </c>
      <c r="N146" s="24"/>
      <c r="O146" s="20"/>
      <c r="P146" s="21"/>
      <c r="Q146" t="s">
        <v>37</v>
      </c>
      <c r="R146">
        <f t="shared" si="104"/>
        <v>1.5900000000000003E-3</v>
      </c>
      <c r="S146">
        <f t="shared" si="105"/>
        <v>1.5900000000000003E-3</v>
      </c>
      <c r="U146">
        <f t="shared" si="106"/>
        <v>1.5900000000000003E-3</v>
      </c>
      <c r="V146">
        <f t="shared" si="107"/>
        <v>1.6340999999999999E-3</v>
      </c>
      <c r="X146">
        <f>3*0.3*(1-0.3)*(1-0.3)*X25+3*0.3*0.3*(1-0.3)*AB25+0.3*0.3*0.3*AF25+(1-3*0.3*(1-0.3)*(1-0.3)-3*0.3*0.3*(1-0.3)-0.3*0.3*0.3)*T25</f>
        <v>1.5900000000000003E-3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1.305E-3</v>
      </c>
      <c r="G153">
        <f t="shared" si="109"/>
        <v>1.405E-3</v>
      </c>
      <c r="H153">
        <f t="shared" si="110"/>
        <v>2.660606</v>
      </c>
      <c r="I153">
        <f t="shared" si="111"/>
        <v>1.305E-3</v>
      </c>
      <c r="J153">
        <f t="shared" si="112"/>
        <v>1.5E-3</v>
      </c>
      <c r="K153">
        <f t="shared" si="113"/>
        <v>247.07456200000001</v>
      </c>
      <c r="L153">
        <f>0.05*F46+(1-0.05)*B46</f>
        <v>1.4E-3</v>
      </c>
      <c r="M153">
        <f>I46+E46</f>
        <v>7.2014270000000007</v>
      </c>
      <c r="P153" s="21"/>
      <c r="Q153" t="s">
        <v>37</v>
      </c>
      <c r="R153">
        <f t="shared" si="114"/>
        <v>1.31E-3</v>
      </c>
      <c r="S153">
        <f t="shared" si="115"/>
        <v>1.41E-3</v>
      </c>
      <c r="U153">
        <f t="shared" si="116"/>
        <v>1.31E-3</v>
      </c>
      <c r="V153">
        <f t="shared" si="117"/>
        <v>1.5E-3</v>
      </c>
      <c r="X153">
        <f>0.1*F46+(1-0.1)*B46</f>
        <v>1.4E-3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1.32E-3</v>
      </c>
      <c r="G159">
        <f t="shared" si="119"/>
        <v>1.4200000000000003E-3</v>
      </c>
      <c r="I159">
        <f t="shared" si="120"/>
        <v>1.32E-3</v>
      </c>
      <c r="J159">
        <f t="shared" si="121"/>
        <v>1.5E-3</v>
      </c>
      <c r="L159">
        <f>0.2*F46+(1-0.2)*B46</f>
        <v>1.4000000000000002E-3</v>
      </c>
      <c r="P159" s="21"/>
      <c r="Q159" t="s">
        <v>37</v>
      </c>
      <c r="R159">
        <f t="shared" si="122"/>
        <v>1.3299999999999998E-3</v>
      </c>
      <c r="S159">
        <f t="shared" si="123"/>
        <v>1.4299999999999998E-3</v>
      </c>
      <c r="U159">
        <f t="shared" si="124"/>
        <v>1.3299999999999998E-3</v>
      </c>
      <c r="V159">
        <f t="shared" si="125"/>
        <v>1.5E-3</v>
      </c>
      <c r="X159">
        <f>0.3*F46+(1-0.3)*B46</f>
        <v>1.4E-3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1.31E-3</v>
      </c>
      <c r="G166">
        <f t="shared" si="127"/>
        <v>1.41E-3</v>
      </c>
      <c r="H166">
        <f t="shared" si="128"/>
        <v>3.9902379999999997</v>
      </c>
      <c r="I166">
        <f t="shared" si="129"/>
        <v>1.31E-3</v>
      </c>
      <c r="J166">
        <f t="shared" si="130"/>
        <v>1.5002500000000001E-3</v>
      </c>
      <c r="K166">
        <f t="shared" si="131"/>
        <v>351.485906</v>
      </c>
      <c r="L166">
        <f>(0.05*(1-0.05)+0.05*(1-0.05))*F46+0.05*0.05*J46+(1-0.05*(1-0.05)-0.05*(1-0.05)-0.05*0.05)*B46</f>
        <v>1.40025E-3</v>
      </c>
      <c r="M166">
        <f>M46+I46+E46</f>
        <v>11.277650999999999</v>
      </c>
      <c r="O166" s="20"/>
      <c r="P166" s="21"/>
      <c r="Q166" t="s">
        <v>37</v>
      </c>
      <c r="R166">
        <f t="shared" si="132"/>
        <v>1.3200000000000002E-3</v>
      </c>
      <c r="S166">
        <f t="shared" si="133"/>
        <v>1.42E-3</v>
      </c>
      <c r="U166">
        <f t="shared" si="134"/>
        <v>1.3200000000000002E-3</v>
      </c>
      <c r="V166">
        <f t="shared" si="135"/>
        <v>1.5010000000000002E-3</v>
      </c>
      <c r="X166">
        <f>(0.1*0.9+0.1*0.9)*F46+0.1*0.1*J46+(1-0.1*0.9-0.1*0.9-0.1*0.1)*B46</f>
        <v>1.4010000000000001E-3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1.34E-3</v>
      </c>
      <c r="G172">
        <f t="shared" si="137"/>
        <v>1.4399999999999999E-3</v>
      </c>
      <c r="I172">
        <f t="shared" si="138"/>
        <v>1.34E-3</v>
      </c>
      <c r="J172">
        <f t="shared" si="139"/>
        <v>1.5040000000000001E-3</v>
      </c>
      <c r="L172">
        <f>(0.2*0.8+0.2*0.8)*F46+0.2*0.2*J46+(1-0.2*0.8-0.2*0.8-0.2*0.2)*B46</f>
        <v>1.4039999999999999E-3</v>
      </c>
      <c r="O172" s="20"/>
      <c r="P172" s="21"/>
      <c r="Q172" t="s">
        <v>37</v>
      </c>
      <c r="R172">
        <f t="shared" si="140"/>
        <v>1.3600000000000001E-3</v>
      </c>
      <c r="S172">
        <f t="shared" si="141"/>
        <v>1.4600000000000001E-3</v>
      </c>
      <c r="U172">
        <f t="shared" si="142"/>
        <v>1.3600000000000001E-3</v>
      </c>
      <c r="V172">
        <f t="shared" si="143"/>
        <v>1.5090000000000004E-3</v>
      </c>
      <c r="X172">
        <f>(0.3*0.7+0.3*0.7)*F46+0.3*0.3*J46+(1-0.3*0.7-0.3*0.7-0.3*0.3)*B46</f>
        <v>1.4090000000000001E-3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1.3149999999999998E-3</v>
      </c>
      <c r="G179">
        <f t="shared" si="145"/>
        <v>1.415E-3</v>
      </c>
      <c r="H179">
        <f t="shared" si="146"/>
        <v>5.1667229999999993</v>
      </c>
      <c r="I179">
        <f t="shared" si="147"/>
        <v>1.3149999999999998E-3</v>
      </c>
      <c r="J179">
        <f t="shared" si="148"/>
        <v>1.5007499999999999E-3</v>
      </c>
      <c r="K179">
        <f t="shared" si="149"/>
        <v>469.249098</v>
      </c>
      <c r="L179">
        <f>3*0.05*(1-0.05)*(1-0.05)*F46+3*0.05*0.05*(1-0.05)*J46+0.05*0.05*0.05*N46+(1-3*0.05*(1-0.05)*(1-0.05)-3*0.05*0.05*(1-0.05)-0.05*0.05*0.05)*B46</f>
        <v>1.4007374999999999E-3</v>
      </c>
      <c r="M179">
        <f>Q46+M46+I46+E46</f>
        <v>14.547495</v>
      </c>
      <c r="N179" s="24"/>
      <c r="O179" s="20"/>
      <c r="P179" s="21"/>
      <c r="Q179" t="s">
        <v>37</v>
      </c>
      <c r="R179">
        <f t="shared" si="150"/>
        <v>1.3299999999999998E-3</v>
      </c>
      <c r="S179">
        <f t="shared" si="151"/>
        <v>1.4299999999999998E-3</v>
      </c>
      <c r="U179">
        <f t="shared" si="152"/>
        <v>1.3299999999999998E-3</v>
      </c>
      <c r="V179">
        <f t="shared" si="153"/>
        <v>1.503E-3</v>
      </c>
      <c r="X179">
        <f>3*0.1*(1-0.1)*(1-0.1)*F46+3*0.1*0.1*(1-0.1)*J46+0.1*0.1*0.1*N46+(1-3*0.1*(1-0.1)*(1-0.1)-3*0.1*0.1*(1-0.1)-0.1*0.1*0.1)*B46</f>
        <v>1.4028999999999999E-3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1.3599999999999999E-3</v>
      </c>
      <c r="G185">
        <f t="shared" si="155"/>
        <v>1.4599999999999999E-3</v>
      </c>
      <c r="I185">
        <f t="shared" si="156"/>
        <v>1.3599999999999999E-3</v>
      </c>
      <c r="J185">
        <f t="shared" si="157"/>
        <v>1.5119999999999999E-3</v>
      </c>
      <c r="L185">
        <f>3*0.2*(1-0.2)*(1-0.2)*F46+3*0.2*0.2*(1-0.2)*J46+0.2*0.2*0.2*N46+(1-3*0.2*(1-0.2)*(1-0.2)-3*0.2*0.2*(1-0.2)-0.2*0.2*0.2)*B46</f>
        <v>1.4112E-3</v>
      </c>
      <c r="N185" s="24"/>
      <c r="O185" s="20"/>
      <c r="P185" s="21"/>
      <c r="Q185" t="s">
        <v>37</v>
      </c>
      <c r="R185">
        <f t="shared" si="158"/>
        <v>1.39E-3</v>
      </c>
      <c r="S185">
        <f t="shared" si="159"/>
        <v>1.4900000000000002E-3</v>
      </c>
      <c r="U185">
        <f t="shared" si="160"/>
        <v>1.39E-3</v>
      </c>
      <c r="V185">
        <f t="shared" si="161"/>
        <v>1.5270000000000001E-3</v>
      </c>
      <c r="X185">
        <f>3*0.3*(1-0.3)*(1-0.3)*F46+3*0.3*0.3*(1-0.3)*J46+0.3*0.3*0.3*N46+(1-3*0.3*(1-0.3)*(1-0.3)-3*0.3*0.3*(1-0.3)-0.3*0.3*0.3)*B46</f>
        <v>1.4243000000000001E-3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8.0000000000000004E-4</v>
      </c>
      <c r="G192">
        <f t="shared" si="163"/>
        <v>1.1049999999999999E-3</v>
      </c>
      <c r="H192">
        <f t="shared" si="164"/>
        <v>2.3847670000000001</v>
      </c>
      <c r="I192">
        <f t="shared" si="165"/>
        <v>8.0500000000000005E-4</v>
      </c>
      <c r="J192">
        <f t="shared" si="166"/>
        <v>1.1049999999999999E-3</v>
      </c>
      <c r="K192">
        <f t="shared" si="167"/>
        <v>239.96056199999998</v>
      </c>
      <c r="L192">
        <f>0.05*X46+(1-0.05)*T46</f>
        <v>1.005E-3</v>
      </c>
      <c r="M192">
        <f>AA46+W46</f>
        <v>7.294143</v>
      </c>
      <c r="P192" s="21"/>
      <c r="Q192" t="s">
        <v>37</v>
      </c>
      <c r="R192">
        <f t="shared" si="168"/>
        <v>8.0000000000000004E-4</v>
      </c>
      <c r="S192">
        <f t="shared" si="169"/>
        <v>1.1099999999999999E-3</v>
      </c>
      <c r="U192">
        <f t="shared" si="170"/>
        <v>8.1000000000000006E-4</v>
      </c>
      <c r="V192">
        <f t="shared" si="171"/>
        <v>1.1099999999999999E-3</v>
      </c>
      <c r="X192">
        <f>0.1*X46+(1-0.1)*T46</f>
        <v>1.01E-3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8.0000000000000004E-4</v>
      </c>
      <c r="G198">
        <f t="shared" si="173"/>
        <v>1.1200000000000001E-3</v>
      </c>
      <c r="I198">
        <f t="shared" si="174"/>
        <v>8.2000000000000009E-4</v>
      </c>
      <c r="J198">
        <f t="shared" si="175"/>
        <v>1.1200000000000001E-3</v>
      </c>
      <c r="L198">
        <f>0.2*X46+(1-0.2)*T46</f>
        <v>1.0200000000000001E-3</v>
      </c>
      <c r="P198" s="21"/>
      <c r="Q198" t="s">
        <v>37</v>
      </c>
      <c r="R198">
        <f t="shared" si="176"/>
        <v>7.9999999999999993E-4</v>
      </c>
      <c r="S198">
        <f t="shared" si="177"/>
        <v>1.1299999999999999E-3</v>
      </c>
      <c r="U198">
        <f t="shared" si="178"/>
        <v>8.3000000000000001E-4</v>
      </c>
      <c r="V198">
        <f t="shared" si="179"/>
        <v>1.1299999999999999E-3</v>
      </c>
      <c r="X198">
        <f>0.3*X46+(1-0.3)*T46</f>
        <v>1.0300000000000001E-3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8.0025000000000007E-4</v>
      </c>
      <c r="G205">
        <f t="shared" si="181"/>
        <v>1.1100000000000001E-3</v>
      </c>
      <c r="H205">
        <f t="shared" si="182"/>
        <v>3.7428670000000004</v>
      </c>
      <c r="I205">
        <f t="shared" si="183"/>
        <v>8.1000000000000006E-4</v>
      </c>
      <c r="J205">
        <f t="shared" si="184"/>
        <v>1.1100000000000001E-3</v>
      </c>
      <c r="K205">
        <f>AE41+AA41+W41</f>
        <v>354.387744</v>
      </c>
      <c r="L205">
        <f>(0.05*(1-0.05)+0.05*(1-0.05))*X46+0.05*0.05*AB46+(1-0.05*(1-0.05)-0.05*(1-0.05)-0.05*0.05)*T46</f>
        <v>1.01E-3</v>
      </c>
      <c r="M205">
        <f>AE46+AA46+W46</f>
        <v>10.634038</v>
      </c>
      <c r="O205" s="20"/>
      <c r="P205" s="21"/>
      <c r="Q205" t="s">
        <v>37</v>
      </c>
      <c r="R205">
        <f t="shared" si="185"/>
        <v>8.0100000000000006E-4</v>
      </c>
      <c r="S205">
        <f t="shared" si="186"/>
        <v>1.1200000000000001E-3</v>
      </c>
      <c r="U205">
        <f t="shared" si="187"/>
        <v>8.1999999999999998E-4</v>
      </c>
      <c r="V205">
        <f t="shared" si="188"/>
        <v>1.1200000000000001E-3</v>
      </c>
      <c r="X205">
        <f>(0.1*0.9+0.1*0.9)*X46+0.1*0.1*AB46+(1-0.1*0.9-0.1*0.9-0.1*0.1)*T46</f>
        <v>1.0200000000000001E-3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8.0400000000000003E-4</v>
      </c>
      <c r="G211">
        <f t="shared" si="190"/>
        <v>1.14E-3</v>
      </c>
      <c r="I211">
        <f t="shared" si="191"/>
        <v>8.4000000000000003E-4</v>
      </c>
      <c r="J211">
        <f t="shared" si="192"/>
        <v>1.14E-3</v>
      </c>
      <c r="L211">
        <f>(0.2*0.8+0.2*0.8)*X46+0.2*0.2*AB46+(1-0.2*0.8-0.2*0.8-0.2*0.2)*T46</f>
        <v>1.0400000000000001E-3</v>
      </c>
      <c r="O211" s="20"/>
      <c r="P211" s="21"/>
      <c r="Q211" t="s">
        <v>37</v>
      </c>
      <c r="R211">
        <f t="shared" si="193"/>
        <v>8.0900000000000004E-4</v>
      </c>
      <c r="S211">
        <f t="shared" si="194"/>
        <v>1.16E-3</v>
      </c>
      <c r="U211">
        <f t="shared" si="195"/>
        <v>8.6000000000000009E-4</v>
      </c>
      <c r="V211">
        <f t="shared" si="196"/>
        <v>1.16E-3</v>
      </c>
      <c r="X211">
        <f>(0.3*0.7+0.3*0.7)*X46+0.3*0.3*AB46+(1-0.3*0.7-0.3*0.7-0.3*0.3)*T46</f>
        <v>1.0600000000000002E-3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8.0073749999999989E-4</v>
      </c>
      <c r="G218">
        <f t="shared" si="198"/>
        <v>1.1149999999999999E-3</v>
      </c>
      <c r="H218">
        <f t="shared" si="199"/>
        <v>5.0686400000000003</v>
      </c>
      <c r="I218">
        <f t="shared" si="200"/>
        <v>8.1498749999999994E-4</v>
      </c>
      <c r="J218">
        <f t="shared" si="201"/>
        <v>1.1149999999999999E-3</v>
      </c>
      <c r="K218">
        <f t="shared" si="202"/>
        <v>494.05650500000002</v>
      </c>
      <c r="L218">
        <f>3*0.05*(1-0.05)*(1-0.05)*X46+3*0.05*0.05*(1-0.05)*AB46+0.05*0.05*0.05*AF46+(1-3*0.05*(1-0.05)*(1-0.05)-3*0.05*0.05*(1-0.05)-0.05*0.05*0.05)*T46</f>
        <v>1.0149999999999998E-3</v>
      </c>
      <c r="M218">
        <f>AI46+AE46+AA46+W46</f>
        <v>14.718026</v>
      </c>
      <c r="N218" s="24"/>
      <c r="O218" s="20"/>
      <c r="P218" s="21"/>
      <c r="Q218" t="s">
        <v>37</v>
      </c>
      <c r="R218">
        <f t="shared" si="203"/>
        <v>8.0290000000000005E-4</v>
      </c>
      <c r="S218">
        <f t="shared" si="204"/>
        <v>1.1299999999999999E-3</v>
      </c>
      <c r="U218">
        <f t="shared" si="205"/>
        <v>8.2990000000000006E-4</v>
      </c>
      <c r="V218">
        <f t="shared" si="206"/>
        <v>1.1299999999999999E-3</v>
      </c>
      <c r="X218">
        <f>3*0.1*(1-0.1)*(1-0.1)*X46+3*0.1*0.1*(1-0.1)*AB46+0.1*0.1*0.1*AF46+(1-3*0.1*(1-0.1)*(1-0.1)-3*0.1*0.1*(1-0.1)-0.1*0.1*0.1)*T46</f>
        <v>1.0300000000000001E-3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8.1119999999999999E-4</v>
      </c>
      <c r="G224">
        <f t="shared" si="208"/>
        <v>1.16E-3</v>
      </c>
      <c r="I224">
        <f t="shared" si="209"/>
        <v>8.5919999999999996E-4</v>
      </c>
      <c r="J224">
        <f t="shared" si="210"/>
        <v>1.16E-3</v>
      </c>
      <c r="L224">
        <f>3*0.2*(1-0.2)*(1-0.2)*X46+3*0.2*0.2*(1-0.2)*AB46+0.2*0.2*0.2*AF46+(1-3*0.2*(1-0.2)*(1-0.2)-3*0.2*0.2*(1-0.2)-0.2*0.2*0.2)*T46</f>
        <v>1.06E-3</v>
      </c>
      <c r="N224" s="24"/>
      <c r="O224" s="20"/>
      <c r="P224" s="21"/>
      <c r="Q224" t="s">
        <v>37</v>
      </c>
      <c r="R224">
        <f t="shared" si="211"/>
        <v>8.2430000000000014E-4</v>
      </c>
      <c r="S224">
        <f t="shared" si="212"/>
        <v>1.1900000000000001E-3</v>
      </c>
      <c r="U224">
        <f t="shared" si="213"/>
        <v>8.8730000000000005E-4</v>
      </c>
      <c r="V224">
        <f t="shared" si="214"/>
        <v>1.1900000000000001E-3</v>
      </c>
      <c r="X224">
        <f>3*0.3*(1-0.3)*(1-0.3)*X46+3*0.3*0.3*(1-0.3)*AB46+0.3*0.3*0.3*AF46+(1-3*0.3*(1-0.3)*(1-0.3)-3*0.3*0.3*(1-0.3)-0.3*0.3*0.3)*T46</f>
        <v>1.0900000000000003E-3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3.4515499999999998E-4</v>
      </c>
      <c r="G231">
        <f t="shared" si="216"/>
        <v>7.2635500000000003E-4</v>
      </c>
      <c r="H231">
        <f t="shared" si="217"/>
        <v>2.3890989999999999</v>
      </c>
      <c r="I231">
        <f t="shared" si="218"/>
        <v>3.4781999999999999E-4</v>
      </c>
      <c r="J231">
        <f t="shared" si="219"/>
        <v>7.2493500000000001E-4</v>
      </c>
      <c r="K231">
        <f t="shared" si="220"/>
        <v>257.52301599999998</v>
      </c>
      <c r="L231">
        <f>0.05*G66+(1-0.05)*B66</f>
        <v>5.0815500000000004E-4</v>
      </c>
      <c r="M231">
        <f>I66+E66</f>
        <v>6.6216989999999996</v>
      </c>
      <c r="P231" s="21"/>
      <c r="Q231" t="s">
        <v>37</v>
      </c>
      <c r="R231">
        <f t="shared" si="221"/>
        <v>3.4681000000000002E-4</v>
      </c>
      <c r="S231">
        <f t="shared" si="222"/>
        <v>7.2971000000000006E-4</v>
      </c>
      <c r="U231">
        <f t="shared" si="223"/>
        <v>3.5214000000000003E-4</v>
      </c>
      <c r="V231">
        <f t="shared" si="224"/>
        <v>7.2667000000000001E-4</v>
      </c>
      <c r="X231">
        <f>0.1*G66+(1-0.1)*B66</f>
        <v>4.8141000000000004E-4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3.5011999999999999E-4</v>
      </c>
      <c r="G237">
        <f t="shared" si="226"/>
        <v>7.3642000000000011E-4</v>
      </c>
      <c r="I237">
        <f t="shared" si="227"/>
        <v>3.6078E-4</v>
      </c>
      <c r="J237">
        <f t="shared" si="228"/>
        <v>7.3014E-4</v>
      </c>
      <c r="L237">
        <f>0.2*G66+(1-0.2)*B66</f>
        <v>4.2792000000000004E-4</v>
      </c>
      <c r="P237" s="21"/>
      <c r="Q237" t="s">
        <v>37</v>
      </c>
      <c r="R237">
        <f t="shared" si="229"/>
        <v>3.5342999999999996E-4</v>
      </c>
      <c r="S237">
        <f t="shared" si="230"/>
        <v>7.4312999999999994E-4</v>
      </c>
      <c r="U237">
        <f t="shared" si="231"/>
        <v>3.6941999999999997E-4</v>
      </c>
      <c r="V237">
        <f t="shared" si="232"/>
        <v>7.3360999999999999E-4</v>
      </c>
      <c r="X237">
        <f>0.3*G66+(1-0.3)*B66</f>
        <v>3.7443000000000003E-4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3.4680650000000002E-4</v>
      </c>
      <c r="G244">
        <f t="shared" si="234"/>
        <v>7.2970400000000007E-4</v>
      </c>
      <c r="H244">
        <f t="shared" si="235"/>
        <v>3.7205799999999996</v>
      </c>
      <c r="I244">
        <f t="shared" si="236"/>
        <v>3.520315E-4</v>
      </c>
      <c r="J244">
        <f t="shared" si="237"/>
        <v>7.2658375000000009E-4</v>
      </c>
      <c r="K244">
        <f t="shared" si="238"/>
        <v>369.37478399999998</v>
      </c>
      <c r="L244">
        <f>(0.05*(1-0.05)+0.05*(1-0.05))*G66+0.05*0.05*J66+(1-0.05*(1-0.05)-0.05*(1-0.05)-0.05*0.05)*B66</f>
        <v>4.843422500000001E-4</v>
      </c>
      <c r="M244">
        <f>M66+I66+E66</f>
        <v>10.195876</v>
      </c>
      <c r="O244" s="20"/>
      <c r="P244" s="21"/>
      <c r="Q244" t="s">
        <v>37</v>
      </c>
      <c r="R244">
        <f t="shared" si="239"/>
        <v>3.5010599999999998E-4</v>
      </c>
      <c r="S244">
        <f t="shared" si="240"/>
        <v>7.3639600000000006E-4</v>
      </c>
      <c r="U244">
        <f t="shared" si="241"/>
        <v>3.60346E-4</v>
      </c>
      <c r="V244">
        <f t="shared" si="242"/>
        <v>7.297950000000001E-4</v>
      </c>
      <c r="X244">
        <f>(0.1*0.9+0.1*0.9)*G66+0.1*0.1*J66+(1-0.1*0.9-0.1*0.9-0.1*0.1)*B66</f>
        <v>4.3964900000000007E-4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3.5668399999999996E-4</v>
      </c>
      <c r="G250">
        <f t="shared" si="244"/>
        <v>7.49744E-4</v>
      </c>
      <c r="I250">
        <f t="shared" si="245"/>
        <v>3.7632399999999998E-4</v>
      </c>
      <c r="J250">
        <f t="shared" si="246"/>
        <v>7.3569999999999994E-4</v>
      </c>
      <c r="L250">
        <f>(0.2*0.8+0.2*0.8)*G66+0.2*0.2*J66+(1-0.2*0.8-0.2*0.8-0.2*0.2)*B66</f>
        <v>3.6785600000000001E-4</v>
      </c>
      <c r="O250" s="20"/>
      <c r="P250" s="21"/>
      <c r="Q250" t="s">
        <v>37</v>
      </c>
      <c r="R250">
        <f t="shared" si="247"/>
        <v>3.6323400000000004E-4</v>
      </c>
      <c r="S250">
        <f t="shared" si="248"/>
        <v>7.6304400000000005E-4</v>
      </c>
      <c r="U250">
        <f t="shared" si="249"/>
        <v>3.9143400000000002E-4</v>
      </c>
      <c r="V250">
        <f t="shared" si="250"/>
        <v>7.4091500000000008E-4</v>
      </c>
      <c r="X250">
        <f>(0.3*0.7+0.3*0.7)*G66+0.3*0.3*J66+(1-0.3*0.7-0.3*0.7-0.3*0.3)*B66</f>
        <v>3.1952100000000007E-4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3.4845449999999995E-4</v>
      </c>
      <c r="G257">
        <f t="shared" si="252"/>
        <v>7.3304703749999987E-4</v>
      </c>
      <c r="H257">
        <f t="shared" si="253"/>
        <v>5.0489800000000002</v>
      </c>
      <c r="I257">
        <f t="shared" si="254"/>
        <v>3.5613938749999997E-4</v>
      </c>
      <c r="J257">
        <f t="shared" si="255"/>
        <v>7.2815973750000001E-4</v>
      </c>
      <c r="K257">
        <f t="shared" si="256"/>
        <v>481.80756199999996</v>
      </c>
      <c r="L257">
        <f>3*0.05*(1-0.05)*(1-0.05)*G66+3*0.05*0.05*(1-0.05)*J66+0.05*0.05*0.05*N66+(1-3*0.05*(1-0.05)*(1-0.05)-3*0.05*0.05*(1-0.05)-0.05*0.05*0.05)*B66</f>
        <v>4.63241225E-4</v>
      </c>
      <c r="M257">
        <f>Q66+M66+I66+E66</f>
        <v>13.825414</v>
      </c>
      <c r="N257" s="24"/>
      <c r="O257" s="20"/>
      <c r="P257" s="21"/>
      <c r="Q257" t="s">
        <v>37</v>
      </c>
      <c r="R257">
        <f t="shared" si="257"/>
        <v>3.53388E-4</v>
      </c>
      <c r="S257">
        <f t="shared" si="258"/>
        <v>7.4305829999999989E-4</v>
      </c>
      <c r="U257">
        <f t="shared" si="259"/>
        <v>3.6815710000000001E-4</v>
      </c>
      <c r="V257">
        <f t="shared" si="260"/>
        <v>7.326829E-4</v>
      </c>
      <c r="X257">
        <f>3*0.1*(1-0.1)*(1-0.1)*G66+3*0.1*0.1*(1-0.1)*J66+0.1*0.1*0.1*N66+(1-3*0.1*(1-0.1)*(1-0.1)-3*0.1*0.1*(1-0.1)-0.1*0.1*0.1)*B66</f>
        <v>4.078528E-4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3.6319199999999997E-4</v>
      </c>
      <c r="G263">
        <f t="shared" si="262"/>
        <v>7.6297439999999995E-4</v>
      </c>
      <c r="I263">
        <f t="shared" si="263"/>
        <v>3.9044479999999999E-4</v>
      </c>
      <c r="J263">
        <f t="shared" si="264"/>
        <v>7.4074319999999994E-4</v>
      </c>
      <c r="L263">
        <f>3*0.2*(1-0.2)*(1-0.2)*G66+3*0.2*0.2*(1-0.2)*J66+0.2*0.2*0.2*N66+(1-3*0.2*(1-0.2)*(1-0.2)-3*0.2*0.2*(1-0.2)-0.2*0.2*0.2)*B66</f>
        <v>3.4059439999999997E-4</v>
      </c>
      <c r="N263" s="24"/>
      <c r="O263" s="20"/>
      <c r="P263" s="21"/>
      <c r="Q263" t="s">
        <v>37</v>
      </c>
      <c r="R263">
        <f t="shared" si="265"/>
        <v>3.7291199999999998E-4</v>
      </c>
      <c r="S263">
        <f t="shared" si="266"/>
        <v>7.8275010000000006E-4</v>
      </c>
      <c r="U263">
        <f t="shared" si="267"/>
        <v>4.1059769999999998E-4</v>
      </c>
      <c r="V263">
        <f t="shared" si="268"/>
        <v>7.4802830000000008E-4</v>
      </c>
      <c r="X263">
        <f>3*0.3*(1-0.3)*(1-0.3)*G66+3*0.3*0.3*(1-0.3)*J66+0.3*0.3*0.3*N66+(1-3*0.3*(1-0.3)*(1-0.3)-3*0.3*0.3*(1-0.3)-0.3*0.3*0.3)*B66</f>
        <v>3.2253960000000009E-4</v>
      </c>
    </row>
  </sheetData>
  <mergeCells count="342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63"/>
  <sheetViews>
    <sheetView zoomScale="40" zoomScaleNormal="40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100</v>
      </c>
      <c r="C9" s="16"/>
      <c r="D9" s="16"/>
      <c r="E9" s="16"/>
      <c r="F9" s="16" t="s">
        <v>101</v>
      </c>
      <c r="G9" s="16"/>
      <c r="H9" s="16"/>
      <c r="I9" s="16"/>
      <c r="J9" s="16" t="s">
        <v>102</v>
      </c>
      <c r="K9" s="16"/>
      <c r="L9" s="16"/>
      <c r="M9" s="16"/>
      <c r="N9" s="16" t="s">
        <v>103</v>
      </c>
      <c r="O9" s="16"/>
      <c r="P9" s="16"/>
      <c r="Q9" s="16"/>
      <c r="S9" s="22" t="s">
        <v>12</v>
      </c>
      <c r="T9" s="16" t="s">
        <v>100</v>
      </c>
      <c r="U9" s="16"/>
      <c r="V9" s="16"/>
      <c r="W9" s="16"/>
      <c r="X9" s="16" t="s">
        <v>101</v>
      </c>
      <c r="Y9" s="16"/>
      <c r="Z9" s="16"/>
      <c r="AA9" s="16"/>
      <c r="AB9" s="16" t="s">
        <v>102</v>
      </c>
      <c r="AC9" s="16"/>
      <c r="AD9" s="16"/>
      <c r="AE9" s="16"/>
      <c r="AF9" s="16" t="s">
        <v>103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>
        <v>1.4E-3</v>
      </c>
      <c r="D13">
        <v>1.4E-3</v>
      </c>
      <c r="E13">
        <v>1.2803690000000001</v>
      </c>
      <c r="F13" t="s">
        <v>22</v>
      </c>
      <c r="G13" s="10">
        <v>1.5E-3</v>
      </c>
      <c r="H13" s="10">
        <v>1.5E-3</v>
      </c>
      <c r="I13" s="10">
        <v>1.173791</v>
      </c>
      <c r="J13" t="s">
        <v>22</v>
      </c>
      <c r="K13" s="10">
        <v>1.6000000000000001E-3</v>
      </c>
      <c r="L13" s="10">
        <v>1.6999999999999999E-3</v>
      </c>
      <c r="M13" s="10">
        <v>0.95159400000000005</v>
      </c>
      <c r="N13" t="s">
        <v>22</v>
      </c>
      <c r="O13" s="10">
        <v>1.8E-3</v>
      </c>
      <c r="P13" s="10">
        <v>1.8E-3</v>
      </c>
      <c r="Q13" s="10">
        <v>1.194545</v>
      </c>
      <c r="S13" s="22"/>
      <c r="T13" t="s">
        <v>22</v>
      </c>
      <c r="U13">
        <v>1.4E-3</v>
      </c>
      <c r="V13">
        <v>1.4E-3</v>
      </c>
      <c r="W13">
        <v>1.0378350000000001</v>
      </c>
      <c r="X13" t="s">
        <v>22</v>
      </c>
      <c r="Y13">
        <v>1.5E-3</v>
      </c>
      <c r="Z13">
        <v>1.5E-3</v>
      </c>
      <c r="AA13">
        <v>1.0350170000000001</v>
      </c>
      <c r="AB13" t="s">
        <v>22</v>
      </c>
      <c r="AC13">
        <v>1.6000000000000001E-3</v>
      </c>
      <c r="AD13">
        <v>1.6000000000000001E-3</v>
      </c>
      <c r="AE13">
        <v>1.02986</v>
      </c>
      <c r="AF13" t="s">
        <v>22</v>
      </c>
      <c r="AG13">
        <v>1.6999999999999999E-3</v>
      </c>
      <c r="AH13">
        <v>1.6999999999999999E-3</v>
      </c>
      <c r="AI13">
        <v>1.280815</v>
      </c>
    </row>
    <row r="16" spans="1:35" x14ac:dyDescent="0.25">
      <c r="A16" s="18" t="s">
        <v>23</v>
      </c>
      <c r="B16" s="16" t="s">
        <v>100</v>
      </c>
      <c r="C16" s="16"/>
      <c r="D16" s="16"/>
      <c r="E16" s="16"/>
      <c r="F16" s="16" t="s">
        <v>101</v>
      </c>
      <c r="G16" s="16"/>
      <c r="H16" s="16"/>
      <c r="I16" s="16"/>
      <c r="J16" s="16" t="s">
        <v>102</v>
      </c>
      <c r="K16" s="16"/>
      <c r="L16" s="16"/>
      <c r="M16" s="16"/>
      <c r="N16" s="16" t="s">
        <v>103</v>
      </c>
      <c r="O16" s="16"/>
      <c r="P16" s="16"/>
      <c r="Q16" s="16"/>
      <c r="S16" s="18" t="s">
        <v>23</v>
      </c>
      <c r="T16" s="16" t="s">
        <v>100</v>
      </c>
      <c r="U16" s="16"/>
      <c r="V16" s="16"/>
      <c r="W16" s="16"/>
      <c r="X16" s="16" t="s">
        <v>101</v>
      </c>
      <c r="Y16" s="16"/>
      <c r="Z16" s="16"/>
      <c r="AA16" s="16"/>
      <c r="AB16" s="16" t="s">
        <v>102</v>
      </c>
      <c r="AC16" s="16"/>
      <c r="AD16" s="16"/>
      <c r="AE16" s="16"/>
      <c r="AF16" s="16" t="s">
        <v>103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1.4E-3</v>
      </c>
      <c r="D20">
        <v>1.4E-3</v>
      </c>
      <c r="E20">
        <v>2.2247590000000002</v>
      </c>
      <c r="F20" t="s">
        <v>22</v>
      </c>
      <c r="G20">
        <v>1.5E-3</v>
      </c>
      <c r="H20">
        <v>1.5E-3</v>
      </c>
      <c r="I20">
        <v>2.0161950000000002</v>
      </c>
      <c r="J20" t="s">
        <v>22</v>
      </c>
      <c r="K20">
        <v>1.6000000000000001E-3</v>
      </c>
      <c r="L20">
        <v>1.6000000000000001E-3</v>
      </c>
      <c r="M20">
        <v>2.0560969999999998</v>
      </c>
      <c r="N20" t="s">
        <v>22</v>
      </c>
      <c r="O20">
        <v>1.8E-3</v>
      </c>
      <c r="P20">
        <v>1.8E-3</v>
      </c>
      <c r="Q20">
        <v>2.0719089999999998</v>
      </c>
      <c r="S20" s="18"/>
      <c r="T20" t="s">
        <v>22</v>
      </c>
      <c r="U20">
        <v>1.4E-3</v>
      </c>
      <c r="V20">
        <v>1.4E-3</v>
      </c>
      <c r="W20">
        <v>26.396761000000001</v>
      </c>
      <c r="X20" t="s">
        <v>22</v>
      </c>
      <c r="Y20">
        <v>1.5E-3</v>
      </c>
      <c r="Z20">
        <v>1.5E-3</v>
      </c>
      <c r="AA20">
        <v>21.373915</v>
      </c>
      <c r="AB20" t="s">
        <v>22</v>
      </c>
      <c r="AC20">
        <v>1.6000000000000001E-3</v>
      </c>
      <c r="AD20">
        <v>1.6000000000000001E-3</v>
      </c>
      <c r="AE20">
        <v>22.198929</v>
      </c>
      <c r="AF20" t="s">
        <v>22</v>
      </c>
      <c r="AG20">
        <v>1.6999999999999999E-3</v>
      </c>
      <c r="AH20">
        <v>1.8E-3</v>
      </c>
      <c r="AI20">
        <v>36.315404000000001</v>
      </c>
    </row>
    <row r="23" spans="1:35" x14ac:dyDescent="0.25">
      <c r="A23" s="23" t="s">
        <v>24</v>
      </c>
      <c r="B23" s="16" t="s">
        <v>100</v>
      </c>
      <c r="C23" s="16"/>
      <c r="D23" s="16"/>
      <c r="E23" s="16"/>
      <c r="F23" s="16" t="s">
        <v>101</v>
      </c>
      <c r="G23" s="16"/>
      <c r="H23" s="16"/>
      <c r="I23" s="16"/>
      <c r="J23" s="16" t="s">
        <v>102</v>
      </c>
      <c r="K23" s="16"/>
      <c r="L23" s="16"/>
      <c r="M23" s="16"/>
      <c r="N23" s="16" t="s">
        <v>103</v>
      </c>
      <c r="O23" s="16"/>
      <c r="P23" s="16"/>
      <c r="Q23" s="16"/>
      <c r="S23" s="23" t="s">
        <v>24</v>
      </c>
      <c r="T23" s="16" t="s">
        <v>100</v>
      </c>
      <c r="U23" s="16"/>
      <c r="V23" s="16"/>
      <c r="W23" s="16"/>
      <c r="X23" s="16" t="s">
        <v>101</v>
      </c>
      <c r="Y23" s="16"/>
      <c r="Z23" s="16"/>
      <c r="AA23" s="16"/>
      <c r="AB23" s="16" t="s">
        <v>102</v>
      </c>
      <c r="AC23" s="16"/>
      <c r="AD23" s="16"/>
      <c r="AE23" s="16"/>
      <c r="AF23" s="16" t="s">
        <v>103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ht="16.05" customHeight="1" x14ac:dyDescent="0.25">
      <c r="A25" s="23"/>
      <c r="B25" s="16">
        <v>1.4E-3</v>
      </c>
      <c r="C25" s="16"/>
      <c r="D25" s="16"/>
      <c r="E25">
        <v>3.2110400000000001</v>
      </c>
      <c r="F25" s="16">
        <v>1.5E-3</v>
      </c>
      <c r="G25" s="16"/>
      <c r="H25" s="16"/>
      <c r="I25">
        <v>2.8897149999999998</v>
      </c>
      <c r="J25" s="16">
        <v>1.6000000000000001E-3</v>
      </c>
      <c r="K25" s="16"/>
      <c r="L25" s="16"/>
      <c r="M25">
        <v>2.826975</v>
      </c>
      <c r="N25" s="16">
        <v>1.8E-3</v>
      </c>
      <c r="O25" s="16"/>
      <c r="P25" s="16"/>
      <c r="Q25">
        <v>2.8748239999999998</v>
      </c>
      <c r="S25" s="23"/>
      <c r="T25" s="16">
        <v>1.4E-3</v>
      </c>
      <c r="U25" s="16"/>
      <c r="V25" s="16"/>
      <c r="W25">
        <v>2.8745560000000001</v>
      </c>
      <c r="X25" s="16">
        <v>1.5E-3</v>
      </c>
      <c r="Y25" s="16"/>
      <c r="Z25" s="16"/>
      <c r="AA25">
        <v>2.835785</v>
      </c>
      <c r="AB25" s="16">
        <v>1.6000000000000001E-3</v>
      </c>
      <c r="AC25" s="16"/>
      <c r="AD25" s="16"/>
      <c r="AE25">
        <v>3.4450050000000001</v>
      </c>
      <c r="AF25" s="16">
        <v>1.6999999999999999E-3</v>
      </c>
      <c r="AG25" s="16"/>
      <c r="AH25" s="16"/>
      <c r="AI25">
        <v>3.3914219999999999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100</v>
      </c>
      <c r="C30" s="16"/>
      <c r="D30" s="16"/>
      <c r="E30" s="16"/>
      <c r="F30" s="16" t="s">
        <v>101</v>
      </c>
      <c r="G30" s="16"/>
      <c r="H30" s="16"/>
      <c r="I30" s="16"/>
      <c r="J30" s="16" t="s">
        <v>102</v>
      </c>
      <c r="K30" s="16"/>
      <c r="L30" s="16"/>
      <c r="M30" s="16"/>
      <c r="N30" s="16" t="s">
        <v>103</v>
      </c>
      <c r="O30" s="16"/>
      <c r="P30" s="16"/>
      <c r="Q30" s="16"/>
      <c r="S30" s="22" t="s">
        <v>12</v>
      </c>
      <c r="T30" s="16" t="s">
        <v>100</v>
      </c>
      <c r="U30" s="16"/>
      <c r="V30" s="16"/>
      <c r="W30" s="16"/>
      <c r="X30" s="16" t="s">
        <v>101</v>
      </c>
      <c r="Y30" s="16"/>
      <c r="Z30" s="16"/>
      <c r="AA30" s="16"/>
      <c r="AB30" s="16" t="s">
        <v>102</v>
      </c>
      <c r="AC30" s="16"/>
      <c r="AD30" s="16"/>
      <c r="AE30" s="16"/>
      <c r="AF30" s="16" t="s">
        <v>103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1.1999999999999999E-3</v>
      </c>
      <c r="D34">
        <v>1.2999999999999999E-3</v>
      </c>
      <c r="E34">
        <v>1.0461039999999999</v>
      </c>
      <c r="F34" t="s">
        <v>22</v>
      </c>
      <c r="G34">
        <v>1.2999999999999999E-3</v>
      </c>
      <c r="H34">
        <v>1.4E-3</v>
      </c>
      <c r="I34">
        <v>1.0519579999999999</v>
      </c>
      <c r="J34" t="s">
        <v>22</v>
      </c>
      <c r="K34" s="8">
        <v>1.4E-3</v>
      </c>
      <c r="L34" s="11">
        <v>1.5E-3</v>
      </c>
      <c r="M34">
        <v>1.0473730000000001</v>
      </c>
      <c r="N34" t="s">
        <v>22</v>
      </c>
      <c r="O34">
        <v>1.5E-3</v>
      </c>
      <c r="P34">
        <v>1.6000000000000001E-3</v>
      </c>
      <c r="Q34">
        <v>1.2685139999999999</v>
      </c>
      <c r="S34" s="22"/>
      <c r="T34" t="s">
        <v>22</v>
      </c>
      <c r="U34">
        <v>8.0000000000000004E-4</v>
      </c>
      <c r="V34">
        <v>1.1000000000000001E-3</v>
      </c>
      <c r="W34">
        <v>1.0338080000000001</v>
      </c>
      <c r="X34" t="s">
        <v>22</v>
      </c>
      <c r="Y34">
        <v>8.0000000000000004E-4</v>
      </c>
      <c r="Z34">
        <v>1.1999999999999999E-3</v>
      </c>
      <c r="AA34">
        <v>1.055175</v>
      </c>
      <c r="AB34" t="s">
        <v>22</v>
      </c>
      <c r="AC34">
        <v>8.9999999999999998E-4</v>
      </c>
      <c r="AD34">
        <v>1.2999999999999999E-3</v>
      </c>
      <c r="AE34">
        <v>1.279485</v>
      </c>
      <c r="AF34" t="s">
        <v>22</v>
      </c>
      <c r="AG34">
        <v>1E-3</v>
      </c>
      <c r="AH34" s="11">
        <v>1.4E-3</v>
      </c>
      <c r="AI34">
        <v>1.0441659999999999</v>
      </c>
    </row>
    <row r="37" spans="1:35" x14ac:dyDescent="0.25">
      <c r="A37" s="18" t="s">
        <v>23</v>
      </c>
      <c r="B37" s="16" t="s">
        <v>100</v>
      </c>
      <c r="C37" s="16"/>
      <c r="D37" s="16"/>
      <c r="E37" s="16"/>
      <c r="F37" s="16" t="s">
        <v>101</v>
      </c>
      <c r="G37" s="16"/>
      <c r="H37" s="16"/>
      <c r="I37" s="16"/>
      <c r="J37" s="16" t="s">
        <v>102</v>
      </c>
      <c r="K37" s="16"/>
      <c r="L37" s="16"/>
      <c r="M37" s="16"/>
      <c r="N37" s="16" t="s">
        <v>103</v>
      </c>
      <c r="O37" s="16"/>
      <c r="P37" s="16"/>
      <c r="Q37" s="16"/>
      <c r="S37" s="18" t="s">
        <v>23</v>
      </c>
      <c r="T37" s="16" t="s">
        <v>100</v>
      </c>
      <c r="U37" s="16"/>
      <c r="V37" s="16"/>
      <c r="W37" s="16"/>
      <c r="X37" s="16" t="s">
        <v>101</v>
      </c>
      <c r="Y37" s="16"/>
      <c r="Z37" s="16"/>
      <c r="AA37" s="16"/>
      <c r="AB37" s="16" t="s">
        <v>102</v>
      </c>
      <c r="AC37" s="16"/>
      <c r="AD37" s="16"/>
      <c r="AE37" s="16"/>
      <c r="AF37" s="16" t="s">
        <v>103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1.1999999999999999E-3</v>
      </c>
      <c r="D41">
        <v>1.2999999999999999E-3</v>
      </c>
      <c r="E41">
        <v>28.271614</v>
      </c>
      <c r="F41" t="s">
        <v>22</v>
      </c>
      <c r="G41">
        <v>1.2999999999999999E-3</v>
      </c>
      <c r="H41">
        <v>1.5E-3</v>
      </c>
      <c r="I41">
        <v>27.808378999999999</v>
      </c>
      <c r="J41" t="s">
        <v>22</v>
      </c>
      <c r="K41" s="8">
        <v>1.4E-3</v>
      </c>
      <c r="L41" s="11">
        <v>1.5E-3</v>
      </c>
      <c r="M41">
        <v>25.052503999999999</v>
      </c>
      <c r="N41" t="s">
        <v>22</v>
      </c>
      <c r="O41">
        <v>1.5E-3</v>
      </c>
      <c r="P41">
        <v>1.6000000000000001E-3</v>
      </c>
      <c r="Q41">
        <v>25.904161999999999</v>
      </c>
      <c r="S41" s="18"/>
      <c r="T41" t="s">
        <v>22</v>
      </c>
      <c r="U41">
        <v>8.0000000000000004E-4</v>
      </c>
      <c r="V41">
        <v>1.1000000000000001E-3</v>
      </c>
      <c r="W41">
        <v>25.358951999999999</v>
      </c>
      <c r="X41" t="s">
        <v>22</v>
      </c>
      <c r="Y41">
        <v>8.9999999999999998E-4</v>
      </c>
      <c r="Z41">
        <v>1.1999999999999999E-3</v>
      </c>
      <c r="AA41">
        <v>30.980229000000001</v>
      </c>
      <c r="AB41" t="s">
        <v>22</v>
      </c>
      <c r="AC41">
        <v>1E-3</v>
      </c>
      <c r="AD41">
        <v>1.2999999999999999E-3</v>
      </c>
      <c r="AE41">
        <v>30.054724</v>
      </c>
      <c r="AF41" t="s">
        <v>22</v>
      </c>
      <c r="AG41">
        <v>1E-3</v>
      </c>
      <c r="AH41" s="11">
        <v>1.4E-3</v>
      </c>
      <c r="AI41">
        <v>45.435676000000001</v>
      </c>
    </row>
    <row r="44" spans="1:35" x14ac:dyDescent="0.25">
      <c r="A44" s="23" t="s">
        <v>24</v>
      </c>
      <c r="B44" s="16" t="s">
        <v>100</v>
      </c>
      <c r="C44" s="16"/>
      <c r="D44" s="16"/>
      <c r="E44" s="16"/>
      <c r="F44" s="16" t="s">
        <v>101</v>
      </c>
      <c r="G44" s="16"/>
      <c r="H44" s="16"/>
      <c r="I44" s="16"/>
      <c r="J44" s="16" t="s">
        <v>102</v>
      </c>
      <c r="K44" s="16"/>
      <c r="L44" s="16"/>
      <c r="M44" s="16"/>
      <c r="N44" s="16" t="s">
        <v>103</v>
      </c>
      <c r="O44" s="16"/>
      <c r="P44" s="16"/>
      <c r="Q44" s="16"/>
      <c r="S44" s="23" t="s">
        <v>24</v>
      </c>
      <c r="T44" s="16" t="s">
        <v>100</v>
      </c>
      <c r="U44" s="16"/>
      <c r="V44" s="16"/>
      <c r="W44" s="16"/>
      <c r="X44" s="16" t="s">
        <v>101</v>
      </c>
      <c r="Y44" s="16"/>
      <c r="Z44" s="16"/>
      <c r="AA44" s="16"/>
      <c r="AB44" s="16" t="s">
        <v>102</v>
      </c>
      <c r="AC44" s="16"/>
      <c r="AD44" s="16"/>
      <c r="AE44" s="16"/>
      <c r="AF44" s="16" t="s">
        <v>103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16">
        <v>1.1999999999999999E-3</v>
      </c>
      <c r="C46" s="16"/>
      <c r="D46" s="16"/>
      <c r="E46">
        <v>3.425335</v>
      </c>
      <c r="F46" s="16">
        <v>1.2999999999999999E-3</v>
      </c>
      <c r="G46" s="16"/>
      <c r="H46" s="16"/>
      <c r="I46">
        <v>3.4112900000000002</v>
      </c>
      <c r="J46" s="16">
        <v>1.5E-3</v>
      </c>
      <c r="K46" s="16"/>
      <c r="L46" s="16"/>
      <c r="M46">
        <v>2.928871</v>
      </c>
      <c r="N46" s="16">
        <v>1.6000000000000001E-3</v>
      </c>
      <c r="O46" s="16"/>
      <c r="P46" s="16"/>
      <c r="Q46">
        <v>3.411969</v>
      </c>
      <c r="S46" s="23"/>
      <c r="T46" s="26">
        <v>9.7970000000000002E-4</v>
      </c>
      <c r="U46" s="16"/>
      <c r="V46" s="16"/>
      <c r="W46">
        <v>2.8888609999999999</v>
      </c>
      <c r="X46" s="16">
        <v>1.1000000000000001E-3</v>
      </c>
      <c r="Y46" s="16"/>
      <c r="Z46" s="16"/>
      <c r="AA46">
        <v>2.980801</v>
      </c>
      <c r="AB46" s="16">
        <v>1.1999999999999999E-3</v>
      </c>
      <c r="AC46" s="16"/>
      <c r="AD46" s="16"/>
      <c r="AE46">
        <v>3.1258330000000001</v>
      </c>
      <c r="AF46" s="16">
        <v>1.1999999999999999E-3</v>
      </c>
      <c r="AG46" s="16"/>
      <c r="AH46" s="16"/>
      <c r="AI46">
        <v>2.8209919999999999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100</v>
      </c>
      <c r="C50" s="16"/>
      <c r="D50" s="16"/>
      <c r="E50" s="16"/>
      <c r="F50" s="16" t="s">
        <v>101</v>
      </c>
      <c r="G50" s="16"/>
      <c r="H50" s="16"/>
      <c r="I50" s="16"/>
      <c r="J50" s="16" t="s">
        <v>102</v>
      </c>
      <c r="K50" s="16"/>
      <c r="L50" s="16"/>
      <c r="M50" s="16"/>
      <c r="N50" s="16" t="s">
        <v>103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3.4089999999999999E-4</v>
      </c>
      <c r="D54" s="2">
        <v>6.803E-4</v>
      </c>
      <c r="E54">
        <v>1.0454619999999999</v>
      </c>
      <c r="F54" t="s">
        <v>22</v>
      </c>
      <c r="G54" s="2">
        <v>3.7599999999999998E-4</v>
      </c>
      <c r="H54" s="2">
        <v>7.4759999999999996E-4</v>
      </c>
      <c r="I54">
        <v>1.0392920000000001</v>
      </c>
      <c r="J54" t="s">
        <v>22</v>
      </c>
      <c r="K54" s="2">
        <v>4.0949999999999998E-4</v>
      </c>
      <c r="L54" s="2">
        <v>8.1249999999999996E-4</v>
      </c>
      <c r="M54">
        <v>1.058562</v>
      </c>
      <c r="N54" t="s">
        <v>22</v>
      </c>
      <c r="O54">
        <v>0.44350000000000001</v>
      </c>
      <c r="P54">
        <v>0.87519999999999998</v>
      </c>
      <c r="Q54">
        <v>1.18493</v>
      </c>
    </row>
    <row r="57" spans="1:17" x14ac:dyDescent="0.25">
      <c r="A57" s="18" t="s">
        <v>23</v>
      </c>
      <c r="B57" s="16" t="s">
        <v>100</v>
      </c>
      <c r="C57" s="16"/>
      <c r="D57" s="16"/>
      <c r="E57" s="16"/>
      <c r="F57" s="16" t="s">
        <v>101</v>
      </c>
      <c r="G57" s="16"/>
      <c r="H57" s="16"/>
      <c r="I57" s="16"/>
      <c r="J57" s="16" t="s">
        <v>102</v>
      </c>
      <c r="K57" s="16"/>
      <c r="L57" s="16"/>
      <c r="M57" s="16"/>
      <c r="N57" s="16" t="s">
        <v>103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3.4089999999999999E-4</v>
      </c>
      <c r="D61" s="2">
        <v>6.803E-4</v>
      </c>
      <c r="E61">
        <v>24.170615999999999</v>
      </c>
      <c r="F61" t="s">
        <v>22</v>
      </c>
      <c r="G61" s="2">
        <v>4.2410000000000001E-4</v>
      </c>
      <c r="H61" s="2">
        <v>7.182E-4</v>
      </c>
      <c r="I61">
        <v>23.70467</v>
      </c>
      <c r="J61" t="s">
        <v>22</v>
      </c>
      <c r="K61" s="2">
        <v>4.7120000000000002E-4</v>
      </c>
      <c r="L61" s="2">
        <v>7.2590000000000003E-4</v>
      </c>
      <c r="M61">
        <v>30.056308999999999</v>
      </c>
      <c r="N61" t="s">
        <v>22</v>
      </c>
      <c r="O61">
        <v>0.51049999999999995</v>
      </c>
      <c r="P61">
        <v>0.79949999999999999</v>
      </c>
      <c r="Q61">
        <v>22.711414000000001</v>
      </c>
    </row>
    <row r="64" spans="1:17" x14ac:dyDescent="0.25">
      <c r="A64" s="23" t="s">
        <v>24</v>
      </c>
      <c r="B64" s="16" t="s">
        <v>100</v>
      </c>
      <c r="C64" s="16"/>
      <c r="D64" s="16"/>
      <c r="E64" s="16"/>
      <c r="F64" s="16" t="s">
        <v>101</v>
      </c>
      <c r="G64" s="16"/>
      <c r="H64" s="16"/>
      <c r="I64" s="16"/>
      <c r="J64" s="16" t="s">
        <v>102</v>
      </c>
      <c r="K64" s="16"/>
      <c r="L64" s="16"/>
      <c r="M64" s="16"/>
      <c r="N64" s="16" t="s">
        <v>103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5.0819999999999999E-4</v>
      </c>
      <c r="C66" s="16"/>
      <c r="D66" s="16"/>
      <c r="E66">
        <v>2.8938950000000001</v>
      </c>
      <c r="F66" s="26">
        <v>5.6680000000000001E-4</v>
      </c>
      <c r="G66" s="16"/>
      <c r="H66" s="16"/>
      <c r="I66">
        <v>2.892328</v>
      </c>
      <c r="J66" s="26">
        <v>6.1620000000000002E-4</v>
      </c>
      <c r="K66" s="16"/>
      <c r="L66" s="16"/>
      <c r="M66">
        <v>2.9296039999999999</v>
      </c>
      <c r="N66" s="26">
        <v>6.6830000000000004E-4</v>
      </c>
      <c r="O66" s="16"/>
      <c r="P66" s="16"/>
      <c r="Q66">
        <v>3.4024779999999999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1.405E-3</v>
      </c>
      <c r="G75">
        <f t="shared" si="1"/>
        <v>1.405E-3</v>
      </c>
      <c r="H75">
        <f t="shared" si="2"/>
        <v>2.4541599999999999</v>
      </c>
      <c r="I75">
        <f t="shared" si="3"/>
        <v>1.405E-3</v>
      </c>
      <c r="J75">
        <f t="shared" si="4"/>
        <v>1.405E-3</v>
      </c>
      <c r="K75">
        <f t="shared" si="5"/>
        <v>4.2409540000000003</v>
      </c>
      <c r="L75">
        <f>0.05*F25+(1-0.05)*B25</f>
        <v>1.405E-3</v>
      </c>
      <c r="M75">
        <f>I25+E25</f>
        <v>6.1007549999999995</v>
      </c>
      <c r="P75" s="21"/>
      <c r="Q75" t="s">
        <v>37</v>
      </c>
      <c r="R75">
        <f t="shared" si="6"/>
        <v>1.41E-3</v>
      </c>
      <c r="S75">
        <f t="shared" si="7"/>
        <v>1.41E-3</v>
      </c>
      <c r="U75">
        <f t="shared" si="8"/>
        <v>1.41E-3</v>
      </c>
      <c r="V75">
        <f t="shared" si="9"/>
        <v>1.41E-3</v>
      </c>
      <c r="X75">
        <f>0.1*F25+(1-0.1)*B25</f>
        <v>1.41E-3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1.4200000000000003E-3</v>
      </c>
      <c r="G81">
        <f t="shared" si="11"/>
        <v>1.4200000000000003E-3</v>
      </c>
      <c r="I81">
        <f t="shared" si="12"/>
        <v>1.4200000000000003E-3</v>
      </c>
      <c r="J81">
        <f t="shared" si="13"/>
        <v>1.4200000000000003E-3</v>
      </c>
      <c r="L81">
        <f>0.2*F25+(1-0.2)*B25</f>
        <v>1.4200000000000003E-3</v>
      </c>
      <c r="P81" s="21"/>
      <c r="Q81" t="s">
        <v>37</v>
      </c>
      <c r="R81">
        <f t="shared" si="14"/>
        <v>1.4299999999999998E-3</v>
      </c>
      <c r="S81">
        <f t="shared" si="15"/>
        <v>1.4299999999999998E-3</v>
      </c>
      <c r="U81">
        <f t="shared" si="16"/>
        <v>1.4299999999999998E-3</v>
      </c>
      <c r="V81">
        <f t="shared" si="17"/>
        <v>1.4299999999999998E-3</v>
      </c>
      <c r="X81">
        <f>0.3*F25+(1-0.3)*B25</f>
        <v>1.4299999999999998E-3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1.41E-3</v>
      </c>
      <c r="G88">
        <f t="shared" si="19"/>
        <v>1.41025E-3</v>
      </c>
      <c r="H88">
        <f t="shared" si="20"/>
        <v>3.4057539999999999</v>
      </c>
      <c r="I88">
        <f t="shared" si="21"/>
        <v>1.41E-3</v>
      </c>
      <c r="J88">
        <f t="shared" si="22"/>
        <v>1.41E-3</v>
      </c>
      <c r="K88">
        <f t="shared" si="23"/>
        <v>6.2970509999999997</v>
      </c>
      <c r="L88">
        <f>(0.05*(1-0.05)+0.05*(1-0.05))*F25+0.05*0.05*J25+(1-0.05*(1-0.05)-0.05*(1-0.05)-0.05*0.05)*B25</f>
        <v>1.41E-3</v>
      </c>
      <c r="M88">
        <f>M25+I25+E25</f>
        <v>8.9277300000000004</v>
      </c>
      <c r="O88" s="20"/>
      <c r="P88" s="21"/>
      <c r="Q88" t="s">
        <v>37</v>
      </c>
      <c r="R88">
        <f t="shared" si="24"/>
        <v>1.42E-3</v>
      </c>
      <c r="S88">
        <f t="shared" si="25"/>
        <v>1.421E-3</v>
      </c>
      <c r="U88">
        <f t="shared" si="26"/>
        <v>1.42E-3</v>
      </c>
      <c r="V88">
        <f t="shared" si="27"/>
        <v>1.42E-3</v>
      </c>
      <c r="X88">
        <f>(0.1*0.9+0.1*0.9)*F25+0.1*0.1*J25+(1-0.1*0.9-0.1*0.9-0.1*0.1)*B25</f>
        <v>1.42E-3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1.4399999999999999E-3</v>
      </c>
      <c r="G94">
        <f t="shared" si="29"/>
        <v>1.444E-3</v>
      </c>
      <c r="I94">
        <f t="shared" si="30"/>
        <v>1.4399999999999999E-3</v>
      </c>
      <c r="J94">
        <f t="shared" si="31"/>
        <v>1.4399999999999999E-3</v>
      </c>
      <c r="L94">
        <f>(0.2*0.8+0.2*0.8)*F25+0.2*0.2*J25+(1-0.2*0.8-0.2*0.8-0.2*0.2)*B25</f>
        <v>1.4399999999999999E-3</v>
      </c>
      <c r="O94" s="20"/>
      <c r="P94" s="21"/>
      <c r="Q94" t="s">
        <v>37</v>
      </c>
      <c r="R94">
        <f t="shared" si="32"/>
        <v>1.4600000000000001E-3</v>
      </c>
      <c r="S94">
        <f t="shared" si="33"/>
        <v>1.4690000000000003E-3</v>
      </c>
      <c r="U94">
        <f t="shared" si="34"/>
        <v>1.4600000000000001E-3</v>
      </c>
      <c r="V94">
        <f t="shared" si="35"/>
        <v>1.4600000000000001E-3</v>
      </c>
      <c r="X94">
        <f>(0.3*0.7+0.3*0.7)*F25+0.3*0.3*J25+(1-0.3*0.7-0.3*0.7-0.3*0.3)*B25</f>
        <v>1.4600000000000001E-3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1.4150125E-3</v>
      </c>
      <c r="G101">
        <f t="shared" si="37"/>
        <v>1.4157249999999998E-3</v>
      </c>
      <c r="H101">
        <f t="shared" si="38"/>
        <v>4.6002989999999997</v>
      </c>
      <c r="I101">
        <f t="shared" si="39"/>
        <v>1.4150125E-3</v>
      </c>
      <c r="J101">
        <f t="shared" si="40"/>
        <v>1.4150125E-3</v>
      </c>
      <c r="K101">
        <f t="shared" si="41"/>
        <v>8.3689599999999995</v>
      </c>
      <c r="L101">
        <f>3*0.05*(1-0.05)*(1-0.05)*F25+3*0.05*0.05*(1-0.05)*J25+0.05*0.05*0.05*N25+(1-3*0.05*(1-0.05)*(1-0.05)-3*0.05*0.05*(1-0.05)-0.05*0.05*0.05)*B25</f>
        <v>1.4150125E-3</v>
      </c>
      <c r="M101">
        <f>Q25+M25+I25+E25</f>
        <v>11.802554000000001</v>
      </c>
      <c r="N101" s="24"/>
      <c r="O101" s="20"/>
      <c r="P101" s="21"/>
      <c r="Q101" t="s">
        <v>37</v>
      </c>
      <c r="R101">
        <f t="shared" si="42"/>
        <v>1.4300999999999999E-3</v>
      </c>
      <c r="S101">
        <f t="shared" si="43"/>
        <v>1.4327999999999999E-3</v>
      </c>
      <c r="U101">
        <f t="shared" si="44"/>
        <v>1.4300999999999999E-3</v>
      </c>
      <c r="V101">
        <f t="shared" si="45"/>
        <v>1.4300999999999999E-3</v>
      </c>
      <c r="X101">
        <f>3*0.1*(1-0.1)*(1-0.1)*F25+3*0.1*0.1*(1-0.1)*J25+0.1*0.1*0.1*N25+(1-3*0.1*(1-0.1)*(1-0.1)-3*0.1*0.1*(1-0.1)-0.1*0.1*0.1)*B25</f>
        <v>1.4300999999999999E-3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1.4607999999999999E-3</v>
      </c>
      <c r="G107">
        <f t="shared" si="47"/>
        <v>1.4704000000000002E-3</v>
      </c>
      <c r="I107">
        <f t="shared" si="48"/>
        <v>1.4607999999999999E-3</v>
      </c>
      <c r="J107">
        <f t="shared" si="49"/>
        <v>1.4607999999999999E-3</v>
      </c>
      <c r="L107">
        <f>3*0.2*(1-0.2)*(1-0.2)*F25+3*0.2*0.2*(1-0.2)*J25+0.2*0.2*0.2*N25+(1-3*0.2*(1-0.2)*(1-0.2)-3*0.2*0.2*(1-0.2)-0.2*0.2*0.2)*B25</f>
        <v>1.4607999999999999E-3</v>
      </c>
      <c r="N107" s="24"/>
      <c r="O107" s="20"/>
      <c r="P107" s="21"/>
      <c r="Q107" t="s">
        <v>37</v>
      </c>
      <c r="R107">
        <f t="shared" si="50"/>
        <v>1.4927000000000002E-3</v>
      </c>
      <c r="S107">
        <f t="shared" si="51"/>
        <v>1.5116000000000001E-3</v>
      </c>
      <c r="U107">
        <f t="shared" si="52"/>
        <v>1.4927000000000002E-3</v>
      </c>
      <c r="V107">
        <f t="shared" si="53"/>
        <v>1.4927000000000002E-3</v>
      </c>
      <c r="X107">
        <f>3*0.3*(1-0.3)*(1-0.3)*F25+3*0.3*0.3*(1-0.3)*J25+0.3*0.3*0.3*N25+(1-3*0.3*(1-0.3)*(1-0.3)-3*0.3*0.3*(1-0.3)-0.3*0.3*0.3)*B25</f>
        <v>1.4927000000000002E-3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1.405E-3</v>
      </c>
      <c r="G114">
        <f t="shared" si="55"/>
        <v>1.405E-3</v>
      </c>
      <c r="H114">
        <f t="shared" si="56"/>
        <v>2.0728520000000001</v>
      </c>
      <c r="I114">
        <f t="shared" si="57"/>
        <v>1.405E-3</v>
      </c>
      <c r="J114">
        <f t="shared" si="58"/>
        <v>1.405E-3</v>
      </c>
      <c r="K114">
        <f t="shared" si="59"/>
        <v>47.770676000000002</v>
      </c>
      <c r="L114">
        <f>0.05*X25+(1-0.05)*T25</f>
        <v>1.405E-3</v>
      </c>
      <c r="M114">
        <f>AA25+W25</f>
        <v>5.7103409999999997</v>
      </c>
      <c r="P114" s="21"/>
      <c r="Q114" t="s">
        <v>37</v>
      </c>
      <c r="R114">
        <f t="shared" si="60"/>
        <v>1.41E-3</v>
      </c>
      <c r="S114">
        <f t="shared" si="61"/>
        <v>1.41E-3</v>
      </c>
      <c r="U114">
        <f t="shared" si="62"/>
        <v>1.41E-3</v>
      </c>
      <c r="V114">
        <f t="shared" si="63"/>
        <v>1.41E-3</v>
      </c>
      <c r="X114">
        <f>0.1*X25+(1-0.1)*T25</f>
        <v>1.41E-3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1.4200000000000003E-3</v>
      </c>
      <c r="G120">
        <f t="shared" si="65"/>
        <v>1.4200000000000003E-3</v>
      </c>
      <c r="I120">
        <f t="shared" si="66"/>
        <v>1.4200000000000003E-3</v>
      </c>
      <c r="J120">
        <f t="shared" si="67"/>
        <v>1.4200000000000003E-3</v>
      </c>
      <c r="L120">
        <f>0.2*X25+(1-0.2)*T25</f>
        <v>1.4200000000000003E-3</v>
      </c>
      <c r="P120" s="21"/>
      <c r="Q120" t="s">
        <v>37</v>
      </c>
      <c r="R120">
        <f t="shared" si="68"/>
        <v>1.4299999999999998E-3</v>
      </c>
      <c r="S120">
        <f t="shared" si="69"/>
        <v>1.4299999999999998E-3</v>
      </c>
      <c r="U120">
        <f t="shared" si="70"/>
        <v>1.4299999999999998E-3</v>
      </c>
      <c r="V120">
        <f t="shared" si="71"/>
        <v>1.4299999999999998E-3</v>
      </c>
      <c r="X120">
        <f>0.3*X25+(1-0.3)*T25</f>
        <v>1.4299999999999998E-3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1.41E-3</v>
      </c>
      <c r="G127">
        <f t="shared" si="73"/>
        <v>1.41E-3</v>
      </c>
      <c r="H127">
        <f t="shared" si="74"/>
        <v>3.1027120000000004</v>
      </c>
      <c r="I127">
        <f t="shared" si="75"/>
        <v>1.41E-3</v>
      </c>
      <c r="J127">
        <f t="shared" si="76"/>
        <v>1.41E-3</v>
      </c>
      <c r="K127">
        <f t="shared" si="77"/>
        <v>69.969605000000001</v>
      </c>
      <c r="L127">
        <f>(0.05*(1-0.05)+0.05*(1-0.05))*X25+0.05*0.05*AB25+(1-0.05*(1-0.05)-0.05*(1-0.05)-0.05*0.05)*T25</f>
        <v>1.41E-3</v>
      </c>
      <c r="M127">
        <f>AE25+AA25+W25</f>
        <v>9.1553459999999998</v>
      </c>
      <c r="O127" s="20"/>
      <c r="P127" s="21"/>
      <c r="Q127" t="s">
        <v>37</v>
      </c>
      <c r="R127">
        <f t="shared" si="78"/>
        <v>1.42E-3</v>
      </c>
      <c r="S127">
        <f t="shared" si="79"/>
        <v>1.42E-3</v>
      </c>
      <c r="U127">
        <f t="shared" si="80"/>
        <v>1.42E-3</v>
      </c>
      <c r="V127">
        <f t="shared" si="81"/>
        <v>1.42E-3</v>
      </c>
      <c r="X127">
        <f>(0.1*0.9+0.1*0.9)*X25+0.1*0.1*AB25+(1-0.1*0.9-0.1*0.9-0.1*0.1)*T25</f>
        <v>1.42E-3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1.4399999999999999E-3</v>
      </c>
      <c r="G133">
        <f t="shared" si="83"/>
        <v>1.4399999999999999E-3</v>
      </c>
      <c r="I133">
        <f t="shared" si="84"/>
        <v>1.4399999999999999E-3</v>
      </c>
      <c r="J133">
        <f t="shared" si="85"/>
        <v>1.4399999999999999E-3</v>
      </c>
      <c r="L133">
        <f>(0.2*0.8+0.2*0.8)*X25+0.2*0.2*AB25+(1-0.2*0.8-0.2*0.8-0.2*0.2)*T25</f>
        <v>1.4399999999999999E-3</v>
      </c>
      <c r="O133" s="20"/>
      <c r="P133" s="21"/>
      <c r="Q133" t="s">
        <v>37</v>
      </c>
      <c r="R133">
        <f t="shared" si="86"/>
        <v>1.4600000000000001E-3</v>
      </c>
      <c r="S133">
        <f t="shared" si="87"/>
        <v>1.4600000000000001E-3</v>
      </c>
      <c r="U133">
        <f t="shared" si="88"/>
        <v>1.4600000000000001E-3</v>
      </c>
      <c r="V133">
        <f t="shared" si="89"/>
        <v>1.4600000000000001E-3</v>
      </c>
      <c r="X133">
        <f>(0.3*0.7+0.3*0.7)*X25+0.3*0.3*AB25+(1-0.3*0.7-0.3*0.7-0.3*0.3)*T25</f>
        <v>1.4600000000000001E-3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1.415E-3</v>
      </c>
      <c r="G140">
        <f t="shared" si="91"/>
        <v>1.415E-3</v>
      </c>
      <c r="H140">
        <f t="shared" si="92"/>
        <v>4.383527</v>
      </c>
      <c r="I140">
        <f t="shared" si="93"/>
        <v>1.415E-3</v>
      </c>
      <c r="J140">
        <f t="shared" si="94"/>
        <v>1.4150125E-3</v>
      </c>
      <c r="K140">
        <f t="shared" si="95"/>
        <v>106.285009</v>
      </c>
      <c r="L140">
        <f>3*0.05*(1-0.05)*(1-0.05)*X25+3*0.05*0.05*(1-0.05)*AB25+0.05*0.05*0.05*AF25+(1-3*0.05*(1-0.05)*(1-0.05)-3*0.05*0.05*(1-0.05)-0.05*0.05*0.05)*T25</f>
        <v>1.415E-3</v>
      </c>
      <c r="M140">
        <f>AI25+AE25+AA25+W25</f>
        <v>12.546768</v>
      </c>
      <c r="N140" s="24"/>
      <c r="O140" s="20"/>
      <c r="P140" s="21"/>
      <c r="Q140" t="s">
        <v>37</v>
      </c>
      <c r="R140">
        <f t="shared" si="96"/>
        <v>1.4299999999999998E-3</v>
      </c>
      <c r="S140">
        <f t="shared" si="97"/>
        <v>1.4299999999999998E-3</v>
      </c>
      <c r="U140">
        <f t="shared" si="98"/>
        <v>1.4299999999999998E-3</v>
      </c>
      <c r="V140">
        <f t="shared" si="99"/>
        <v>1.4300999999999999E-3</v>
      </c>
      <c r="X140">
        <f>3*0.1*(1-0.1)*(1-0.1)*X25+3*0.1*0.1*(1-0.1)*AB25+0.1*0.1*0.1*AF25+(1-3*0.1*(1-0.1)*(1-0.1)-3*0.1*0.1*(1-0.1)-0.1*0.1*0.1)*T25</f>
        <v>1.4299999999999998E-3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1.4599999999999999E-3</v>
      </c>
      <c r="G146">
        <f t="shared" si="101"/>
        <v>1.4599999999999999E-3</v>
      </c>
      <c r="I146">
        <f t="shared" si="102"/>
        <v>1.4599999999999999E-3</v>
      </c>
      <c r="J146">
        <f t="shared" si="103"/>
        <v>1.4607999999999999E-3</v>
      </c>
      <c r="L146">
        <f>3*0.2*(1-0.2)*(1-0.2)*X25+3*0.2*0.2*(1-0.2)*AB25+0.2*0.2*0.2*AF25+(1-3*0.2*(1-0.2)*(1-0.2)-3*0.2*0.2*(1-0.2)-0.2*0.2*0.2)*T25</f>
        <v>1.4599999999999999E-3</v>
      </c>
      <c r="N146" s="24"/>
      <c r="O146" s="20"/>
      <c r="P146" s="21"/>
      <c r="Q146" t="s">
        <v>37</v>
      </c>
      <c r="R146">
        <f t="shared" si="104"/>
        <v>1.4900000000000002E-3</v>
      </c>
      <c r="S146">
        <f t="shared" si="105"/>
        <v>1.4900000000000002E-3</v>
      </c>
      <c r="U146">
        <f t="shared" si="106"/>
        <v>1.4900000000000002E-3</v>
      </c>
      <c r="V146">
        <f t="shared" si="107"/>
        <v>1.4927000000000002E-3</v>
      </c>
      <c r="X146">
        <f>3*0.3*(1-0.3)*(1-0.3)*X25+3*0.3*0.3*(1-0.3)*AB25+0.3*0.3*0.3*AF25+(1-3*0.3*(1-0.3)*(1-0.3)-3*0.3*0.3*(1-0.3)-0.3*0.3*0.3)*T25</f>
        <v>1.4900000000000002E-3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1.2049999999999999E-3</v>
      </c>
      <c r="G153">
        <f t="shared" si="109"/>
        <v>1.305E-3</v>
      </c>
      <c r="H153">
        <f t="shared" si="110"/>
        <v>2.0980619999999996</v>
      </c>
      <c r="I153">
        <f t="shared" si="111"/>
        <v>1.2049999999999999E-3</v>
      </c>
      <c r="J153">
        <f t="shared" si="112"/>
        <v>1.31E-3</v>
      </c>
      <c r="K153">
        <f t="shared" si="113"/>
        <v>56.079993000000002</v>
      </c>
      <c r="L153">
        <f>0.05*F46+(1-0.05)*B46</f>
        <v>1.2049999999999999E-3</v>
      </c>
      <c r="M153">
        <f>I46+E46</f>
        <v>6.8366249999999997</v>
      </c>
      <c r="P153" s="21"/>
      <c r="Q153" t="s">
        <v>37</v>
      </c>
      <c r="R153">
        <f t="shared" si="114"/>
        <v>1.2099999999999999E-3</v>
      </c>
      <c r="S153">
        <f t="shared" si="115"/>
        <v>1.31E-3</v>
      </c>
      <c r="U153">
        <f t="shared" si="116"/>
        <v>1.2099999999999999E-3</v>
      </c>
      <c r="V153">
        <f t="shared" si="117"/>
        <v>1.32E-3</v>
      </c>
      <c r="X153">
        <f>0.1*F46+(1-0.1)*B46</f>
        <v>1.2099999999999999E-3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1.2199999999999999E-3</v>
      </c>
      <c r="G159">
        <f t="shared" si="119"/>
        <v>1.32E-3</v>
      </c>
      <c r="I159">
        <f t="shared" si="120"/>
        <v>1.2199999999999999E-3</v>
      </c>
      <c r="J159">
        <f t="shared" si="121"/>
        <v>1.34E-3</v>
      </c>
      <c r="L159">
        <f>0.2*F46+(1-0.2)*B46</f>
        <v>1.2199999999999999E-3</v>
      </c>
      <c r="P159" s="21"/>
      <c r="Q159" t="s">
        <v>37</v>
      </c>
      <c r="R159">
        <f t="shared" si="122"/>
        <v>1.23E-3</v>
      </c>
      <c r="S159">
        <f t="shared" si="123"/>
        <v>1.3299999999999998E-3</v>
      </c>
      <c r="U159">
        <f t="shared" si="124"/>
        <v>1.23E-3</v>
      </c>
      <c r="V159">
        <f t="shared" si="125"/>
        <v>1.3599999999999999E-3</v>
      </c>
      <c r="X159">
        <f>0.3*F46+(1-0.3)*B46</f>
        <v>1.23E-3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1.2099999999999999E-3</v>
      </c>
      <c r="G166">
        <f t="shared" si="127"/>
        <v>1.31E-3</v>
      </c>
      <c r="H166">
        <f t="shared" si="128"/>
        <v>3.145435</v>
      </c>
      <c r="I166">
        <f t="shared" si="129"/>
        <v>1.2099999999999999E-3</v>
      </c>
      <c r="J166">
        <f t="shared" si="130"/>
        <v>1.3194999999999999E-3</v>
      </c>
      <c r="K166">
        <f t="shared" si="131"/>
        <v>81.132497000000001</v>
      </c>
      <c r="L166">
        <f>(0.05*(1-0.05)+0.05*(1-0.05))*F46+0.05*0.05*J46+(1-0.05*(1-0.05)-0.05*(1-0.05)-0.05*0.05)*B46</f>
        <v>1.21025E-3</v>
      </c>
      <c r="M166">
        <f>M46+I46+E46</f>
        <v>9.7654960000000006</v>
      </c>
      <c r="O166" s="20"/>
      <c r="P166" s="21"/>
      <c r="Q166" t="s">
        <v>37</v>
      </c>
      <c r="R166">
        <f t="shared" si="132"/>
        <v>1.2199999999999999E-3</v>
      </c>
      <c r="S166">
        <f t="shared" si="133"/>
        <v>1.3200000000000002E-3</v>
      </c>
      <c r="U166">
        <f t="shared" si="134"/>
        <v>1.2199999999999999E-3</v>
      </c>
      <c r="V166">
        <f t="shared" si="135"/>
        <v>1.3380000000000002E-3</v>
      </c>
      <c r="X166">
        <f>(0.1*0.9+0.1*0.9)*F46+0.1*0.1*J46+(1-0.1*0.9-0.1*0.9-0.1*0.1)*B46</f>
        <v>1.2210000000000001E-3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1.2399999999999998E-3</v>
      </c>
      <c r="G172">
        <f t="shared" si="137"/>
        <v>1.34E-3</v>
      </c>
      <c r="I172">
        <f t="shared" si="138"/>
        <v>1.2399999999999998E-3</v>
      </c>
      <c r="J172">
        <f t="shared" si="139"/>
        <v>1.372E-3</v>
      </c>
      <c r="L172">
        <f>(0.2*0.8+0.2*0.8)*F46+0.2*0.2*J46+(1-0.2*0.8-0.2*0.8-0.2*0.2)*B46</f>
        <v>1.2439999999999999E-3</v>
      </c>
      <c r="O172" s="20"/>
      <c r="P172" s="21"/>
      <c r="Q172" t="s">
        <v>37</v>
      </c>
      <c r="R172">
        <f t="shared" si="140"/>
        <v>1.2600000000000001E-3</v>
      </c>
      <c r="S172">
        <f t="shared" si="141"/>
        <v>1.3600000000000001E-3</v>
      </c>
      <c r="U172">
        <f t="shared" si="142"/>
        <v>1.2600000000000001E-3</v>
      </c>
      <c r="V172">
        <f t="shared" si="143"/>
        <v>1.402E-3</v>
      </c>
      <c r="X172">
        <f>(0.3*0.7+0.3*0.7)*F46+0.3*0.3*J46+(1-0.3*0.7-0.3*0.7-0.3*0.3)*B46</f>
        <v>1.2690000000000002E-3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1.2149999999999997E-3</v>
      </c>
      <c r="G179">
        <f t="shared" si="145"/>
        <v>1.3149999999999998E-3</v>
      </c>
      <c r="H179">
        <f t="shared" si="146"/>
        <v>4.4139489999999997</v>
      </c>
      <c r="I179">
        <f t="shared" si="147"/>
        <v>1.2149999999999997E-3</v>
      </c>
      <c r="J179">
        <f t="shared" si="148"/>
        <v>1.3285374999999998E-3</v>
      </c>
      <c r="K179">
        <f t="shared" si="149"/>
        <v>107.036659</v>
      </c>
      <c r="L179">
        <f>3*0.05*(1-0.05)*(1-0.05)*F46+3*0.05*0.05*(1-0.05)*J46+0.05*0.05*0.05*N46+(1-3*0.05*(1-0.05)*(1-0.05)-3*0.05*0.05*(1-0.05)-0.05*0.05*0.05)*B46</f>
        <v>1.2157249999999997E-3</v>
      </c>
      <c r="M179">
        <f>Q46+M46+I46+E46</f>
        <v>13.177465000000002</v>
      </c>
      <c r="N179" s="24"/>
      <c r="O179" s="20"/>
      <c r="P179" s="21"/>
      <c r="Q179" t="s">
        <v>37</v>
      </c>
      <c r="R179">
        <f t="shared" si="150"/>
        <v>1.2299999999999998E-3</v>
      </c>
      <c r="S179">
        <f t="shared" si="151"/>
        <v>1.3299999999999998E-3</v>
      </c>
      <c r="U179">
        <f t="shared" si="152"/>
        <v>1.2299999999999998E-3</v>
      </c>
      <c r="V179">
        <f t="shared" si="153"/>
        <v>1.3542999999999999E-3</v>
      </c>
      <c r="X179">
        <f>3*0.1*(1-0.1)*(1-0.1)*F46+3*0.1*0.1*(1-0.1)*J46+0.1*0.1*0.1*N46+(1-3*0.1*(1-0.1)*(1-0.1)-3*0.1*0.1*(1-0.1)-0.1*0.1*0.1)*B46</f>
        <v>1.2327999999999998E-3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1.2599999999999998E-3</v>
      </c>
      <c r="G185">
        <f t="shared" si="155"/>
        <v>1.3599999999999999E-3</v>
      </c>
      <c r="I185">
        <f t="shared" si="156"/>
        <v>1.2599999999999998E-3</v>
      </c>
      <c r="J185">
        <f t="shared" si="157"/>
        <v>1.3983999999999999E-3</v>
      </c>
      <c r="L185">
        <f>3*0.2*(1-0.2)*(1-0.2)*F46+3*0.2*0.2*(1-0.2)*J46+0.2*0.2*0.2*N46+(1-3*0.2*(1-0.2)*(1-0.2)-3*0.2*0.2*(1-0.2)-0.2*0.2*0.2)*B46</f>
        <v>1.2703999999999997E-3</v>
      </c>
      <c r="N185" s="24"/>
      <c r="O185" s="20"/>
      <c r="P185" s="21"/>
      <c r="Q185" t="s">
        <v>37</v>
      </c>
      <c r="R185">
        <f t="shared" si="158"/>
        <v>1.2899999999999999E-3</v>
      </c>
      <c r="S185">
        <f t="shared" si="159"/>
        <v>1.39E-3</v>
      </c>
      <c r="U185">
        <f t="shared" si="160"/>
        <v>1.2899999999999999E-3</v>
      </c>
      <c r="V185">
        <f t="shared" si="161"/>
        <v>1.4341E-3</v>
      </c>
      <c r="X185">
        <f>3*0.3*(1-0.3)*(1-0.3)*F46+3*0.3*0.3*(1-0.3)*J46+0.3*0.3*0.3*N46+(1-3*0.3*(1-0.3)*(1-0.3)-3*0.3*0.3*(1-0.3)-0.3*0.3*0.3)*B46</f>
        <v>1.3116E-3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8.0000000000000004E-4</v>
      </c>
      <c r="G192">
        <f t="shared" si="163"/>
        <v>1.1049999999999999E-3</v>
      </c>
      <c r="H192">
        <f t="shared" si="164"/>
        <v>2.0889829999999998</v>
      </c>
      <c r="I192">
        <f t="shared" si="165"/>
        <v>8.0500000000000005E-4</v>
      </c>
      <c r="J192">
        <f t="shared" si="166"/>
        <v>1.1049999999999999E-3</v>
      </c>
      <c r="K192">
        <f t="shared" si="167"/>
        <v>56.339180999999996</v>
      </c>
      <c r="L192">
        <f>0.05*X46+(1-0.05)*T46</f>
        <v>9.8571499999999986E-4</v>
      </c>
      <c r="M192">
        <f>AA46+W46</f>
        <v>5.8696619999999999</v>
      </c>
      <c r="P192" s="21"/>
      <c r="Q192" t="s">
        <v>37</v>
      </c>
      <c r="R192">
        <f t="shared" si="168"/>
        <v>8.0000000000000004E-4</v>
      </c>
      <c r="S192">
        <f t="shared" si="169"/>
        <v>1.1099999999999999E-3</v>
      </c>
      <c r="U192">
        <f t="shared" si="170"/>
        <v>8.1000000000000006E-4</v>
      </c>
      <c r="V192">
        <f t="shared" si="171"/>
        <v>1.1099999999999999E-3</v>
      </c>
      <c r="X192">
        <f>0.1*X46+(1-0.1)*T46</f>
        <v>9.9173000000000013E-4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8.0000000000000004E-4</v>
      </c>
      <c r="G198">
        <f t="shared" si="173"/>
        <v>1.1200000000000001E-3</v>
      </c>
      <c r="I198">
        <f t="shared" si="174"/>
        <v>8.2000000000000009E-4</v>
      </c>
      <c r="J198">
        <f t="shared" si="175"/>
        <v>1.1200000000000001E-3</v>
      </c>
      <c r="L198">
        <f>0.2*X46+(1-0.2)*T46</f>
        <v>1.0037600000000002E-3</v>
      </c>
      <c r="P198" s="21"/>
      <c r="Q198" t="s">
        <v>37</v>
      </c>
      <c r="R198">
        <f t="shared" si="176"/>
        <v>7.9999999999999993E-4</v>
      </c>
      <c r="S198">
        <f t="shared" si="177"/>
        <v>1.1299999999999999E-3</v>
      </c>
      <c r="U198">
        <f t="shared" si="178"/>
        <v>8.3000000000000001E-4</v>
      </c>
      <c r="V198">
        <f t="shared" si="179"/>
        <v>1.1299999999999999E-3</v>
      </c>
      <c r="X198">
        <f>0.3*X46+(1-0.3)*T46</f>
        <v>1.0157899999999999E-3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8.0025000000000007E-4</v>
      </c>
      <c r="G205">
        <f t="shared" si="181"/>
        <v>1.1100000000000001E-3</v>
      </c>
      <c r="H205">
        <f t="shared" si="182"/>
        <v>3.368468</v>
      </c>
      <c r="I205">
        <f t="shared" si="183"/>
        <v>8.1000000000000006E-4</v>
      </c>
      <c r="J205">
        <f t="shared" si="184"/>
        <v>1.1100000000000001E-3</v>
      </c>
      <c r="K205">
        <f t="shared" si="185"/>
        <v>86.393905000000004</v>
      </c>
      <c r="L205">
        <f>(0.05*(1-0.05)+0.05*(1-0.05))*X46+0.05*0.05*AB46+(1-0.05*(1-0.05)-0.05*(1-0.05)-0.05*0.05)*T46</f>
        <v>9.9167925000000017E-4</v>
      </c>
      <c r="M205">
        <f>AE46+AA46+W46</f>
        <v>8.995495</v>
      </c>
      <c r="O205" s="20"/>
      <c r="P205" s="21"/>
      <c r="Q205" t="s">
        <v>37</v>
      </c>
      <c r="R205">
        <f t="shared" si="186"/>
        <v>8.0100000000000006E-4</v>
      </c>
      <c r="S205">
        <f t="shared" si="187"/>
        <v>1.1200000000000001E-3</v>
      </c>
      <c r="U205">
        <f t="shared" si="188"/>
        <v>8.1999999999999998E-4</v>
      </c>
      <c r="V205">
        <f t="shared" si="189"/>
        <v>1.1200000000000001E-3</v>
      </c>
      <c r="X205">
        <f>(0.1*0.9+0.1*0.9)*X46+0.1*0.1*AB46+(1-0.1*0.9-0.1*0.9-0.1*0.1)*T46</f>
        <v>1.0035570000000002E-3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8.0400000000000003E-4</v>
      </c>
      <c r="G211">
        <f t="shared" si="191"/>
        <v>1.14E-3</v>
      </c>
      <c r="I211">
        <f t="shared" si="192"/>
        <v>8.4000000000000003E-4</v>
      </c>
      <c r="J211">
        <f t="shared" si="193"/>
        <v>1.14E-3</v>
      </c>
      <c r="L211">
        <f>(0.2*0.8+0.2*0.8)*X46+0.2*0.2*AB46+(1-0.2*0.8-0.2*0.8-0.2*0.2)*T46</f>
        <v>1.027008E-3</v>
      </c>
      <c r="O211" s="20"/>
      <c r="P211" s="21"/>
      <c r="Q211" t="s">
        <v>37</v>
      </c>
      <c r="R211">
        <f t="shared" si="194"/>
        <v>8.0900000000000004E-4</v>
      </c>
      <c r="S211">
        <f t="shared" si="195"/>
        <v>1.16E-3</v>
      </c>
      <c r="U211">
        <f t="shared" si="196"/>
        <v>8.6000000000000009E-4</v>
      </c>
      <c r="V211">
        <f t="shared" si="197"/>
        <v>1.16E-3</v>
      </c>
      <c r="X211">
        <f>(0.3*0.7+0.3*0.7)*X46+0.3*0.3*AB46+(1-0.3*0.7-0.3*0.7-0.3*0.3)*T46</f>
        <v>1.050053E-3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8.0073749999999989E-4</v>
      </c>
      <c r="G218">
        <f t="shared" si="199"/>
        <v>1.1149999999999999E-3</v>
      </c>
      <c r="H218">
        <f t="shared" si="200"/>
        <v>4.4126340000000006</v>
      </c>
      <c r="I218">
        <f t="shared" si="201"/>
        <v>8.1498749999999994E-4</v>
      </c>
      <c r="J218">
        <f t="shared" si="202"/>
        <v>1.1149999999999999E-3</v>
      </c>
      <c r="K218">
        <f t="shared" si="203"/>
        <v>131.82958099999999</v>
      </c>
      <c r="L218">
        <f>3*0.05*(1-0.05)*(1-0.05)*X46+3*0.05*0.05*(1-0.05)*AB46+0.05*0.05*0.05*AF46+(1-3*0.05*(1-0.05)*(1-0.05)-3*0.05*0.05*(1-0.05)-0.05*0.05*0.05)*T46</f>
        <v>9.975827875E-4</v>
      </c>
      <c r="M218">
        <f>AI46+AE46+AA46+W46</f>
        <v>11.816487</v>
      </c>
      <c r="N218" s="24"/>
      <c r="O218" s="20"/>
      <c r="P218" s="21"/>
      <c r="Q218" t="s">
        <v>37</v>
      </c>
      <c r="R218">
        <f t="shared" si="204"/>
        <v>8.0290000000000005E-4</v>
      </c>
      <c r="S218">
        <f t="shared" si="205"/>
        <v>1.1299999999999999E-3</v>
      </c>
      <c r="U218">
        <f t="shared" si="206"/>
        <v>8.2990000000000006E-4</v>
      </c>
      <c r="V218">
        <f t="shared" si="207"/>
        <v>1.1299999999999999E-3</v>
      </c>
      <c r="X218">
        <f>3*0.1*(1-0.1)*(1-0.1)*X46+3*0.1*0.1*(1-0.1)*AB46+0.1*0.1*0.1*AF46+(1-3*0.1*(1-0.1)*(1-0.1)-3*0.1*0.1*(1-0.1)-0.1*0.1*0.1)*T46</f>
        <v>1.0151013000000001E-3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8.1119999999999999E-4</v>
      </c>
      <c r="G224">
        <f t="shared" si="209"/>
        <v>1.16E-3</v>
      </c>
      <c r="I224">
        <f t="shared" si="210"/>
        <v>8.5919999999999996E-4</v>
      </c>
      <c r="J224">
        <f t="shared" si="211"/>
        <v>1.16E-3</v>
      </c>
      <c r="L224">
        <f>3*0.2*(1-0.2)*(1-0.2)*X46+3*0.2*0.2*(1-0.2)*AB46+0.2*0.2*0.2*AF46+(1-3*0.2*(1-0.2)*(1-0.2)-3*0.2*0.2*(1-0.2)-0.2*0.2*0.2)*T46</f>
        <v>1.0488063999999999E-3</v>
      </c>
      <c r="N224" s="24"/>
      <c r="O224" s="20"/>
      <c r="P224" s="21"/>
      <c r="Q224" t="s">
        <v>37</v>
      </c>
      <c r="R224">
        <f t="shared" si="212"/>
        <v>8.2430000000000014E-4</v>
      </c>
      <c r="S224">
        <f t="shared" si="213"/>
        <v>1.1900000000000001E-3</v>
      </c>
      <c r="U224">
        <f t="shared" si="214"/>
        <v>8.8730000000000005E-4</v>
      </c>
      <c r="V224">
        <f t="shared" si="215"/>
        <v>1.1900000000000001E-3</v>
      </c>
      <c r="X224">
        <f>3*0.3*(1-0.3)*(1-0.3)*X46+3*0.3*0.3*(1-0.3)*AB46+0.3*0.3*0.3*AF46+(1-3*0.3*(1-0.3)*(1-0.3)-3*0.3*0.3*(1-0.3)-0.3*0.3*0.3)*T46</f>
        <v>1.0803371000000003E-3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3.4265499999999998E-4</v>
      </c>
      <c r="G231">
        <f t="shared" si="217"/>
        <v>6.8366499999999997E-4</v>
      </c>
      <c r="H231">
        <f t="shared" si="218"/>
        <v>2.0847540000000002</v>
      </c>
      <c r="I231">
        <f t="shared" si="219"/>
        <v>3.4505999999999995E-4</v>
      </c>
      <c r="J231">
        <f t="shared" si="220"/>
        <v>6.8219500000000002E-4</v>
      </c>
      <c r="K231">
        <f t="shared" si="221"/>
        <v>47.875286000000003</v>
      </c>
      <c r="L231">
        <f>0.05*F66+(1-0.05)*B66</f>
        <v>5.1112999999999994E-4</v>
      </c>
      <c r="M231">
        <f>I66+E66</f>
        <v>5.7862229999999997</v>
      </c>
      <c r="P231" s="21"/>
      <c r="Q231" t="s">
        <v>37</v>
      </c>
      <c r="R231">
        <f t="shared" si="222"/>
        <v>3.4441000000000002E-4</v>
      </c>
      <c r="S231">
        <f t="shared" si="223"/>
        <v>6.8703000000000004E-4</v>
      </c>
      <c r="U231">
        <f t="shared" si="224"/>
        <v>3.4922000000000002E-4</v>
      </c>
      <c r="V231">
        <f t="shared" si="225"/>
        <v>6.8409000000000005E-4</v>
      </c>
      <c r="X231">
        <f>0.1*F66+(1-0.1)*B66</f>
        <v>5.1405999999999999E-4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3.4791999999999999E-4</v>
      </c>
      <c r="G237">
        <f t="shared" si="227"/>
        <v>6.9375999999999997E-4</v>
      </c>
      <c r="I237">
        <f t="shared" si="228"/>
        <v>3.5754E-4</v>
      </c>
      <c r="J237">
        <f t="shared" si="229"/>
        <v>6.8787999999999998E-4</v>
      </c>
      <c r="L237">
        <f>0.2*F66+(1-0.2)*B66</f>
        <v>5.199200000000001E-4</v>
      </c>
      <c r="P237" s="21"/>
      <c r="Q237" t="s">
        <v>37</v>
      </c>
      <c r="R237">
        <f t="shared" si="230"/>
        <v>3.5142999999999996E-4</v>
      </c>
      <c r="S237">
        <f t="shared" si="231"/>
        <v>7.0049000000000001E-4</v>
      </c>
      <c r="U237">
        <f t="shared" si="232"/>
        <v>3.6585999999999997E-4</v>
      </c>
      <c r="V237">
        <f t="shared" si="233"/>
        <v>6.9166999999999992E-4</v>
      </c>
      <c r="X237">
        <f>0.3*F66+(1-0.3)*B66</f>
        <v>5.2578E-4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3.4440600000000001E-4</v>
      </c>
      <c r="G244">
        <f t="shared" si="235"/>
        <v>6.8702400000000005E-4</v>
      </c>
      <c r="H244">
        <f t="shared" si="236"/>
        <v>3.1433159999999996</v>
      </c>
      <c r="I244">
        <f t="shared" si="237"/>
        <v>3.4912975000000004E-4</v>
      </c>
      <c r="J244">
        <f t="shared" si="238"/>
        <v>6.840145000000001E-4</v>
      </c>
      <c r="K244">
        <f t="shared" si="239"/>
        <v>77.931595000000002</v>
      </c>
      <c r="L244">
        <f>(0.05*(1-0.05)+0.05*(1-0.05))*F66+0.05*0.05*J66+(1-0.05*(1-0.05)-0.05*(1-0.05)-0.05*0.05)*B66</f>
        <v>5.1403700000000007E-4</v>
      </c>
      <c r="M244">
        <f>M66+I66+E66</f>
        <v>8.7158270000000009</v>
      </c>
      <c r="O244" s="20"/>
      <c r="P244" s="21"/>
      <c r="Q244" t="s">
        <v>37</v>
      </c>
      <c r="R244">
        <f t="shared" si="240"/>
        <v>3.4790400000000001E-4</v>
      </c>
      <c r="S244">
        <f t="shared" si="241"/>
        <v>6.9373600000000014E-4</v>
      </c>
      <c r="U244">
        <f t="shared" si="242"/>
        <v>3.57179E-4</v>
      </c>
      <c r="V244">
        <f t="shared" si="243"/>
        <v>6.875780000000001E-4</v>
      </c>
      <c r="X244">
        <f>(0.1*0.9+0.1*0.9)*F66+0.1*0.1*J66+(1-0.1*0.9-0.1*0.9-0.1*0.1)*B66</f>
        <v>5.1982800000000007E-4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3.5487599999999995E-4</v>
      </c>
      <c r="G250">
        <f t="shared" si="245"/>
        <v>7.0712399999999995E-4</v>
      </c>
      <c r="I250">
        <f t="shared" si="246"/>
        <v>3.7273599999999998E-4</v>
      </c>
      <c r="J250">
        <f t="shared" si="247"/>
        <v>6.9425200000000002E-4</v>
      </c>
      <c r="L250">
        <f>(0.2*0.8+0.2*0.8)*F66+0.2*0.2*J66+(1-0.2*0.8-0.2*0.8-0.2*0.2)*B66</f>
        <v>5.3127199999999995E-4</v>
      </c>
      <c r="O250" s="20"/>
      <c r="P250" s="21"/>
      <c r="Q250" t="s">
        <v>37</v>
      </c>
      <c r="R250">
        <f t="shared" si="248"/>
        <v>3.6181600000000005E-4</v>
      </c>
      <c r="S250">
        <f t="shared" si="249"/>
        <v>7.2046400000000009E-4</v>
      </c>
      <c r="U250">
        <f t="shared" si="250"/>
        <v>3.8757100000000002E-4</v>
      </c>
      <c r="V250">
        <f t="shared" si="251"/>
        <v>7.0032200000000008E-4</v>
      </c>
      <c r="X250">
        <f>(0.3*0.7+0.3*0.7)*F66+0.3*0.3*J66+(1-0.3*0.7-0.3*0.7-0.3*0.3)*B66</f>
        <v>5.4253200000000008E-4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4.0153532499999996E-4</v>
      </c>
      <c r="G257">
        <f t="shared" si="253"/>
        <v>7.9966762499999989E-4</v>
      </c>
      <c r="H257">
        <f t="shared" si="254"/>
        <v>4.328246</v>
      </c>
      <c r="I257">
        <f t="shared" si="255"/>
        <v>4.1686147499999998E-4</v>
      </c>
      <c r="J257">
        <f t="shared" si="256"/>
        <v>7.8560807499999995E-4</v>
      </c>
      <c r="K257">
        <f t="shared" si="257"/>
        <v>100.64300900000001</v>
      </c>
      <c r="L257">
        <f>3*0.05*(1-0.05)*(1-0.05)*F66+3*0.05*0.05*(1-0.05)*J66+0.05*0.05*0.05*N66+(1-3*0.05*(1-0.05)*(1-0.05)-3*0.05*0.05*(1-0.05)-0.05*0.05*0.05)*B66</f>
        <v>5.1692248749999996E-4</v>
      </c>
      <c r="M257">
        <f>Q66+M66+I66+E66</f>
        <v>12.118304999999999</v>
      </c>
      <c r="N257" s="24"/>
      <c r="O257" s="20"/>
      <c r="P257" s="21"/>
      <c r="Q257" t="s">
        <v>37</v>
      </c>
      <c r="R257">
        <f t="shared" si="258"/>
        <v>7.9444059999999998E-4</v>
      </c>
      <c r="S257">
        <f t="shared" si="259"/>
        <v>1.5747430000000004E-3</v>
      </c>
      <c r="U257">
        <f t="shared" si="260"/>
        <v>8.7479479999999997E-4</v>
      </c>
      <c r="V257">
        <f t="shared" si="261"/>
        <v>1.4895606000000002E-3</v>
      </c>
      <c r="X257">
        <f>3*0.1*(1-0.1)*(1-0.1)*F66+3*0.1*0.1*(1-0.1)*J66+0.1*0.1*0.1*N66+(1-3*0.1*(1-0.1)*(1-0.1)-3*0.1*0.1*(1-0.1)-0.1*0.1*0.1)*B66</f>
        <v>5.2551589999999993E-4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3.9062368000000007E-3</v>
      </c>
      <c r="G263">
        <f t="shared" si="263"/>
        <v>7.7149920000000012E-3</v>
      </c>
      <c r="I263">
        <f t="shared" si="264"/>
        <v>4.4666304000000011E-3</v>
      </c>
      <c r="J263">
        <f t="shared" si="265"/>
        <v>7.0897888000000008E-3</v>
      </c>
      <c r="L263">
        <f>3*0.2*(1-0.2)*(1-0.2)*F66+3*0.2*0.2*(1-0.2)*J66+0.2*0.2*0.2*N66+(1-3*0.2*(1-0.2)*(1-0.2)-3*0.2*0.2*(1-0.2)-0.2*0.2*0.2)*B66</f>
        <v>5.4235120000000001E-4</v>
      </c>
      <c r="N263" s="24"/>
      <c r="O263" s="20"/>
      <c r="P263" s="21"/>
      <c r="Q263" t="s">
        <v>37</v>
      </c>
      <c r="R263">
        <f t="shared" si="266"/>
        <v>1.23346402E-2</v>
      </c>
      <c r="S263">
        <f t="shared" si="267"/>
        <v>2.4346996999999999E-2</v>
      </c>
      <c r="U263">
        <f t="shared" si="268"/>
        <v>1.4176513599999998E-2</v>
      </c>
      <c r="V263">
        <f t="shared" si="269"/>
        <v>2.2273764199999997E-2</v>
      </c>
      <c r="X263">
        <f>3*0.3*(1-0.3)*(1-0.3)*F66+3*0.3*0.3*(1-0.3)*J66+0.3*0.3*0.3*N66+(1-3*0.3*(1-0.3)*(1-0.3)-3*0.3*0.3*(1-0.3)-0.3*0.3*0.3)*B66</f>
        <v>5.587773000000001E-4</v>
      </c>
    </row>
  </sheetData>
  <mergeCells count="361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B46:D46"/>
    <mergeCell ref="F46:H46"/>
    <mergeCell ref="J46:L46"/>
    <mergeCell ref="N46:P46"/>
    <mergeCell ref="T46:V46"/>
    <mergeCell ref="X46:Z46"/>
    <mergeCell ref="AB46:AD46"/>
    <mergeCell ref="AF46:AH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T25:V25"/>
    <mergeCell ref="X25:Z25"/>
    <mergeCell ref="AB25:AD25"/>
    <mergeCell ref="AF25:AH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3"/>
  <sheetViews>
    <sheetView topLeftCell="L1" zoomScale="85" zoomScaleNormal="85" workbookViewId="0">
      <selection activeCell="P1" sqref="P1:AC5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  <c r="Y1" s="15" t="s">
        <v>143</v>
      </c>
      <c r="Z1" s="15"/>
      <c r="AA1" s="15"/>
      <c r="AB1" s="15"/>
      <c r="AC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104</v>
      </c>
      <c r="C9" s="16"/>
      <c r="D9" s="16"/>
      <c r="E9" s="16"/>
      <c r="F9" s="16" t="s">
        <v>105</v>
      </c>
      <c r="G9" s="16"/>
      <c r="H9" s="16"/>
      <c r="I9" s="16"/>
      <c r="J9" s="16" t="s">
        <v>106</v>
      </c>
      <c r="K9" s="16"/>
      <c r="L9" s="16"/>
      <c r="M9" s="16"/>
      <c r="N9" s="16" t="s">
        <v>107</v>
      </c>
      <c r="O9" s="16"/>
      <c r="P9" s="16"/>
      <c r="Q9" s="16"/>
      <c r="S9" s="22" t="s">
        <v>12</v>
      </c>
      <c r="T9" s="16" t="s">
        <v>104</v>
      </c>
      <c r="U9" s="16"/>
      <c r="V9" s="16"/>
      <c r="W9" s="16"/>
      <c r="X9" s="16" t="s">
        <v>105</v>
      </c>
      <c r="Y9" s="16"/>
      <c r="Z9" s="16"/>
      <c r="AA9" s="16"/>
      <c r="AB9" s="16" t="s">
        <v>106</v>
      </c>
      <c r="AC9" s="16"/>
      <c r="AD9" s="16"/>
      <c r="AE9" s="16"/>
      <c r="AF9" s="16" t="s">
        <v>107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>
        <v>1.2999999999999999E-3</v>
      </c>
      <c r="D13">
        <v>1.2999999999999999E-3</v>
      </c>
      <c r="E13">
        <v>1.217285</v>
      </c>
      <c r="F13" t="s">
        <v>22</v>
      </c>
      <c r="G13">
        <v>1.4E-3</v>
      </c>
      <c r="H13">
        <v>1.4E-3</v>
      </c>
      <c r="I13">
        <v>1.2136169999999999</v>
      </c>
      <c r="J13" t="s">
        <v>22</v>
      </c>
      <c r="K13">
        <v>1.5E-3</v>
      </c>
      <c r="L13">
        <v>1.5E-3</v>
      </c>
      <c r="M13">
        <v>1.2129259999999999</v>
      </c>
      <c r="N13" t="s">
        <v>22</v>
      </c>
      <c r="O13" s="10">
        <v>1.6999999999999999E-3</v>
      </c>
      <c r="P13" s="10">
        <v>1.6999999999999999E-3</v>
      </c>
      <c r="Q13" s="10">
        <v>1.1876329999999999</v>
      </c>
      <c r="S13" s="22"/>
      <c r="T13" t="s">
        <v>22</v>
      </c>
      <c r="U13">
        <v>1.2999999999999999E-3</v>
      </c>
      <c r="V13">
        <v>1.2999999999999999E-3</v>
      </c>
      <c r="W13">
        <v>0.96928599999999998</v>
      </c>
      <c r="X13" t="s">
        <v>22</v>
      </c>
      <c r="Y13">
        <v>1.4E-3</v>
      </c>
      <c r="Z13">
        <v>1.4E-3</v>
      </c>
      <c r="AA13">
        <v>0.98071299999999995</v>
      </c>
      <c r="AB13" t="s">
        <v>22</v>
      </c>
      <c r="AC13">
        <v>1.5E-3</v>
      </c>
      <c r="AD13">
        <v>1.5E-3</v>
      </c>
      <c r="AE13">
        <v>0.99065000000000003</v>
      </c>
      <c r="AF13" t="s">
        <v>22</v>
      </c>
      <c r="AG13">
        <v>1.6000000000000001E-3</v>
      </c>
      <c r="AH13">
        <v>1.6000000000000001E-3</v>
      </c>
      <c r="AI13">
        <v>0.97982800000000003</v>
      </c>
    </row>
    <row r="16" spans="1:35" x14ac:dyDescent="0.25">
      <c r="A16" s="18" t="s">
        <v>23</v>
      </c>
      <c r="B16" s="16" t="s">
        <v>104</v>
      </c>
      <c r="C16" s="16"/>
      <c r="D16" s="16"/>
      <c r="E16" s="16"/>
      <c r="F16" s="16" t="s">
        <v>105</v>
      </c>
      <c r="G16" s="16"/>
      <c r="H16" s="16"/>
      <c r="I16" s="16"/>
      <c r="J16" s="16" t="s">
        <v>106</v>
      </c>
      <c r="K16" s="16"/>
      <c r="L16" s="16"/>
      <c r="M16" s="16"/>
      <c r="N16" s="16" t="s">
        <v>107</v>
      </c>
      <c r="O16" s="16"/>
      <c r="P16" s="16"/>
      <c r="Q16" s="16"/>
      <c r="S16" s="18" t="s">
        <v>23</v>
      </c>
      <c r="T16" s="16" t="s">
        <v>104</v>
      </c>
      <c r="U16" s="16"/>
      <c r="V16" s="16"/>
      <c r="W16" s="16"/>
      <c r="X16" s="16" t="s">
        <v>105</v>
      </c>
      <c r="Y16" s="16"/>
      <c r="Z16" s="16"/>
      <c r="AA16" s="16"/>
      <c r="AB16" s="16" t="s">
        <v>106</v>
      </c>
      <c r="AC16" s="16"/>
      <c r="AD16" s="16"/>
      <c r="AE16" s="16"/>
      <c r="AF16" s="16" t="s">
        <v>107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1.2999999999999999E-3</v>
      </c>
      <c r="D20">
        <v>1.2999999999999999E-3</v>
      </c>
      <c r="E20">
        <v>1.279053</v>
      </c>
      <c r="F20" t="s">
        <v>22</v>
      </c>
      <c r="G20">
        <v>1.4E-3</v>
      </c>
      <c r="H20">
        <v>1.4E-3</v>
      </c>
      <c r="I20">
        <v>1.266834</v>
      </c>
      <c r="J20" t="s">
        <v>22</v>
      </c>
      <c r="K20">
        <v>1.5E-3</v>
      </c>
      <c r="L20">
        <v>1.5E-3</v>
      </c>
      <c r="M20">
        <v>1.262321</v>
      </c>
      <c r="N20" t="s">
        <v>22</v>
      </c>
      <c r="O20">
        <v>1.6999999999999999E-3</v>
      </c>
      <c r="P20">
        <v>1.6999999999999999E-3</v>
      </c>
      <c r="Q20">
        <v>1.2415499999999999</v>
      </c>
      <c r="S20" s="18"/>
      <c r="T20" t="s">
        <v>22</v>
      </c>
      <c r="U20">
        <v>1.2999999999999999E-3</v>
      </c>
      <c r="V20">
        <v>1.2999999999999999E-3</v>
      </c>
      <c r="W20">
        <v>5.2420400000000003</v>
      </c>
      <c r="X20" t="s">
        <v>22</v>
      </c>
      <c r="Y20" s="28">
        <v>1.4E-3</v>
      </c>
      <c r="Z20">
        <v>1.4E-3</v>
      </c>
      <c r="AA20">
        <v>5.2232620000000001</v>
      </c>
      <c r="AB20" t="s">
        <v>22</v>
      </c>
      <c r="AC20">
        <v>1.5E-3</v>
      </c>
      <c r="AD20">
        <v>1.5E-3</v>
      </c>
      <c r="AE20">
        <v>5.3266499999999999</v>
      </c>
      <c r="AF20" t="s">
        <v>22</v>
      </c>
      <c r="AG20">
        <v>1.6000000000000001E-3</v>
      </c>
      <c r="AH20">
        <v>1.6000000000000001E-3</v>
      </c>
      <c r="AI20">
        <v>6.4979740000000001</v>
      </c>
    </row>
    <row r="23" spans="1:35" x14ac:dyDescent="0.25">
      <c r="A23" s="23" t="s">
        <v>24</v>
      </c>
      <c r="B23" s="16" t="s">
        <v>104</v>
      </c>
      <c r="C23" s="16"/>
      <c r="D23" s="16"/>
      <c r="E23" s="16"/>
      <c r="F23" s="16" t="s">
        <v>105</v>
      </c>
      <c r="G23" s="16"/>
      <c r="H23" s="16"/>
      <c r="I23" s="16"/>
      <c r="J23" s="16" t="s">
        <v>106</v>
      </c>
      <c r="K23" s="16"/>
      <c r="L23" s="16"/>
      <c r="M23" s="16"/>
      <c r="N23" s="16" t="s">
        <v>107</v>
      </c>
      <c r="O23" s="16"/>
      <c r="P23" s="16"/>
      <c r="Q23" s="16"/>
      <c r="S23" s="23" t="s">
        <v>24</v>
      </c>
      <c r="T23" s="16" t="s">
        <v>104</v>
      </c>
      <c r="U23" s="16"/>
      <c r="V23" s="16"/>
      <c r="W23" s="16"/>
      <c r="X23" s="16" t="s">
        <v>105</v>
      </c>
      <c r="Y23" s="16"/>
      <c r="Z23" s="16"/>
      <c r="AA23" s="16"/>
      <c r="AB23" s="16" t="s">
        <v>106</v>
      </c>
      <c r="AC23" s="16"/>
      <c r="AD23" s="16"/>
      <c r="AE23" s="16"/>
      <c r="AF23" s="16" t="s">
        <v>107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ht="16.05" customHeight="1" x14ac:dyDescent="0.25">
      <c r="A25" s="23"/>
      <c r="B25" s="16">
        <v>1.2999999999999999E-3</v>
      </c>
      <c r="C25" s="16"/>
      <c r="D25" s="16"/>
      <c r="E25">
        <v>2.6508280000000002</v>
      </c>
      <c r="F25" s="16">
        <v>1.4E-3</v>
      </c>
      <c r="G25" s="16"/>
      <c r="H25" s="16"/>
      <c r="I25">
        <v>2.6838660000000001</v>
      </c>
      <c r="J25" s="27">
        <v>1.5E-3</v>
      </c>
      <c r="K25" s="27"/>
      <c r="L25" s="27"/>
      <c r="M25">
        <v>2.7059120000000001</v>
      </c>
      <c r="N25" s="16">
        <v>1.6999999999999999E-3</v>
      </c>
      <c r="O25" s="16"/>
      <c r="P25" s="16"/>
      <c r="Q25">
        <v>2.6112829999999998</v>
      </c>
      <c r="S25" s="23"/>
      <c r="T25" s="16">
        <v>1.2999999999999999E-3</v>
      </c>
      <c r="U25" s="16"/>
      <c r="V25" s="16"/>
      <c r="W25">
        <v>2.8728820000000002</v>
      </c>
      <c r="X25" s="16">
        <v>1.4E-3</v>
      </c>
      <c r="Y25" s="16"/>
      <c r="Z25" s="16"/>
      <c r="AA25">
        <v>2.94387</v>
      </c>
      <c r="AB25" s="16">
        <v>1.5E-3</v>
      </c>
      <c r="AC25" s="16"/>
      <c r="AD25" s="16"/>
      <c r="AE25">
        <v>3.5182820000000001</v>
      </c>
      <c r="AF25" s="16">
        <v>1.6000000000000001E-3</v>
      </c>
      <c r="AG25" s="16"/>
      <c r="AH25" s="16"/>
      <c r="AI25">
        <v>2.689527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104</v>
      </c>
      <c r="C30" s="16"/>
      <c r="D30" s="16"/>
      <c r="E30" s="16"/>
      <c r="F30" s="16" t="s">
        <v>105</v>
      </c>
      <c r="G30" s="16"/>
      <c r="H30" s="16"/>
      <c r="I30" s="16"/>
      <c r="J30" s="16" t="s">
        <v>106</v>
      </c>
      <c r="K30" s="16"/>
      <c r="L30" s="16"/>
      <c r="M30" s="16"/>
      <c r="N30" s="16" t="s">
        <v>107</v>
      </c>
      <c r="O30" s="16"/>
      <c r="P30" s="16"/>
      <c r="Q30" s="16"/>
      <c r="S30" s="22" t="s">
        <v>12</v>
      </c>
      <c r="T30" s="16" t="s">
        <v>104</v>
      </c>
      <c r="U30" s="16"/>
      <c r="V30" s="16"/>
      <c r="W30" s="16"/>
      <c r="X30" s="16" t="s">
        <v>105</v>
      </c>
      <c r="Y30" s="16"/>
      <c r="Z30" s="16"/>
      <c r="AA30" s="16"/>
      <c r="AB30" s="16" t="s">
        <v>106</v>
      </c>
      <c r="AC30" s="16"/>
      <c r="AD30" s="16"/>
      <c r="AE30" s="16"/>
      <c r="AF30" s="16" t="s">
        <v>107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1.1000000000000001E-3</v>
      </c>
      <c r="D34">
        <v>1.1999999999999999E-3</v>
      </c>
      <c r="E34">
        <v>1.0056149999999999</v>
      </c>
      <c r="F34" t="s">
        <v>22</v>
      </c>
      <c r="G34">
        <v>1.1999999999999999E-3</v>
      </c>
      <c r="H34">
        <v>1.2999999999999999E-3</v>
      </c>
      <c r="I34">
        <v>0.986981</v>
      </c>
      <c r="J34" t="s">
        <v>22</v>
      </c>
      <c r="K34">
        <v>1.4E-3</v>
      </c>
      <c r="L34">
        <v>1.4E-3</v>
      </c>
      <c r="M34">
        <v>0.13234599999999999</v>
      </c>
      <c r="N34" t="s">
        <v>22</v>
      </c>
      <c r="O34">
        <v>1.5E-3</v>
      </c>
      <c r="P34">
        <v>1.5E-3</v>
      </c>
      <c r="Q34">
        <v>1.2286170000000001</v>
      </c>
      <c r="S34" s="22"/>
      <c r="T34" t="s">
        <v>22</v>
      </c>
      <c r="U34">
        <v>8.0000000000000004E-4</v>
      </c>
      <c r="V34">
        <v>1E-3</v>
      </c>
      <c r="W34">
        <v>1.2366470000000001</v>
      </c>
      <c r="X34" t="s">
        <v>22</v>
      </c>
      <c r="Y34">
        <v>8.0000000000000004E-4</v>
      </c>
      <c r="Z34">
        <v>1.1000000000000001E-3</v>
      </c>
      <c r="AA34">
        <v>0.98552399999999996</v>
      </c>
      <c r="AB34" t="s">
        <v>22</v>
      </c>
      <c r="AC34">
        <v>8.9999999999999998E-4</v>
      </c>
      <c r="AD34">
        <v>1.1999999999999999E-3</v>
      </c>
      <c r="AE34">
        <v>1.2289239999999999</v>
      </c>
      <c r="AF34" t="s">
        <v>22</v>
      </c>
      <c r="AG34">
        <v>1E-3</v>
      </c>
      <c r="AH34">
        <v>1.2999999999999999E-3</v>
      </c>
      <c r="AI34">
        <v>0.97310399999999997</v>
      </c>
    </row>
    <row r="37" spans="1:35" x14ac:dyDescent="0.25">
      <c r="A37" s="18" t="s">
        <v>23</v>
      </c>
      <c r="B37" s="16" t="s">
        <v>104</v>
      </c>
      <c r="C37" s="16"/>
      <c r="D37" s="16"/>
      <c r="E37" s="16"/>
      <c r="F37" s="16" t="s">
        <v>105</v>
      </c>
      <c r="G37" s="16"/>
      <c r="H37" s="16"/>
      <c r="I37" s="16"/>
      <c r="J37" s="16" t="s">
        <v>106</v>
      </c>
      <c r="K37" s="16"/>
      <c r="L37" s="16"/>
      <c r="M37" s="16"/>
      <c r="N37" s="16" t="s">
        <v>107</v>
      </c>
      <c r="O37" s="16"/>
      <c r="P37" s="16"/>
      <c r="Q37" s="16"/>
      <c r="S37" s="18" t="s">
        <v>23</v>
      </c>
      <c r="T37" s="16" t="s">
        <v>104</v>
      </c>
      <c r="U37" s="16"/>
      <c r="V37" s="16"/>
      <c r="W37" s="16"/>
      <c r="X37" s="16" t="s">
        <v>105</v>
      </c>
      <c r="Y37" s="16"/>
      <c r="Z37" s="16"/>
      <c r="AA37" s="16"/>
      <c r="AB37" s="16" t="s">
        <v>106</v>
      </c>
      <c r="AC37" s="16"/>
      <c r="AD37" s="16"/>
      <c r="AE37" s="16"/>
      <c r="AF37" s="16" t="s">
        <v>107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1.1000000000000001E-3</v>
      </c>
      <c r="D41">
        <v>1.1999999999999999E-3</v>
      </c>
      <c r="E41">
        <v>6.9020669999999997</v>
      </c>
      <c r="F41" t="s">
        <v>22</v>
      </c>
      <c r="G41">
        <v>1.1999999999999999E-3</v>
      </c>
      <c r="H41">
        <v>1.2999999999999999E-3</v>
      </c>
      <c r="I41">
        <v>6.261425</v>
      </c>
      <c r="J41" t="s">
        <v>22</v>
      </c>
      <c r="K41">
        <v>1.4E-3</v>
      </c>
      <c r="L41">
        <v>1.4E-3</v>
      </c>
      <c r="M41">
        <v>5.9544560000000004</v>
      </c>
      <c r="N41" t="s">
        <v>22</v>
      </c>
      <c r="O41">
        <v>1.5E-3</v>
      </c>
      <c r="P41">
        <v>1.5E-3</v>
      </c>
      <c r="Q41">
        <v>6.4714809999999998</v>
      </c>
      <c r="S41" s="18"/>
      <c r="T41" t="s">
        <v>22</v>
      </c>
      <c r="U41">
        <v>8.0000000000000004E-4</v>
      </c>
      <c r="V41">
        <v>1E-3</v>
      </c>
      <c r="W41">
        <v>9.2755799999999997</v>
      </c>
      <c r="X41" t="s">
        <v>22</v>
      </c>
      <c r="Y41">
        <v>8.9999999999999998E-4</v>
      </c>
      <c r="Z41">
        <v>1.1000000000000001E-3</v>
      </c>
      <c r="AA41">
        <v>6.7808539999999997</v>
      </c>
      <c r="AB41" t="s">
        <v>22</v>
      </c>
      <c r="AC41">
        <v>8.9999999999999998E-4</v>
      </c>
      <c r="AD41">
        <v>1.1999999999999999E-3</v>
      </c>
      <c r="AE41">
        <v>6.577661</v>
      </c>
      <c r="AF41" t="s">
        <v>22</v>
      </c>
      <c r="AG41">
        <v>1E-3</v>
      </c>
      <c r="AH41">
        <v>1.2999999999999999E-3</v>
      </c>
      <c r="AI41">
        <v>7.3146950000000004</v>
      </c>
    </row>
    <row r="44" spans="1:35" x14ac:dyDescent="0.25">
      <c r="A44" s="23" t="s">
        <v>24</v>
      </c>
      <c r="B44" s="16" t="s">
        <v>104</v>
      </c>
      <c r="C44" s="16"/>
      <c r="D44" s="16"/>
      <c r="E44" s="16"/>
      <c r="F44" s="16" t="s">
        <v>105</v>
      </c>
      <c r="G44" s="16"/>
      <c r="H44" s="16"/>
      <c r="I44" s="16"/>
      <c r="J44" s="16" t="s">
        <v>106</v>
      </c>
      <c r="K44" s="16"/>
      <c r="L44" s="16"/>
      <c r="M44" s="16"/>
      <c r="N44" s="16" t="s">
        <v>107</v>
      </c>
      <c r="O44" s="16"/>
      <c r="P44" s="16"/>
      <c r="Q44" s="16"/>
      <c r="S44" s="23" t="s">
        <v>24</v>
      </c>
      <c r="T44" s="16" t="s">
        <v>104</v>
      </c>
      <c r="U44" s="16"/>
      <c r="V44" s="16"/>
      <c r="W44" s="16"/>
      <c r="X44" s="16" t="s">
        <v>105</v>
      </c>
      <c r="Y44" s="16"/>
      <c r="Z44" s="16"/>
      <c r="AA44" s="16"/>
      <c r="AB44" s="16" t="s">
        <v>106</v>
      </c>
      <c r="AC44" s="16"/>
      <c r="AD44" s="16"/>
      <c r="AE44" s="16"/>
      <c r="AF44" s="16" t="s">
        <v>107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16">
        <v>1.1999999999999999E-3</v>
      </c>
      <c r="C46" s="16"/>
      <c r="D46" s="16"/>
      <c r="E46">
        <v>3.5013450000000002</v>
      </c>
      <c r="F46" s="16">
        <v>1.2999999999999999E-3</v>
      </c>
      <c r="G46" s="16"/>
      <c r="H46" s="16"/>
      <c r="I46">
        <v>2.9213119999999999</v>
      </c>
      <c r="J46" s="16">
        <v>1.4E-3</v>
      </c>
      <c r="K46" s="16"/>
      <c r="L46" s="16"/>
      <c r="M46">
        <v>2.9536169999999999</v>
      </c>
      <c r="N46" s="16">
        <v>1.5E-3</v>
      </c>
      <c r="O46" s="16"/>
      <c r="P46" s="16"/>
      <c r="Q46">
        <v>2.9242400000000002</v>
      </c>
      <c r="S46" s="23"/>
      <c r="T46" s="26">
        <v>9.389E-4</v>
      </c>
      <c r="U46" s="16"/>
      <c r="V46" s="16"/>
      <c r="W46">
        <v>2.9567380000000001</v>
      </c>
      <c r="X46" s="16">
        <v>1E-3</v>
      </c>
      <c r="Y46" s="16"/>
      <c r="Z46" s="16"/>
      <c r="AA46">
        <v>2.8524189999999998</v>
      </c>
      <c r="AB46" s="16">
        <v>1.1000000000000001E-3</v>
      </c>
      <c r="AC46" s="16"/>
      <c r="AD46" s="16"/>
      <c r="AE46">
        <v>2.8868900000000002</v>
      </c>
      <c r="AF46" s="16">
        <v>1.1999999999999999E-3</v>
      </c>
      <c r="AG46" s="16"/>
      <c r="AH46" s="16"/>
      <c r="AI46">
        <v>2.8857599999999999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104</v>
      </c>
      <c r="C50" s="16"/>
      <c r="D50" s="16"/>
      <c r="E50" s="16"/>
      <c r="F50" s="16" t="s">
        <v>105</v>
      </c>
      <c r="G50" s="16"/>
      <c r="H50" s="16"/>
      <c r="I50" s="16"/>
      <c r="J50" s="16" t="s">
        <v>106</v>
      </c>
      <c r="K50" s="16"/>
      <c r="L50" s="16"/>
      <c r="M50" s="16"/>
      <c r="N50" s="16" t="s">
        <v>107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3.3579999999999998E-4</v>
      </c>
      <c r="D54" s="2">
        <v>6.3789999999999995E-4</v>
      </c>
      <c r="E54">
        <v>1.216189</v>
      </c>
      <c r="F54" t="s">
        <v>22</v>
      </c>
      <c r="G54" s="2">
        <v>3.7280000000000001E-4</v>
      </c>
      <c r="H54" s="2">
        <v>7.071E-4</v>
      </c>
      <c r="I54">
        <v>0.97587100000000004</v>
      </c>
      <c r="J54" t="s">
        <v>22</v>
      </c>
      <c r="K54">
        <v>0.40820000000000001</v>
      </c>
      <c r="L54">
        <v>0.77359999999999995</v>
      </c>
      <c r="M54">
        <v>0.993224</v>
      </c>
      <c r="N54" t="s">
        <v>22</v>
      </c>
      <c r="O54">
        <v>0.44450000000000001</v>
      </c>
      <c r="P54">
        <v>0.83740000000000003</v>
      </c>
      <c r="Q54">
        <v>0.99312900000000004</v>
      </c>
    </row>
    <row r="57" spans="1:17" x14ac:dyDescent="0.25">
      <c r="A57" s="18" t="s">
        <v>23</v>
      </c>
      <c r="B57" s="16" t="s">
        <v>104</v>
      </c>
      <c r="C57" s="16"/>
      <c r="D57" s="16"/>
      <c r="E57" s="16"/>
      <c r="F57" s="16" t="s">
        <v>105</v>
      </c>
      <c r="G57" s="16"/>
      <c r="H57" s="16"/>
      <c r="I57" s="16"/>
      <c r="J57" s="16" t="s">
        <v>106</v>
      </c>
      <c r="K57" s="16"/>
      <c r="L57" s="16"/>
      <c r="M57" s="16"/>
      <c r="N57" s="16" t="s">
        <v>107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3.3579999999999998E-4</v>
      </c>
      <c r="D61" s="2">
        <v>6.3809999999999995E-4</v>
      </c>
      <c r="E61">
        <v>7.1385639999999997</v>
      </c>
      <c r="F61" t="s">
        <v>22</v>
      </c>
      <c r="G61" s="2">
        <v>4.2089999999999999E-4</v>
      </c>
      <c r="H61" s="2">
        <v>6.7860000000000001E-4</v>
      </c>
      <c r="I61">
        <v>7.0687629999999997</v>
      </c>
      <c r="J61" t="s">
        <v>22</v>
      </c>
      <c r="K61">
        <v>0.46779999999999999</v>
      </c>
      <c r="L61">
        <v>0.69379999999999997</v>
      </c>
      <c r="M61">
        <v>6.217835</v>
      </c>
      <c r="N61" t="s">
        <v>22</v>
      </c>
      <c r="O61">
        <v>0.50890000000000002</v>
      </c>
      <c r="P61">
        <v>0.76739999999999997</v>
      </c>
      <c r="Q61">
        <v>5.6393899999999997</v>
      </c>
    </row>
    <row r="64" spans="1:17" x14ac:dyDescent="0.25">
      <c r="A64" s="23" t="s">
        <v>24</v>
      </c>
      <c r="B64" s="16" t="s">
        <v>104</v>
      </c>
      <c r="C64" s="16"/>
      <c r="D64" s="16"/>
      <c r="E64" s="16"/>
      <c r="F64" s="16" t="s">
        <v>105</v>
      </c>
      <c r="G64" s="16"/>
      <c r="H64" s="16"/>
      <c r="I64" s="16"/>
      <c r="J64" s="16" t="s">
        <v>106</v>
      </c>
      <c r="K64" s="16"/>
      <c r="L64" s="16"/>
      <c r="M64" s="16"/>
      <c r="N64" s="16" t="s">
        <v>107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4.8690000000000002E-4</v>
      </c>
      <c r="C66" s="16"/>
      <c r="D66" s="16"/>
      <c r="E66">
        <v>2.9232529999999999</v>
      </c>
      <c r="F66" s="26">
        <v>5.6030000000000001E-4</v>
      </c>
      <c r="G66" s="16"/>
      <c r="H66" s="16"/>
      <c r="I66">
        <v>2.891737</v>
      </c>
      <c r="J66" s="26">
        <v>5.9820000000000001E-4</v>
      </c>
      <c r="K66" s="16"/>
      <c r="L66" s="16"/>
      <c r="M66">
        <v>2.9506890000000001</v>
      </c>
      <c r="N66" s="26">
        <v>6.6710000000000001E-4</v>
      </c>
      <c r="O66" s="16"/>
      <c r="P66" s="16"/>
      <c r="Q66">
        <v>2.8934579999999999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1.305E-3</v>
      </c>
      <c r="G75">
        <f t="shared" si="1"/>
        <v>1.305E-3</v>
      </c>
      <c r="H75">
        <f t="shared" si="2"/>
        <v>2.4309019999999997</v>
      </c>
      <c r="I75">
        <f t="shared" si="3"/>
        <v>1.305E-3</v>
      </c>
      <c r="J75">
        <f t="shared" si="4"/>
        <v>1.305E-3</v>
      </c>
      <c r="K75">
        <f t="shared" si="5"/>
        <v>2.545887</v>
      </c>
      <c r="L75">
        <f>0.05*F25+(1-0.05)*B25</f>
        <v>1.305E-3</v>
      </c>
      <c r="M75">
        <f>I25+E25</f>
        <v>5.3346940000000007</v>
      </c>
      <c r="P75" s="21"/>
      <c r="Q75" t="s">
        <v>37</v>
      </c>
      <c r="R75">
        <f t="shared" si="6"/>
        <v>1.31E-3</v>
      </c>
      <c r="S75">
        <f t="shared" si="7"/>
        <v>1.31E-3</v>
      </c>
      <c r="U75">
        <f t="shared" si="8"/>
        <v>1.31E-3</v>
      </c>
      <c r="V75">
        <f t="shared" si="9"/>
        <v>1.31E-3</v>
      </c>
      <c r="X75">
        <f>0.1*F25+(1-0.1)*B25</f>
        <v>1.31E-3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1.32E-3</v>
      </c>
      <c r="G81">
        <f t="shared" si="11"/>
        <v>1.32E-3</v>
      </c>
      <c r="I81">
        <f t="shared" si="12"/>
        <v>1.32E-3</v>
      </c>
      <c r="J81">
        <f t="shared" si="13"/>
        <v>1.32E-3</v>
      </c>
      <c r="L81">
        <f>0.2*F25+(1-0.2)*B25</f>
        <v>1.32E-3</v>
      </c>
      <c r="P81" s="21"/>
      <c r="Q81" t="s">
        <v>37</v>
      </c>
      <c r="R81">
        <f t="shared" si="14"/>
        <v>1.3299999999999998E-3</v>
      </c>
      <c r="S81">
        <f t="shared" si="15"/>
        <v>1.3299999999999998E-3</v>
      </c>
      <c r="U81">
        <f t="shared" si="16"/>
        <v>1.3299999999999998E-3</v>
      </c>
      <c r="V81">
        <f t="shared" si="17"/>
        <v>1.3299999999999998E-3</v>
      </c>
      <c r="X81">
        <f>0.3*F25+(1-0.3)*B25</f>
        <v>1.3299999999999998E-3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1.31E-3</v>
      </c>
      <c r="G88">
        <f t="shared" si="19"/>
        <v>1.31E-3</v>
      </c>
      <c r="H88">
        <f t="shared" si="20"/>
        <v>3.6438279999999996</v>
      </c>
      <c r="I88">
        <f t="shared" si="21"/>
        <v>1.31E-3</v>
      </c>
      <c r="J88">
        <f t="shared" si="22"/>
        <v>1.31E-3</v>
      </c>
      <c r="K88">
        <f t="shared" si="23"/>
        <v>3.8082080000000005</v>
      </c>
      <c r="L88">
        <f>(0.05*(1-0.05)+0.05*(1-0.05))*F25+0.05*0.05*J25+(1-0.05*(1-0.05)-0.05*(1-0.05)-0.05*0.05)*B25</f>
        <v>1.31E-3</v>
      </c>
      <c r="M88">
        <f>M25+I25+E25</f>
        <v>8.0406060000000004</v>
      </c>
      <c r="O88" s="20"/>
      <c r="P88" s="21"/>
      <c r="Q88" t="s">
        <v>37</v>
      </c>
      <c r="R88">
        <f t="shared" si="24"/>
        <v>1.3200000000000002E-3</v>
      </c>
      <c r="S88">
        <f t="shared" si="25"/>
        <v>1.3200000000000002E-3</v>
      </c>
      <c r="U88">
        <f t="shared" si="26"/>
        <v>1.3200000000000002E-3</v>
      </c>
      <c r="V88">
        <f t="shared" si="27"/>
        <v>1.3200000000000002E-3</v>
      </c>
      <c r="X88">
        <f>(0.1*0.9+0.1*0.9)*F25+0.1*0.1*J25+(1-0.1*0.9-0.1*0.9-0.1*0.1)*B25</f>
        <v>1.3200000000000002E-3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1.34E-3</v>
      </c>
      <c r="G94">
        <f t="shared" si="29"/>
        <v>1.34E-3</v>
      </c>
      <c r="I94">
        <f t="shared" si="30"/>
        <v>1.34E-3</v>
      </c>
      <c r="J94">
        <f t="shared" si="31"/>
        <v>1.34E-3</v>
      </c>
      <c r="L94">
        <f>(0.2*0.8+0.2*0.8)*F25+0.2*0.2*J25+(1-0.2*0.8-0.2*0.8-0.2*0.2)*B25</f>
        <v>1.34E-3</v>
      </c>
      <c r="O94" s="20"/>
      <c r="P94" s="21"/>
      <c r="Q94" t="s">
        <v>37</v>
      </c>
      <c r="R94">
        <f t="shared" si="32"/>
        <v>1.3600000000000001E-3</v>
      </c>
      <c r="S94">
        <f t="shared" si="33"/>
        <v>1.3600000000000001E-3</v>
      </c>
      <c r="U94">
        <f t="shared" si="34"/>
        <v>1.3600000000000001E-3</v>
      </c>
      <c r="V94">
        <f t="shared" si="35"/>
        <v>1.3600000000000001E-3</v>
      </c>
      <c r="X94">
        <f>(0.3*0.7+0.3*0.7)*F25+0.3*0.3*J25+(1-0.3*0.7-0.3*0.7-0.3*0.3)*B25</f>
        <v>1.3600000000000001E-3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1.3150124999999997E-3</v>
      </c>
      <c r="G101">
        <f t="shared" si="37"/>
        <v>1.3150124999999997E-3</v>
      </c>
      <c r="H101">
        <f t="shared" si="38"/>
        <v>4.8314609999999991</v>
      </c>
      <c r="I101">
        <f t="shared" si="39"/>
        <v>1.3150124999999997E-3</v>
      </c>
      <c r="J101">
        <f t="shared" si="40"/>
        <v>1.3150124999999997E-3</v>
      </c>
      <c r="K101">
        <f t="shared" si="41"/>
        <v>5.0497580000000006</v>
      </c>
      <c r="L101">
        <f>3*0.05*(1-0.05)*(1-0.05)*F25+3*0.05*0.05*(1-0.05)*J25+0.05*0.05*0.05*N25+(1-3*0.05*(1-0.05)*(1-0.05)-3*0.05*0.05*(1-0.05)-0.05*0.05*0.05)*B25</f>
        <v>1.3150124999999997E-3</v>
      </c>
      <c r="M101">
        <f>Q25+M25+I25+E25</f>
        <v>10.651889000000001</v>
      </c>
      <c r="N101" s="24"/>
      <c r="O101" s="20"/>
      <c r="P101" s="21"/>
      <c r="Q101" t="s">
        <v>37</v>
      </c>
      <c r="R101">
        <f t="shared" si="42"/>
        <v>1.3300999999999999E-3</v>
      </c>
      <c r="S101">
        <f t="shared" si="43"/>
        <v>1.3300999999999999E-3</v>
      </c>
      <c r="U101">
        <f t="shared" si="44"/>
        <v>1.3300999999999999E-3</v>
      </c>
      <c r="V101">
        <f t="shared" si="45"/>
        <v>1.3300999999999999E-3</v>
      </c>
      <c r="X101">
        <f>3*0.1*(1-0.1)*(1-0.1)*F25+3*0.1*0.1*(1-0.1)*J25+0.1*0.1*0.1*N25+(1-3*0.1*(1-0.1)*(1-0.1)-3*0.1*0.1*(1-0.1)-0.1*0.1*0.1)*B25</f>
        <v>1.3300999999999999E-3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1.3607999999999999E-3</v>
      </c>
      <c r="G107">
        <f t="shared" si="47"/>
        <v>1.3607999999999999E-3</v>
      </c>
      <c r="I107">
        <f t="shared" si="48"/>
        <v>1.3607999999999999E-3</v>
      </c>
      <c r="J107">
        <f t="shared" si="49"/>
        <v>1.3607999999999999E-3</v>
      </c>
      <c r="L107">
        <f>3*0.2*(1-0.2)*(1-0.2)*F25+3*0.2*0.2*(1-0.2)*J25+0.2*0.2*0.2*N25+(1-3*0.2*(1-0.2)*(1-0.2)-3*0.2*0.2*(1-0.2)-0.2*0.2*0.2)*B25</f>
        <v>1.3607999999999999E-3</v>
      </c>
      <c r="N107" s="24"/>
      <c r="O107" s="20"/>
      <c r="P107" s="21"/>
      <c r="Q107" t="s">
        <v>37</v>
      </c>
      <c r="R107">
        <f t="shared" si="50"/>
        <v>1.3927E-3</v>
      </c>
      <c r="S107">
        <f t="shared" si="51"/>
        <v>1.3927E-3</v>
      </c>
      <c r="U107">
        <f t="shared" si="52"/>
        <v>1.3927E-3</v>
      </c>
      <c r="V107">
        <f t="shared" si="53"/>
        <v>1.3927E-3</v>
      </c>
      <c r="X107">
        <f>3*0.3*(1-0.3)*(1-0.3)*F25+3*0.3*0.3*(1-0.3)*J25+0.3*0.3*0.3*N25+(1-3*0.3*(1-0.3)*(1-0.3)-3*0.3*0.3*(1-0.3)-0.3*0.3*0.3)*B25</f>
        <v>1.3927E-3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1.305E-3</v>
      </c>
      <c r="G114">
        <f t="shared" si="55"/>
        <v>1.305E-3</v>
      </c>
      <c r="H114">
        <f t="shared" si="56"/>
        <v>1.949999</v>
      </c>
      <c r="I114">
        <f t="shared" si="57"/>
        <v>1.305E-3</v>
      </c>
      <c r="J114">
        <f t="shared" si="58"/>
        <v>1.305E-3</v>
      </c>
      <c r="K114">
        <f t="shared" si="59"/>
        <v>10.465302000000001</v>
      </c>
      <c r="L114">
        <f>0.05*X25+(1-0.05)*T25</f>
        <v>1.305E-3</v>
      </c>
      <c r="M114">
        <f>AA25+W25</f>
        <v>5.8167520000000001</v>
      </c>
      <c r="P114" s="21"/>
      <c r="Q114" t="s">
        <v>37</v>
      </c>
      <c r="R114">
        <f t="shared" si="60"/>
        <v>1.31E-3</v>
      </c>
      <c r="S114">
        <f t="shared" si="61"/>
        <v>1.31E-3</v>
      </c>
      <c r="U114">
        <f t="shared" si="62"/>
        <v>1.31E-3</v>
      </c>
      <c r="V114">
        <f t="shared" si="63"/>
        <v>1.31E-3</v>
      </c>
      <c r="X114">
        <f>0.1*X25+(1-0.1)*T25</f>
        <v>1.31E-3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1.32E-3</v>
      </c>
      <c r="G120">
        <f t="shared" si="65"/>
        <v>1.32E-3</v>
      </c>
      <c r="I120">
        <f t="shared" si="66"/>
        <v>1.32E-3</v>
      </c>
      <c r="J120">
        <f t="shared" si="67"/>
        <v>1.32E-3</v>
      </c>
      <c r="L120">
        <f>0.2*X25+(1-0.2)*T25</f>
        <v>1.32E-3</v>
      </c>
      <c r="P120" s="21"/>
      <c r="Q120" t="s">
        <v>37</v>
      </c>
      <c r="R120">
        <f t="shared" si="68"/>
        <v>1.3299999999999998E-3</v>
      </c>
      <c r="S120">
        <f t="shared" si="69"/>
        <v>1.3299999999999998E-3</v>
      </c>
      <c r="U120">
        <f t="shared" si="70"/>
        <v>1.3299999999999998E-3</v>
      </c>
      <c r="V120">
        <f t="shared" si="71"/>
        <v>1.3299999999999998E-3</v>
      </c>
      <c r="X120">
        <f>0.3*X25+(1-0.3)*T25</f>
        <v>1.3299999999999998E-3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1.31E-3</v>
      </c>
      <c r="G127">
        <f t="shared" si="73"/>
        <v>1.31E-3</v>
      </c>
      <c r="H127">
        <f t="shared" si="74"/>
        <v>2.9406490000000001</v>
      </c>
      <c r="I127">
        <f t="shared" si="75"/>
        <v>1.31E-3</v>
      </c>
      <c r="J127">
        <f t="shared" si="76"/>
        <v>1.31E-3</v>
      </c>
      <c r="K127">
        <f t="shared" si="77"/>
        <v>15.791951999999998</v>
      </c>
      <c r="L127">
        <f>(0.05*(1-0.05)+0.05*(1-0.05))*X25+0.05*0.05*AB25+(1-0.05*(1-0.05)-0.05*(1-0.05)-0.05*0.05)*T25</f>
        <v>1.31E-3</v>
      </c>
      <c r="M127">
        <f>AE25+AA25+W25</f>
        <v>9.3350340000000003</v>
      </c>
      <c r="O127" s="20"/>
      <c r="P127" s="21"/>
      <c r="Q127" t="s">
        <v>37</v>
      </c>
      <c r="R127">
        <f t="shared" si="78"/>
        <v>1.3200000000000002E-3</v>
      </c>
      <c r="S127">
        <f t="shared" si="79"/>
        <v>1.3200000000000002E-3</v>
      </c>
      <c r="U127">
        <f t="shared" si="80"/>
        <v>1.3200000000000002E-3</v>
      </c>
      <c r="V127">
        <f t="shared" si="81"/>
        <v>1.3200000000000002E-3</v>
      </c>
      <c r="X127">
        <f>(0.1*0.9+0.1*0.9)*X25+0.1*0.1*AB25+(1-0.1*0.9-0.1*0.9-0.1*0.1)*T25</f>
        <v>1.3200000000000002E-3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1.34E-3</v>
      </c>
      <c r="G133">
        <f t="shared" si="83"/>
        <v>1.34E-3</v>
      </c>
      <c r="I133">
        <f t="shared" si="84"/>
        <v>1.34E-3</v>
      </c>
      <c r="J133">
        <f t="shared" si="85"/>
        <v>1.34E-3</v>
      </c>
      <c r="L133">
        <f>(0.2*0.8+0.2*0.8)*X25+0.2*0.2*AB25+(1-0.2*0.8-0.2*0.8-0.2*0.2)*T25</f>
        <v>1.34E-3</v>
      </c>
      <c r="O133" s="20"/>
      <c r="P133" s="21"/>
      <c r="Q133" t="s">
        <v>37</v>
      </c>
      <c r="R133">
        <f t="shared" si="86"/>
        <v>1.3600000000000001E-3</v>
      </c>
      <c r="S133">
        <f t="shared" si="87"/>
        <v>1.3600000000000001E-3</v>
      </c>
      <c r="U133">
        <f t="shared" si="88"/>
        <v>1.3600000000000001E-3</v>
      </c>
      <c r="V133">
        <f t="shared" si="89"/>
        <v>1.3600000000000001E-3</v>
      </c>
      <c r="X133">
        <f>(0.3*0.7+0.3*0.7)*X25+0.3*0.3*AB25+(1-0.3*0.7-0.3*0.7-0.3*0.3)*T25</f>
        <v>1.3600000000000001E-3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1.3149999999999998E-3</v>
      </c>
      <c r="G140">
        <f t="shared" si="91"/>
        <v>1.3149999999999998E-3</v>
      </c>
      <c r="H140">
        <f t="shared" si="92"/>
        <v>3.9204769999999995</v>
      </c>
      <c r="I140">
        <f t="shared" si="93"/>
        <v>1.3149999999999998E-3</v>
      </c>
      <c r="J140">
        <f t="shared" si="94"/>
        <v>1.3149999999999998E-3</v>
      </c>
      <c r="K140">
        <f t="shared" si="95"/>
        <v>22.289925999999998</v>
      </c>
      <c r="L140">
        <f>3*0.05*(1-0.05)*(1-0.05)*X25+3*0.05*0.05*(1-0.05)*AB25+0.05*0.05*0.05*AF25+(1-3*0.05*(1-0.05)*(1-0.05)-3*0.05*0.05*(1-0.05)-0.05*0.05*0.05)*T25</f>
        <v>1.3149999999999998E-3</v>
      </c>
      <c r="M140">
        <f>AI25+AE25+AA25+W25</f>
        <v>12.024561</v>
      </c>
      <c r="N140" s="24"/>
      <c r="O140" s="20"/>
      <c r="P140" s="21"/>
      <c r="Q140" t="s">
        <v>37</v>
      </c>
      <c r="R140">
        <f t="shared" si="96"/>
        <v>1.3299999999999998E-3</v>
      </c>
      <c r="S140">
        <f t="shared" si="97"/>
        <v>1.3299999999999998E-3</v>
      </c>
      <c r="U140">
        <f t="shared" si="98"/>
        <v>1.3299999999999998E-3</v>
      </c>
      <c r="V140">
        <f t="shared" si="99"/>
        <v>1.3299999999999998E-3</v>
      </c>
      <c r="X140">
        <f>3*0.1*(1-0.1)*(1-0.1)*X25+3*0.1*0.1*(1-0.1)*AB25+0.1*0.1*0.1*AF25+(1-3*0.1*(1-0.1)*(1-0.1)-3*0.1*0.1*(1-0.1)-0.1*0.1*0.1)*T25</f>
        <v>1.3299999999999998E-3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1.3599999999999999E-3</v>
      </c>
      <c r="G146">
        <f t="shared" si="101"/>
        <v>1.3599999999999999E-3</v>
      </c>
      <c r="I146">
        <f t="shared" si="102"/>
        <v>1.3599999999999999E-3</v>
      </c>
      <c r="J146">
        <f t="shared" si="103"/>
        <v>1.3599999999999999E-3</v>
      </c>
      <c r="L146">
        <f>3*0.2*(1-0.2)*(1-0.2)*X25+3*0.2*0.2*(1-0.2)*AB25+0.2*0.2*0.2*AF25+(1-3*0.2*(1-0.2)*(1-0.2)-3*0.2*0.2*(1-0.2)-0.2*0.2*0.2)*T25</f>
        <v>1.3599999999999999E-3</v>
      </c>
      <c r="N146" s="24"/>
      <c r="O146" s="20"/>
      <c r="P146" s="21"/>
      <c r="Q146" t="s">
        <v>37</v>
      </c>
      <c r="R146">
        <f t="shared" si="104"/>
        <v>1.39E-3</v>
      </c>
      <c r="S146">
        <f t="shared" si="105"/>
        <v>1.39E-3</v>
      </c>
      <c r="U146">
        <f t="shared" si="106"/>
        <v>1.39E-3</v>
      </c>
      <c r="V146">
        <f t="shared" si="107"/>
        <v>1.39E-3</v>
      </c>
      <c r="X146">
        <f>3*0.3*(1-0.3)*(1-0.3)*X25+3*0.3*0.3*(1-0.3)*AB25+0.3*0.3*0.3*AF25+(1-3*0.3*(1-0.3)*(1-0.3)-3*0.3*0.3*(1-0.3)-0.3*0.3*0.3)*T25</f>
        <v>1.39E-3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1.1049999999999999E-3</v>
      </c>
      <c r="G153">
        <f t="shared" si="109"/>
        <v>1.2049999999999999E-3</v>
      </c>
      <c r="H153">
        <f t="shared" si="110"/>
        <v>1.9925959999999998</v>
      </c>
      <c r="I153">
        <f t="shared" si="111"/>
        <v>1.1049999999999999E-3</v>
      </c>
      <c r="J153">
        <f t="shared" si="112"/>
        <v>1.2049999999999999E-3</v>
      </c>
      <c r="K153">
        <f t="shared" si="113"/>
        <v>13.163492</v>
      </c>
      <c r="L153">
        <f>0.05*F46+(1-0.05)*B46</f>
        <v>1.2049999999999999E-3</v>
      </c>
      <c r="M153">
        <f>I46+E46</f>
        <v>6.4226570000000001</v>
      </c>
      <c r="P153" s="21"/>
      <c r="Q153" t="s">
        <v>37</v>
      </c>
      <c r="R153">
        <f t="shared" si="114"/>
        <v>1.1099999999999999E-3</v>
      </c>
      <c r="S153">
        <f t="shared" si="115"/>
        <v>1.2099999999999999E-3</v>
      </c>
      <c r="U153">
        <f t="shared" si="116"/>
        <v>1.1099999999999999E-3</v>
      </c>
      <c r="V153">
        <f t="shared" si="117"/>
        <v>1.2099999999999999E-3</v>
      </c>
      <c r="X153">
        <f>0.1*F46+(1-0.1)*B46</f>
        <v>1.2099999999999999E-3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1.1200000000000001E-3</v>
      </c>
      <c r="G159">
        <f t="shared" si="119"/>
        <v>1.2199999999999999E-3</v>
      </c>
      <c r="I159">
        <f t="shared" si="120"/>
        <v>1.1200000000000001E-3</v>
      </c>
      <c r="J159">
        <f t="shared" si="121"/>
        <v>1.2199999999999999E-3</v>
      </c>
      <c r="L159">
        <f>0.2*F46+(1-0.2)*B46</f>
        <v>1.2199999999999999E-3</v>
      </c>
      <c r="P159" s="21"/>
      <c r="Q159" t="s">
        <v>37</v>
      </c>
      <c r="R159">
        <f t="shared" si="122"/>
        <v>1.1299999999999999E-3</v>
      </c>
      <c r="S159">
        <f t="shared" si="123"/>
        <v>1.23E-3</v>
      </c>
      <c r="U159">
        <f t="shared" si="124"/>
        <v>1.1299999999999999E-3</v>
      </c>
      <c r="V159">
        <f t="shared" si="125"/>
        <v>1.23E-3</v>
      </c>
      <c r="X159">
        <f>0.3*F46+(1-0.3)*B46</f>
        <v>1.23E-3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1.1102500000000001E-3</v>
      </c>
      <c r="G166">
        <f t="shared" si="127"/>
        <v>1.2099999999999999E-3</v>
      </c>
      <c r="H166">
        <f t="shared" si="128"/>
        <v>2.1249419999999999</v>
      </c>
      <c r="I166">
        <f t="shared" si="129"/>
        <v>1.1102500000000001E-3</v>
      </c>
      <c r="J166">
        <f t="shared" si="130"/>
        <v>1.2099999999999999E-3</v>
      </c>
      <c r="K166">
        <f t="shared" si="131"/>
        <v>19.117947999999998</v>
      </c>
      <c r="L166">
        <f>(0.05*(1-0.05)+0.05*(1-0.05))*F46+0.05*0.05*J46+(1-0.05*(1-0.05)-0.05*(1-0.05)-0.05*0.05)*B46</f>
        <v>1.2099999999999999E-3</v>
      </c>
      <c r="M166">
        <f>M46+I46+E46</f>
        <v>9.3762740000000004</v>
      </c>
      <c r="O166" s="20"/>
      <c r="P166" s="21"/>
      <c r="Q166" t="s">
        <v>37</v>
      </c>
      <c r="R166">
        <f t="shared" si="132"/>
        <v>1.121E-3</v>
      </c>
      <c r="S166">
        <f t="shared" si="133"/>
        <v>1.2199999999999999E-3</v>
      </c>
      <c r="U166">
        <f t="shared" si="134"/>
        <v>1.121E-3</v>
      </c>
      <c r="V166">
        <f t="shared" si="135"/>
        <v>1.2199999999999999E-3</v>
      </c>
      <c r="X166">
        <f>(0.1*0.9+0.1*0.9)*F46+0.1*0.1*J46+(1-0.1*0.9-0.1*0.9-0.1*0.1)*B46</f>
        <v>1.2199999999999999E-3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1.1440000000000001E-3</v>
      </c>
      <c r="G172">
        <f t="shared" si="137"/>
        <v>1.2399999999999998E-3</v>
      </c>
      <c r="I172">
        <f t="shared" si="138"/>
        <v>1.1440000000000001E-3</v>
      </c>
      <c r="J172">
        <f t="shared" si="139"/>
        <v>1.2399999999999998E-3</v>
      </c>
      <c r="L172">
        <f>(0.2*0.8+0.2*0.8)*F46+0.2*0.2*J46+(1-0.2*0.8-0.2*0.8-0.2*0.2)*B46</f>
        <v>1.2399999999999998E-3</v>
      </c>
      <c r="O172" s="20"/>
      <c r="P172" s="21"/>
      <c r="Q172" t="s">
        <v>37</v>
      </c>
      <c r="R172">
        <f t="shared" si="140"/>
        <v>1.1689999999999999E-3</v>
      </c>
      <c r="S172">
        <f t="shared" si="141"/>
        <v>1.2600000000000001E-3</v>
      </c>
      <c r="U172">
        <f t="shared" si="142"/>
        <v>1.1689999999999999E-3</v>
      </c>
      <c r="V172">
        <f t="shared" si="143"/>
        <v>1.2600000000000001E-3</v>
      </c>
      <c r="X172">
        <f>(0.3*0.7+0.3*0.7)*F46+0.3*0.3*J46+(1-0.3*0.7-0.3*0.7-0.3*0.3)*B46</f>
        <v>1.2600000000000001E-3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1.1157249999999999E-3</v>
      </c>
      <c r="G179">
        <f t="shared" si="145"/>
        <v>1.2149999999999997E-3</v>
      </c>
      <c r="H179">
        <f t="shared" si="146"/>
        <v>3.3535589999999997</v>
      </c>
      <c r="I179">
        <f t="shared" si="147"/>
        <v>1.1157249999999999E-3</v>
      </c>
      <c r="J179">
        <f t="shared" si="148"/>
        <v>1.2149999999999997E-3</v>
      </c>
      <c r="K179">
        <f t="shared" si="149"/>
        <v>25.589428999999999</v>
      </c>
      <c r="L179">
        <f>3*0.05*(1-0.05)*(1-0.05)*F46+3*0.05*0.05*(1-0.05)*J46+0.05*0.05*0.05*N46+(1-3*0.05*(1-0.05)*(1-0.05)-3*0.05*0.05*(1-0.05)-0.05*0.05*0.05)*B46</f>
        <v>1.2149999999999997E-3</v>
      </c>
      <c r="M179">
        <f>Q46+M46+I46+E46</f>
        <v>12.300514000000002</v>
      </c>
      <c r="N179" s="24"/>
      <c r="O179" s="20"/>
      <c r="P179" s="21"/>
      <c r="Q179" t="s">
        <v>37</v>
      </c>
      <c r="R179">
        <f t="shared" si="150"/>
        <v>1.1328E-3</v>
      </c>
      <c r="S179">
        <f t="shared" si="151"/>
        <v>1.2299999999999998E-3</v>
      </c>
      <c r="U179">
        <f t="shared" si="152"/>
        <v>1.1328E-3</v>
      </c>
      <c r="V179">
        <f t="shared" si="153"/>
        <v>1.2299999999999998E-3</v>
      </c>
      <c r="X179">
        <f>3*0.1*(1-0.1)*(1-0.1)*F46+3*0.1*0.1*(1-0.1)*J46+0.1*0.1*0.1*N46+(1-3*0.1*(1-0.1)*(1-0.1)-3*0.1*0.1*(1-0.1)-0.1*0.1*0.1)*B46</f>
        <v>1.2299999999999998E-3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1.1703999999999998E-3</v>
      </c>
      <c r="G185">
        <f t="shared" si="155"/>
        <v>1.2599999999999998E-3</v>
      </c>
      <c r="I185">
        <f t="shared" si="156"/>
        <v>1.1703999999999998E-3</v>
      </c>
      <c r="J185">
        <f t="shared" si="157"/>
        <v>1.2599999999999998E-3</v>
      </c>
      <c r="L185">
        <f>3*0.2*(1-0.2)*(1-0.2)*F46+3*0.2*0.2*(1-0.2)*J46+0.2*0.2*0.2*N46+(1-3*0.2*(1-0.2)*(1-0.2)-3*0.2*0.2*(1-0.2)-0.2*0.2*0.2)*B46</f>
        <v>1.2599999999999998E-3</v>
      </c>
      <c r="N185" s="24"/>
      <c r="O185" s="20"/>
      <c r="P185" s="21"/>
      <c r="Q185" t="s">
        <v>37</v>
      </c>
      <c r="R185">
        <f t="shared" si="158"/>
        <v>1.2116000000000002E-3</v>
      </c>
      <c r="S185">
        <f t="shared" si="159"/>
        <v>1.2899999999999999E-3</v>
      </c>
      <c r="U185">
        <f t="shared" si="160"/>
        <v>1.2116000000000002E-3</v>
      </c>
      <c r="V185">
        <f t="shared" si="161"/>
        <v>1.2899999999999999E-3</v>
      </c>
      <c r="X185">
        <f>3*0.3*(1-0.3)*(1-0.3)*F46+3*0.3*0.3*(1-0.3)*J46+0.3*0.3*0.3*N46+(1-3*0.3*(1-0.3)*(1-0.3)-3*0.3*0.3*(1-0.3)-0.3*0.3*0.3)*B46</f>
        <v>1.2899999999999999E-3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8.0000000000000004E-4</v>
      </c>
      <c r="G192">
        <f t="shared" si="163"/>
        <v>1.005E-3</v>
      </c>
      <c r="H192">
        <f t="shared" si="164"/>
        <v>2.2221709999999999</v>
      </c>
      <c r="I192">
        <f t="shared" si="165"/>
        <v>8.0500000000000005E-4</v>
      </c>
      <c r="J192">
        <f t="shared" si="166"/>
        <v>1.005E-3</v>
      </c>
      <c r="K192">
        <f t="shared" si="167"/>
        <v>16.056433999999999</v>
      </c>
      <c r="L192">
        <f>0.05*X46+(1-0.05)*T46</f>
        <v>9.4195499999999996E-4</v>
      </c>
      <c r="M192">
        <f>AA46+W46</f>
        <v>5.8091569999999999</v>
      </c>
      <c r="P192" s="21"/>
      <c r="Q192" t="s">
        <v>37</v>
      </c>
      <c r="R192">
        <f t="shared" si="168"/>
        <v>8.0000000000000004E-4</v>
      </c>
      <c r="S192">
        <f t="shared" si="169"/>
        <v>1.01E-3</v>
      </c>
      <c r="U192">
        <f t="shared" si="170"/>
        <v>8.1000000000000006E-4</v>
      </c>
      <c r="V192">
        <f t="shared" si="171"/>
        <v>1.01E-3</v>
      </c>
      <c r="X192">
        <f>0.1*X46+(1-0.1)*T46</f>
        <v>9.4501000000000003E-4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8.0000000000000004E-4</v>
      </c>
      <c r="G198">
        <f t="shared" si="173"/>
        <v>1.0200000000000001E-3</v>
      </c>
      <c r="I198">
        <f t="shared" si="174"/>
        <v>8.2000000000000009E-4</v>
      </c>
      <c r="J198">
        <f t="shared" si="175"/>
        <v>1.0200000000000001E-3</v>
      </c>
      <c r="L198">
        <f>0.2*X46+(1-0.2)*T46</f>
        <v>9.5112000000000007E-4</v>
      </c>
      <c r="P198" s="21"/>
      <c r="Q198" t="s">
        <v>37</v>
      </c>
      <c r="R198">
        <f t="shared" si="176"/>
        <v>7.9999999999999993E-4</v>
      </c>
      <c r="S198">
        <f t="shared" si="177"/>
        <v>1.0300000000000001E-3</v>
      </c>
      <c r="U198">
        <f t="shared" si="178"/>
        <v>8.3000000000000001E-4</v>
      </c>
      <c r="V198">
        <f t="shared" si="179"/>
        <v>1.0300000000000001E-3</v>
      </c>
      <c r="X198">
        <f>0.3*X46+(1-0.3)*T46</f>
        <v>9.5722999999999989E-4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20"/>
      <c r="P204" s="21"/>
      <c r="Q204" t="s">
        <v>36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8.0025000000000007E-4</v>
      </c>
      <c r="G205">
        <f t="shared" si="181"/>
        <v>1.01E-3</v>
      </c>
      <c r="H205">
        <f t="shared" si="182"/>
        <v>3.451095</v>
      </c>
      <c r="I205">
        <f t="shared" si="183"/>
        <v>8.0975000000000014E-4</v>
      </c>
      <c r="J205">
        <f t="shared" si="184"/>
        <v>1.01E-3</v>
      </c>
      <c r="K205">
        <f t="shared" si="185"/>
        <v>22.634095000000002</v>
      </c>
      <c r="L205">
        <f>(0.05*(1-0.05)+0.05*(1-0.05))*X46+0.05*0.05*AB46+(1-0.05*(1-0.05)-0.05*(1-0.05)-0.05*0.05)*T46</f>
        <v>9.4510725000000002E-4</v>
      </c>
      <c r="M205">
        <f>AE46+AA46+W46</f>
        <v>8.6960470000000001</v>
      </c>
      <c r="O205" s="20"/>
      <c r="P205" s="21"/>
      <c r="Q205" t="s">
        <v>37</v>
      </c>
      <c r="R205">
        <f t="shared" si="186"/>
        <v>8.0100000000000006E-4</v>
      </c>
      <c r="S205">
        <f t="shared" si="187"/>
        <v>1.0200000000000001E-3</v>
      </c>
      <c r="U205">
        <f t="shared" si="188"/>
        <v>8.1900000000000007E-4</v>
      </c>
      <c r="V205">
        <f t="shared" si="189"/>
        <v>1.0200000000000001E-3</v>
      </c>
      <c r="X205">
        <f>(0.1*0.9+0.1*0.9)*X46+0.1*0.1*AB46+(1-0.1*0.9-0.1*0.9-0.1*0.1)*T46</f>
        <v>9.5150900000000001E-4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20"/>
      <c r="P210" s="21"/>
      <c r="Q210" t="s">
        <v>36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 x14ac:dyDescent="0.25">
      <c r="B211" s="22"/>
      <c r="C211" s="20"/>
      <c r="D211" s="21"/>
      <c r="E211" t="s">
        <v>37</v>
      </c>
      <c r="F211">
        <f t="shared" si="190"/>
        <v>8.0400000000000003E-4</v>
      </c>
      <c r="G211">
        <f t="shared" si="191"/>
        <v>1.0400000000000001E-3</v>
      </c>
      <c r="I211">
        <f t="shared" si="192"/>
        <v>8.3600000000000005E-4</v>
      </c>
      <c r="J211">
        <f t="shared" si="193"/>
        <v>1.0400000000000001E-3</v>
      </c>
      <c r="L211">
        <f>(0.2*0.8+0.2*0.8)*X46+0.2*0.2*AB46+(1-0.2*0.8-0.2*0.8-0.2*0.2)*T46</f>
        <v>9.6489600000000003E-4</v>
      </c>
      <c r="O211" s="20"/>
      <c r="P211" s="21"/>
      <c r="Q211" t="s">
        <v>37</v>
      </c>
      <c r="R211">
        <f t="shared" si="194"/>
        <v>8.0900000000000004E-4</v>
      </c>
      <c r="S211">
        <f t="shared" si="195"/>
        <v>1.0600000000000002E-3</v>
      </c>
      <c r="U211">
        <f t="shared" si="196"/>
        <v>8.5100000000000009E-4</v>
      </c>
      <c r="V211">
        <f t="shared" si="197"/>
        <v>1.0600000000000002E-3</v>
      </c>
      <c r="X211">
        <f>(0.3*0.7+0.3*0.7)*X46+0.3*0.3*AB46+(1-0.3*0.7-0.3*0.7-0.3*0.3)*T46</f>
        <v>9.7906100000000025E-4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24"/>
      <c r="O217" s="20"/>
      <c r="P217" s="21"/>
      <c r="Q217" t="s">
        <v>36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8"/>
        <v>8.0073749999999989E-4</v>
      </c>
      <c r="G218">
        <f t="shared" si="199"/>
        <v>1.0149999999999998E-3</v>
      </c>
      <c r="H218">
        <f t="shared" si="200"/>
        <v>4.4241989999999998</v>
      </c>
      <c r="I218">
        <f t="shared" si="201"/>
        <v>8.1427499999999994E-4</v>
      </c>
      <c r="J218">
        <f t="shared" si="202"/>
        <v>1.0149999999999998E-3</v>
      </c>
      <c r="K218">
        <f t="shared" si="203"/>
        <v>29.948789999999995</v>
      </c>
      <c r="L218">
        <f>3*0.05*(1-0.05)*(1-0.05)*X46+3*0.05*0.05*(1-0.05)*AB46+0.05*0.05*0.05*AF46+(1-3*0.05*(1-0.05)*(1-0.05)-3*0.05*0.05*(1-0.05)-0.05*0.05*0.05)*T46</f>
        <v>9.4835188749999987E-4</v>
      </c>
      <c r="M218">
        <f>AI46+AE46+AA46+W46</f>
        <v>11.581807</v>
      </c>
      <c r="N218" s="24"/>
      <c r="O218" s="20"/>
      <c r="P218" s="21"/>
      <c r="Q218" t="s">
        <v>37</v>
      </c>
      <c r="R218">
        <f t="shared" si="204"/>
        <v>8.0290000000000005E-4</v>
      </c>
      <c r="S218">
        <f t="shared" si="205"/>
        <v>1.0300000000000001E-3</v>
      </c>
      <c r="U218">
        <f t="shared" si="206"/>
        <v>8.2720000000000005E-4</v>
      </c>
      <c r="V218">
        <f t="shared" si="207"/>
        <v>1.0300000000000001E-3</v>
      </c>
      <c r="X218">
        <f>3*0.1*(1-0.1)*(1-0.1)*X46+3*0.1*0.1*(1-0.1)*AB46+0.1*0.1*0.1*AF46+(1-3*0.1*(1-0.1)*(1-0.1)-3*0.1*0.1*(1-0.1)-0.1*0.1*0.1)*T46</f>
        <v>9.583580999999999E-4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24"/>
      <c r="O223" s="20"/>
      <c r="P223" s="21"/>
      <c r="Q223" t="s">
        <v>36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8"/>
        <v>8.1119999999999999E-4</v>
      </c>
      <c r="G224">
        <f t="shared" si="209"/>
        <v>1.06E-3</v>
      </c>
      <c r="I224">
        <f t="shared" si="210"/>
        <v>8.4960000000000005E-4</v>
      </c>
      <c r="J224">
        <f t="shared" si="211"/>
        <v>1.06E-3</v>
      </c>
      <c r="L224">
        <f>3*0.2*(1-0.2)*(1-0.2)*X46+3*0.2*0.2*(1-0.2)*AB46+0.2*0.2*0.2*AF46+(1-3*0.2*(1-0.2)*(1-0.2)-3*0.2*0.2*(1-0.2)-0.2*0.2*0.2)*T46</f>
        <v>9.799168E-4</v>
      </c>
      <c r="N224" s="24"/>
      <c r="O224" s="20"/>
      <c r="P224" s="21"/>
      <c r="Q224" t="s">
        <v>37</v>
      </c>
      <c r="R224">
        <f t="shared" si="212"/>
        <v>8.2430000000000014E-4</v>
      </c>
      <c r="S224">
        <f t="shared" si="213"/>
        <v>1.0900000000000003E-3</v>
      </c>
      <c r="U224">
        <f t="shared" si="214"/>
        <v>8.6839999999999997E-4</v>
      </c>
      <c r="V224">
        <f t="shared" si="215"/>
        <v>1.0900000000000003E-3</v>
      </c>
      <c r="X224">
        <f>3*0.3*(1-0.3)*(1-0.3)*X46+3*0.3*0.3*(1-0.3)*AB46+0.3*0.3*0.3*AF46+(1-3*0.3*(1-0.3)*(1-0.3)-3*0.3*0.3*(1-0.3)-0.3*0.3*0.3)*T46</f>
        <v>1.0033427000000002E-3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P229" s="21" t="s">
        <v>35</v>
      </c>
      <c r="Q229" t="s">
        <v>34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</row>
    <row r="230" spans="1:25" x14ac:dyDescent="0.25">
      <c r="C230" s="22"/>
      <c r="D230" s="21"/>
      <c r="E230" t="s">
        <v>36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21"/>
      <c r="Q230" t="s">
        <v>36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 x14ac:dyDescent="0.25">
      <c r="C231" s="22"/>
      <c r="D231" s="21"/>
      <c r="E231" t="s">
        <v>37</v>
      </c>
      <c r="F231">
        <f t="shared" si="216"/>
        <v>3.3764999999999994E-4</v>
      </c>
      <c r="G231">
        <f t="shared" si="217"/>
        <v>6.4136E-4</v>
      </c>
      <c r="H231">
        <f t="shared" si="218"/>
        <v>2.1920600000000001</v>
      </c>
      <c r="I231">
        <f t="shared" si="219"/>
        <v>3.4005499999999991E-4</v>
      </c>
      <c r="J231">
        <f t="shared" si="220"/>
        <v>6.4012499999999996E-4</v>
      </c>
      <c r="K231">
        <f t="shared" si="221"/>
        <v>14.207326999999999</v>
      </c>
      <c r="L231">
        <f>0.05*F66+(1-0.05)*B66</f>
        <v>4.9057000000000007E-4</v>
      </c>
      <c r="M231">
        <f>I66+E66</f>
        <v>5.8149899999999999</v>
      </c>
      <c r="P231" s="21"/>
      <c r="Q231" t="s">
        <v>37</v>
      </c>
      <c r="R231">
        <f t="shared" si="222"/>
        <v>3.3949999999999996E-4</v>
      </c>
      <c r="S231">
        <f t="shared" si="223"/>
        <v>6.4481999999999994E-4</v>
      </c>
      <c r="U231">
        <f t="shared" si="224"/>
        <v>3.4430999999999996E-4</v>
      </c>
      <c r="V231">
        <f t="shared" si="225"/>
        <v>6.4214999999999997E-4</v>
      </c>
      <c r="X231">
        <f>0.1*F66+(1-0.1)*B66</f>
        <v>4.9424000000000007E-4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P235" s="21" t="s">
        <v>39</v>
      </c>
      <c r="Q235" t="s">
        <v>34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</row>
    <row r="236" spans="1:25" x14ac:dyDescent="0.25">
      <c r="C236" s="22"/>
      <c r="D236" s="21"/>
      <c r="E236" t="s">
        <v>36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21"/>
      <c r="Q236" t="s">
        <v>36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 x14ac:dyDescent="0.25">
      <c r="C237" s="22"/>
      <c r="D237" s="21"/>
      <c r="E237" t="s">
        <v>37</v>
      </c>
      <c r="F237">
        <f t="shared" si="226"/>
        <v>3.4319999999999999E-4</v>
      </c>
      <c r="G237">
        <f t="shared" si="227"/>
        <v>6.5174000000000004E-4</v>
      </c>
      <c r="I237">
        <f t="shared" si="228"/>
        <v>3.5282E-4</v>
      </c>
      <c r="J237">
        <f t="shared" si="229"/>
        <v>6.4619999999999999E-4</v>
      </c>
      <c r="L237">
        <f>0.2*F66+(1-0.2)*B66</f>
        <v>5.0158000000000006E-4</v>
      </c>
      <c r="P237" s="21"/>
      <c r="Q237" t="s">
        <v>37</v>
      </c>
      <c r="R237">
        <f t="shared" si="230"/>
        <v>3.4689999999999998E-4</v>
      </c>
      <c r="S237">
        <f t="shared" si="231"/>
        <v>6.5865999999999993E-4</v>
      </c>
      <c r="U237">
        <f t="shared" si="232"/>
        <v>3.6132999999999998E-4</v>
      </c>
      <c r="V237">
        <f t="shared" si="233"/>
        <v>6.5024999999999989E-4</v>
      </c>
      <c r="X237">
        <f>0.3*F66+(1-0.3)*B66</f>
        <v>5.0891999999999995E-4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20"/>
      <c r="P243" s="21"/>
      <c r="Q243" t="s">
        <v>36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 x14ac:dyDescent="0.25">
      <c r="B244" s="22"/>
      <c r="C244" s="20"/>
      <c r="D244" s="21"/>
      <c r="E244" t="s">
        <v>37</v>
      </c>
      <c r="F244">
        <f t="shared" si="234"/>
        <v>1.3589755000000001E-3</v>
      </c>
      <c r="G244">
        <f t="shared" si="235"/>
        <v>2.5768792500000005E-3</v>
      </c>
      <c r="H244">
        <f t="shared" si="236"/>
        <v>3.1852840000000002</v>
      </c>
      <c r="I244">
        <f t="shared" si="237"/>
        <v>1.5125450000000001E-3</v>
      </c>
      <c r="J244">
        <f t="shared" si="238"/>
        <v>2.3748522500000001E-3</v>
      </c>
      <c r="K244">
        <f t="shared" si="239"/>
        <v>20.425162</v>
      </c>
      <c r="L244">
        <f>(0.05*(1-0.05)+0.05*(1-0.05))*F66+0.05*0.05*J66+(1-0.05*(1-0.05)-0.05*(1-0.05)-0.05*0.05)*B66</f>
        <v>4.9415125000000005E-4</v>
      </c>
      <c r="M244">
        <f>M66+I66+E66</f>
        <v>8.7656789999999987</v>
      </c>
      <c r="O244" s="20"/>
      <c r="P244" s="21"/>
      <c r="Q244" t="s">
        <v>37</v>
      </c>
      <c r="R244">
        <f t="shared" si="240"/>
        <v>4.4211020000000005E-3</v>
      </c>
      <c r="S244">
        <f t="shared" si="241"/>
        <v>8.379977000000002E-3</v>
      </c>
      <c r="U244">
        <f t="shared" si="242"/>
        <v>5.0257600000000006E-3</v>
      </c>
      <c r="V244">
        <f t="shared" si="243"/>
        <v>7.5770090000000009E-3</v>
      </c>
      <c r="X244">
        <f>(0.1*0.9+0.1*0.9)*F66+0.1*0.1*J66+(1-0.1*0.9-0.1*0.9-0.1*0.1)*B66</f>
        <v>5.0122500000000011E-4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20"/>
      <c r="P249" s="21"/>
      <c r="Q249" t="s">
        <v>36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 x14ac:dyDescent="0.25">
      <c r="B250" s="22"/>
      <c r="C250" s="20"/>
      <c r="D250" s="21"/>
      <c r="E250" t="s">
        <v>37</v>
      </c>
      <c r="F250">
        <f t="shared" si="244"/>
        <v>1.6662208000000005E-2</v>
      </c>
      <c r="G250">
        <f t="shared" si="245"/>
        <v>3.1578528000000002E-2</v>
      </c>
      <c r="I250">
        <f t="shared" si="246"/>
        <v>1.9061600000000005E-2</v>
      </c>
      <c r="J250">
        <f t="shared" si="247"/>
        <v>2.8377536000000009E-2</v>
      </c>
      <c r="L250">
        <f>(0.2*0.8+0.2*0.8)*F66+0.2*0.2*J66+(1-0.2*0.8-0.2*0.8-0.2*0.2)*B66</f>
        <v>5.1484000000000002E-4</v>
      </c>
      <c r="O250" s="20"/>
      <c r="P250" s="21"/>
      <c r="Q250" t="s">
        <v>37</v>
      </c>
      <c r="R250">
        <f t="shared" si="248"/>
        <v>3.7059117999999995E-2</v>
      </c>
      <c r="S250">
        <f t="shared" si="249"/>
        <v>7.023355299999999E-2</v>
      </c>
      <c r="U250">
        <f t="shared" si="250"/>
        <v>4.244332E-2</v>
      </c>
      <c r="V250">
        <f t="shared" si="251"/>
        <v>6.3039681E-2</v>
      </c>
      <c r="X250">
        <f>(0.3*0.7+0.3*0.7)*F66+0.3*0.3*J66+(1-0.3*0.7-0.3*0.7-0.3*0.3)*B66</f>
        <v>5.2774500000000004E-4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24"/>
      <c r="O256" s="20"/>
      <c r="P256" s="21"/>
      <c r="Q256" t="s">
        <v>36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2"/>
        <v>3.3023618250000008E-3</v>
      </c>
      <c r="G257">
        <f t="shared" si="253"/>
        <v>6.2592181750000002E-3</v>
      </c>
      <c r="H257">
        <f t="shared" si="254"/>
        <v>4.1784129999999999</v>
      </c>
      <c r="I257">
        <f t="shared" si="255"/>
        <v>3.7415733625000003E-3</v>
      </c>
      <c r="J257">
        <f t="shared" si="256"/>
        <v>5.6782064625000008E-3</v>
      </c>
      <c r="K257">
        <f t="shared" si="257"/>
        <v>26.064551999999999</v>
      </c>
      <c r="L257">
        <f>3*0.05*(1-0.05)*(1-0.05)*F66+3*0.05*0.05*(1-0.05)*J66+0.05*0.05*0.05*N66+(1-3*0.05*(1-0.05)*(1-0.05)-3*0.05*0.05*(1-0.05)-0.05*0.05*0.05)*B66</f>
        <v>4.9765206249999998E-4</v>
      </c>
      <c r="M257">
        <f>Q66+M66+I66+E66</f>
        <v>11.659136999999998</v>
      </c>
      <c r="N257" s="24"/>
      <c r="O257" s="20"/>
      <c r="P257" s="21"/>
      <c r="Q257" t="s">
        <v>37</v>
      </c>
      <c r="R257">
        <f t="shared" si="258"/>
        <v>1.1801288600000003E-2</v>
      </c>
      <c r="S257">
        <f t="shared" si="259"/>
        <v>2.2361454400000005E-2</v>
      </c>
      <c r="U257">
        <f t="shared" si="260"/>
        <v>1.3486576900000002E-2</v>
      </c>
      <c r="V257">
        <f t="shared" si="261"/>
        <v>2.0130074700000007E-2</v>
      </c>
      <c r="X257">
        <f>3*0.1*(1-0.1)*(1-0.1)*F66+3*0.1*0.1*(1-0.1)*J66+0.1*0.1*0.1*N66+(1-3*0.1*(1-0.1)*(1-0.1)-3*0.1*0.1*(1-0.1)-0.1*0.1*0.1)*B66</f>
        <v>5.079215E-4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24"/>
      <c r="O262" s="20"/>
      <c r="P262" s="21"/>
      <c r="Q262" t="s">
        <v>36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2"/>
        <v>4.305828480000002E-2</v>
      </c>
      <c r="G263">
        <f t="shared" si="263"/>
        <v>8.1562931200000022E-2</v>
      </c>
      <c r="I263">
        <f t="shared" si="264"/>
        <v>4.9313555200000019E-2</v>
      </c>
      <c r="J263">
        <f t="shared" si="265"/>
        <v>7.3331289600000016E-2</v>
      </c>
      <c r="L263">
        <f>3*0.2*(1-0.2)*(1-0.2)*F66+3*0.2*0.2*(1-0.2)*J66+0.2*0.2*0.2*N66+(1-3*0.2*(1-0.2)*(1-0.2)-3*0.2*0.2*(1-0.2)-0.2*0.2*0.2)*B66</f>
        <v>5.2721199999999999E-4</v>
      </c>
      <c r="N263" s="24"/>
      <c r="O263" s="20"/>
      <c r="P263" s="21"/>
      <c r="Q263" t="s">
        <v>37</v>
      </c>
      <c r="R263">
        <f t="shared" si="266"/>
        <v>8.9430884199999991E-2</v>
      </c>
      <c r="S263">
        <f t="shared" si="267"/>
        <v>0.16935083079999996</v>
      </c>
      <c r="U263">
        <f t="shared" si="268"/>
        <v>0.10245529629999998</v>
      </c>
      <c r="V263">
        <f t="shared" si="269"/>
        <v>0.15236613089999998</v>
      </c>
      <c r="X263">
        <f>3*0.3*(1-0.3)*(1-0.3)*F66+3*0.3*0.3*(1-0.3)*J66+0.3*0.3*0.3*N66+(1-3*0.3*(1-0.3)*(1-0.3)-3*0.3*0.3*(1-0.3)-0.3*0.3*0.3)*B66</f>
        <v>5.4517050000000005E-4</v>
      </c>
    </row>
  </sheetData>
  <mergeCells count="361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B46:D46"/>
    <mergeCell ref="F46:H46"/>
    <mergeCell ref="J46:L46"/>
    <mergeCell ref="N46:P46"/>
    <mergeCell ref="T46:V46"/>
    <mergeCell ref="X46:Z46"/>
    <mergeCell ref="AB46:AD46"/>
    <mergeCell ref="AF46:AH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T25:V25"/>
    <mergeCell ref="X25:Z25"/>
    <mergeCell ref="AB25:AD25"/>
    <mergeCell ref="AF25:AH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263"/>
  <sheetViews>
    <sheetView zoomScale="40" zoomScaleNormal="40" workbookViewId="0">
      <selection activeCell="T39" sqref="T39:AI40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3" width="10.6640625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108</v>
      </c>
      <c r="C9" s="16"/>
      <c r="D9" s="16"/>
      <c r="E9" s="16"/>
      <c r="F9" s="16" t="s">
        <v>109</v>
      </c>
      <c r="G9" s="16"/>
      <c r="H9" s="16"/>
      <c r="I9" s="16"/>
      <c r="J9" s="16" t="s">
        <v>110</v>
      </c>
      <c r="K9" s="16"/>
      <c r="L9" s="16"/>
      <c r="M9" s="16"/>
      <c r="N9" s="16" t="s">
        <v>111</v>
      </c>
      <c r="O9" s="16"/>
      <c r="P9" s="16"/>
      <c r="Q9" s="16"/>
      <c r="S9" s="22" t="s">
        <v>12</v>
      </c>
      <c r="T9" s="16" t="s">
        <v>108</v>
      </c>
      <c r="U9" s="16"/>
      <c r="V9" s="16"/>
      <c r="W9" s="16"/>
      <c r="X9" s="16" t="s">
        <v>109</v>
      </c>
      <c r="Y9" s="16"/>
      <c r="Z9" s="16"/>
      <c r="AA9" s="16"/>
      <c r="AB9" s="16" t="s">
        <v>110</v>
      </c>
      <c r="AC9" s="16"/>
      <c r="AD9" s="16"/>
      <c r="AE9" s="16"/>
      <c r="AF9" s="16" t="s">
        <v>111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>
        <v>1.1999999999999999E-3</v>
      </c>
      <c r="D13">
        <v>1.1999999999999999E-3</v>
      </c>
      <c r="E13">
        <v>1.20556</v>
      </c>
      <c r="F13" t="s">
        <v>22</v>
      </c>
      <c r="G13">
        <v>1.2999999999999999E-3</v>
      </c>
      <c r="H13">
        <v>1.2999999999999999E-3</v>
      </c>
      <c r="I13">
        <v>1.213929</v>
      </c>
      <c r="J13" t="s">
        <v>22</v>
      </c>
      <c r="K13">
        <v>1.4E-3</v>
      </c>
      <c r="L13">
        <v>1.4E-3</v>
      </c>
      <c r="M13">
        <v>1.1810959999999999</v>
      </c>
      <c r="N13" t="s">
        <v>22</v>
      </c>
      <c r="O13">
        <v>1.6000000000000001E-3</v>
      </c>
      <c r="P13">
        <v>1.6000000000000001E-3</v>
      </c>
      <c r="Q13">
        <v>0.95003899999999997</v>
      </c>
      <c r="S13" s="22"/>
      <c r="T13" t="s">
        <v>22</v>
      </c>
      <c r="U13">
        <v>1.1999999999999999E-3</v>
      </c>
      <c r="V13">
        <v>1.1999999999999999E-3</v>
      </c>
      <c r="W13">
        <v>0.98131800000000002</v>
      </c>
      <c r="X13" t="s">
        <v>22</v>
      </c>
      <c r="Y13">
        <v>1.2999999999999999E-3</v>
      </c>
      <c r="Z13">
        <v>1.2999999999999999E-3</v>
      </c>
      <c r="AA13">
        <v>0.97158500000000003</v>
      </c>
      <c r="AB13" t="s">
        <v>22</v>
      </c>
      <c r="AC13">
        <v>1.4E-3</v>
      </c>
      <c r="AD13">
        <v>1.4E-3</v>
      </c>
      <c r="AE13">
        <v>0.93826100000000001</v>
      </c>
      <c r="AF13" t="s">
        <v>22</v>
      </c>
      <c r="AG13">
        <v>1.5E-3</v>
      </c>
      <c r="AH13">
        <v>1.5E-3</v>
      </c>
      <c r="AI13">
        <v>1.2084729999999999</v>
      </c>
    </row>
    <row r="16" spans="1:35" x14ac:dyDescent="0.25">
      <c r="A16" s="18" t="s">
        <v>23</v>
      </c>
      <c r="B16" s="16" t="s">
        <v>108</v>
      </c>
      <c r="C16" s="16"/>
      <c r="D16" s="16"/>
      <c r="E16" s="16"/>
      <c r="F16" s="16" t="s">
        <v>109</v>
      </c>
      <c r="G16" s="16"/>
      <c r="H16" s="16"/>
      <c r="I16" s="16"/>
      <c r="J16" s="16" t="s">
        <v>110</v>
      </c>
      <c r="K16" s="16"/>
      <c r="L16" s="16"/>
      <c r="M16" s="16"/>
      <c r="N16" s="16" t="s">
        <v>111</v>
      </c>
      <c r="O16" s="16"/>
      <c r="P16" s="16"/>
      <c r="Q16" s="16"/>
      <c r="S16" s="18" t="s">
        <v>23</v>
      </c>
      <c r="T16" s="16" t="s">
        <v>108</v>
      </c>
      <c r="U16" s="16"/>
      <c r="V16" s="16"/>
      <c r="W16" s="16"/>
      <c r="X16" s="16" t="s">
        <v>109</v>
      </c>
      <c r="Y16" s="16"/>
      <c r="Z16" s="16"/>
      <c r="AA16" s="16"/>
      <c r="AB16" s="16" t="s">
        <v>110</v>
      </c>
      <c r="AC16" s="16"/>
      <c r="AD16" s="16"/>
      <c r="AE16" s="16"/>
      <c r="AF16" s="16" t="s">
        <v>111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1.1999999999999999E-3</v>
      </c>
      <c r="D20">
        <v>1.1999999999999999E-3</v>
      </c>
      <c r="E20">
        <v>0.97844699999999996</v>
      </c>
      <c r="F20" t="s">
        <v>22</v>
      </c>
      <c r="G20">
        <v>1.2999999999999999E-3</v>
      </c>
      <c r="H20">
        <v>1.2999999999999999E-3</v>
      </c>
      <c r="I20">
        <v>1.236121</v>
      </c>
      <c r="J20" t="s">
        <v>22</v>
      </c>
      <c r="K20">
        <v>1.4E-3</v>
      </c>
      <c r="L20">
        <v>1.4E-3</v>
      </c>
      <c r="M20">
        <v>1.2413860000000001</v>
      </c>
      <c r="N20" t="s">
        <v>22</v>
      </c>
      <c r="O20">
        <v>1.6000000000000001E-3</v>
      </c>
      <c r="P20">
        <v>1.6000000000000001E-3</v>
      </c>
      <c r="Q20">
        <v>1.2380690000000001</v>
      </c>
      <c r="S20" s="18"/>
      <c r="T20" t="s">
        <v>22</v>
      </c>
      <c r="U20">
        <v>1.1999999999999999E-3</v>
      </c>
      <c r="V20">
        <v>1.1999999999999999E-3</v>
      </c>
      <c r="W20">
        <v>1.739968</v>
      </c>
      <c r="X20" t="s">
        <v>22</v>
      </c>
      <c r="Y20">
        <v>1.2999999999999999E-3</v>
      </c>
      <c r="Z20">
        <v>1.2999999999999999E-3</v>
      </c>
      <c r="AA20">
        <v>1.5229900000000001</v>
      </c>
      <c r="AB20" t="s">
        <v>22</v>
      </c>
      <c r="AC20">
        <v>1.4E-3</v>
      </c>
      <c r="AD20">
        <v>1.4E-3</v>
      </c>
      <c r="AE20">
        <v>1.4697229999999999</v>
      </c>
      <c r="AF20" t="s">
        <v>22</v>
      </c>
      <c r="AG20">
        <v>1.5E-3</v>
      </c>
      <c r="AH20">
        <v>1.6000000000000001E-3</v>
      </c>
      <c r="AI20">
        <v>1.4206829999999999</v>
      </c>
    </row>
    <row r="23" spans="1:35" x14ac:dyDescent="0.25">
      <c r="A23" s="23" t="s">
        <v>24</v>
      </c>
      <c r="B23" s="16" t="s">
        <v>108</v>
      </c>
      <c r="C23" s="16"/>
      <c r="D23" s="16"/>
      <c r="E23" s="16"/>
      <c r="F23" s="16" t="s">
        <v>109</v>
      </c>
      <c r="G23" s="16"/>
      <c r="H23" s="16"/>
      <c r="I23" s="16"/>
      <c r="J23" s="16" t="s">
        <v>110</v>
      </c>
      <c r="K23" s="16"/>
      <c r="L23" s="16"/>
      <c r="M23" s="16"/>
      <c r="N23" s="16" t="s">
        <v>111</v>
      </c>
      <c r="O23" s="16"/>
      <c r="P23" s="16"/>
      <c r="Q23" s="16"/>
      <c r="S23" s="23" t="s">
        <v>24</v>
      </c>
      <c r="T23" s="16" t="s">
        <v>108</v>
      </c>
      <c r="U23" s="16"/>
      <c r="V23" s="16"/>
      <c r="W23" s="16"/>
      <c r="X23" s="16" t="s">
        <v>109</v>
      </c>
      <c r="Y23" s="16"/>
      <c r="Z23" s="16"/>
      <c r="AA23" s="16"/>
      <c r="AB23" s="16" t="s">
        <v>110</v>
      </c>
      <c r="AC23" s="16"/>
      <c r="AD23" s="16"/>
      <c r="AE23" s="16"/>
      <c r="AF23" s="16" t="s">
        <v>111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ht="16.05" customHeight="1" x14ac:dyDescent="0.25">
      <c r="A25" s="23"/>
      <c r="B25" s="16">
        <v>1.1999999999999999E-3</v>
      </c>
      <c r="C25" s="16"/>
      <c r="D25" s="16"/>
      <c r="E25">
        <v>2.6586069999999999</v>
      </c>
      <c r="F25" s="16">
        <v>1.2999999999999999E-3</v>
      </c>
      <c r="G25" s="16"/>
      <c r="H25" s="16"/>
      <c r="I25">
        <v>2.6788650000000001</v>
      </c>
      <c r="J25" s="27">
        <v>1.4E-3</v>
      </c>
      <c r="K25" s="27"/>
      <c r="L25" s="27"/>
      <c r="M25">
        <v>2.7447089999999998</v>
      </c>
      <c r="N25" s="16">
        <v>1.6000000000000001E-3</v>
      </c>
      <c r="O25" s="16"/>
      <c r="P25" s="16"/>
      <c r="Q25">
        <v>2.6970000000000001</v>
      </c>
      <c r="S25" s="23"/>
      <c r="T25" s="16">
        <v>1.1999999999999999E-3</v>
      </c>
      <c r="U25" s="16"/>
      <c r="V25" s="16"/>
      <c r="W25">
        <v>3.0295070000000002</v>
      </c>
      <c r="X25" s="16">
        <v>1.2999999999999999E-3</v>
      </c>
      <c r="Y25" s="16"/>
      <c r="Z25" s="16"/>
      <c r="AA25">
        <v>2.6666319999999999</v>
      </c>
      <c r="AB25" s="16">
        <v>1.4E-3</v>
      </c>
      <c r="AC25" s="16"/>
      <c r="AD25" s="16"/>
      <c r="AE25">
        <v>2.610662</v>
      </c>
      <c r="AF25" s="16">
        <v>1.5E-3</v>
      </c>
      <c r="AG25" s="16"/>
      <c r="AH25" s="16"/>
      <c r="AI25">
        <v>2.539434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108</v>
      </c>
      <c r="C30" s="16"/>
      <c r="D30" s="16"/>
      <c r="E30" s="16"/>
      <c r="F30" s="16" t="s">
        <v>109</v>
      </c>
      <c r="G30" s="16"/>
      <c r="H30" s="16"/>
      <c r="I30" s="16"/>
      <c r="J30" s="16" t="s">
        <v>110</v>
      </c>
      <c r="K30" s="16"/>
      <c r="L30" s="16"/>
      <c r="M30" s="16"/>
      <c r="N30" s="16" t="s">
        <v>111</v>
      </c>
      <c r="O30" s="16"/>
      <c r="P30" s="16"/>
      <c r="Q30" s="16"/>
      <c r="S30" s="22" t="s">
        <v>12</v>
      </c>
      <c r="T30" s="16" t="s">
        <v>108</v>
      </c>
      <c r="U30" s="16"/>
      <c r="V30" s="16"/>
      <c r="W30" s="16"/>
      <c r="X30" s="16" t="s">
        <v>109</v>
      </c>
      <c r="Y30" s="16"/>
      <c r="Z30" s="16"/>
      <c r="AA30" s="16"/>
      <c r="AB30" s="16" t="s">
        <v>110</v>
      </c>
      <c r="AC30" s="16"/>
      <c r="AD30" s="16"/>
      <c r="AE30" s="16"/>
      <c r="AF30" s="16" t="s">
        <v>111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>
        <v>1.1000000000000001E-3</v>
      </c>
      <c r="D34">
        <v>1.1000000000000001E-3</v>
      </c>
      <c r="E34">
        <v>0.96772400000000003</v>
      </c>
      <c r="F34" t="s">
        <v>22</v>
      </c>
      <c r="G34">
        <v>1.1999999999999999E-3</v>
      </c>
      <c r="H34">
        <v>1.1999999999999999E-3</v>
      </c>
      <c r="I34">
        <v>0.96262800000000004</v>
      </c>
      <c r="J34" t="s">
        <v>22</v>
      </c>
      <c r="K34">
        <v>1.2999999999999999E-3</v>
      </c>
      <c r="L34">
        <v>1.2999999999999999E-3</v>
      </c>
      <c r="M34">
        <v>0.98065000000000002</v>
      </c>
      <c r="N34" t="s">
        <v>22</v>
      </c>
      <c r="O34">
        <v>1.4E-3</v>
      </c>
      <c r="P34">
        <v>1.4E-3</v>
      </c>
      <c r="Q34">
        <v>1.110503</v>
      </c>
      <c r="S34" s="22"/>
      <c r="T34" t="s">
        <v>22</v>
      </c>
      <c r="U34" s="2">
        <v>7.3649999999999996E-4</v>
      </c>
      <c r="V34" s="2">
        <v>9.2670000000000003E-4</v>
      </c>
      <c r="W34">
        <v>0.97547399999999995</v>
      </c>
      <c r="X34" t="s">
        <v>22</v>
      </c>
      <c r="Y34">
        <v>8.0000000000000004E-4</v>
      </c>
      <c r="Z34">
        <v>1E-3</v>
      </c>
      <c r="AA34">
        <v>1.2064839999999999</v>
      </c>
      <c r="AB34" t="s">
        <v>22</v>
      </c>
      <c r="AC34">
        <v>8.9999999999999998E-4</v>
      </c>
      <c r="AD34">
        <v>1.1000000000000001E-3</v>
      </c>
      <c r="AE34">
        <v>0.97267700000000001</v>
      </c>
      <c r="AF34" t="s">
        <v>22</v>
      </c>
      <c r="AG34">
        <v>1E-3</v>
      </c>
      <c r="AH34">
        <v>1.1999999999999999E-3</v>
      </c>
      <c r="AI34">
        <v>0.98124900000000004</v>
      </c>
    </row>
    <row r="37" spans="1:35" x14ac:dyDescent="0.25">
      <c r="A37" s="18" t="s">
        <v>23</v>
      </c>
      <c r="B37" s="16" t="s">
        <v>108</v>
      </c>
      <c r="C37" s="16"/>
      <c r="D37" s="16"/>
      <c r="E37" s="16"/>
      <c r="F37" s="16" t="s">
        <v>109</v>
      </c>
      <c r="G37" s="16"/>
      <c r="H37" s="16"/>
      <c r="I37" s="16"/>
      <c r="J37" s="16" t="s">
        <v>110</v>
      </c>
      <c r="K37" s="16"/>
      <c r="L37" s="16"/>
      <c r="M37" s="16"/>
      <c r="N37" s="16" t="s">
        <v>111</v>
      </c>
      <c r="O37" s="16"/>
      <c r="P37" s="16"/>
      <c r="Q37" s="16"/>
      <c r="S37" s="18" t="s">
        <v>23</v>
      </c>
      <c r="T37" s="16" t="s">
        <v>108</v>
      </c>
      <c r="U37" s="16"/>
      <c r="V37" s="16"/>
      <c r="W37" s="16"/>
      <c r="X37" s="16" t="s">
        <v>109</v>
      </c>
      <c r="Y37" s="16"/>
      <c r="Z37" s="16"/>
      <c r="AA37" s="16"/>
      <c r="AB37" s="16" t="s">
        <v>110</v>
      </c>
      <c r="AC37" s="16"/>
      <c r="AD37" s="16"/>
      <c r="AE37" s="16"/>
      <c r="AF37" s="16" t="s">
        <v>111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>
        <v>1.1000000000000001E-3</v>
      </c>
      <c r="D41">
        <v>1.1000000000000001E-3</v>
      </c>
      <c r="E41">
        <v>2.6776589999999998</v>
      </c>
      <c r="F41" t="s">
        <v>22</v>
      </c>
      <c r="G41">
        <v>1.1999999999999999E-3</v>
      </c>
      <c r="H41">
        <v>1.1999999999999999E-3</v>
      </c>
      <c r="I41">
        <v>2.0018799999999999</v>
      </c>
      <c r="J41" t="s">
        <v>22</v>
      </c>
      <c r="K41">
        <v>1.2999999999999999E-3</v>
      </c>
      <c r="L41">
        <v>1.2999999999999999E-3</v>
      </c>
      <c r="M41">
        <v>1.78356</v>
      </c>
      <c r="N41" t="s">
        <v>22</v>
      </c>
      <c r="O41">
        <v>1.4E-3</v>
      </c>
      <c r="P41">
        <v>1.4E-3</v>
      </c>
      <c r="Q41">
        <v>2.344608</v>
      </c>
      <c r="S41" s="18"/>
      <c r="T41" t="s">
        <v>22</v>
      </c>
      <c r="U41" s="2">
        <v>7.3649999999999996E-4</v>
      </c>
      <c r="V41" s="2">
        <v>9.2670000000000003E-4</v>
      </c>
      <c r="W41">
        <v>3.0286909999999998</v>
      </c>
      <c r="X41" t="s">
        <v>22</v>
      </c>
      <c r="Y41">
        <v>8.0000000000000004E-4</v>
      </c>
      <c r="Z41">
        <v>1E-3</v>
      </c>
      <c r="AA41">
        <v>2.2049919999999998</v>
      </c>
      <c r="AB41" t="s">
        <v>22</v>
      </c>
      <c r="AC41">
        <v>8.9999999999999998E-4</v>
      </c>
      <c r="AD41">
        <v>1.1000000000000001E-3</v>
      </c>
      <c r="AE41">
        <v>2.209282</v>
      </c>
      <c r="AF41" t="s">
        <v>22</v>
      </c>
      <c r="AG41">
        <v>1E-3</v>
      </c>
      <c r="AH41">
        <v>1.1999999999999999E-3</v>
      </c>
      <c r="AI41">
        <v>2.022176</v>
      </c>
    </row>
    <row r="44" spans="1:35" x14ac:dyDescent="0.25">
      <c r="A44" s="23" t="s">
        <v>24</v>
      </c>
      <c r="B44" s="16" t="s">
        <v>108</v>
      </c>
      <c r="C44" s="16"/>
      <c r="D44" s="16"/>
      <c r="E44" s="16"/>
      <c r="F44" s="16" t="s">
        <v>109</v>
      </c>
      <c r="G44" s="16"/>
      <c r="H44" s="16"/>
      <c r="I44" s="16"/>
      <c r="J44" s="16" t="s">
        <v>110</v>
      </c>
      <c r="K44" s="16"/>
      <c r="L44" s="16"/>
      <c r="M44" s="16"/>
      <c r="N44" s="16" t="s">
        <v>111</v>
      </c>
      <c r="O44" s="16"/>
      <c r="P44" s="16"/>
      <c r="Q44" s="16"/>
      <c r="S44" s="23" t="s">
        <v>24</v>
      </c>
      <c r="T44" s="16" t="s">
        <v>108</v>
      </c>
      <c r="U44" s="16"/>
      <c r="V44" s="16"/>
      <c r="W44" s="16"/>
      <c r="X44" s="16" t="s">
        <v>109</v>
      </c>
      <c r="Y44" s="16"/>
      <c r="Z44" s="16"/>
      <c r="AA44" s="16"/>
      <c r="AB44" s="16" t="s">
        <v>110</v>
      </c>
      <c r="AC44" s="16"/>
      <c r="AD44" s="16"/>
      <c r="AE44" s="16"/>
      <c r="AF44" s="16" t="s">
        <v>111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16">
        <v>1.1000000000000001E-3</v>
      </c>
      <c r="C46" s="16"/>
      <c r="D46" s="16"/>
      <c r="E46">
        <v>3.0824050000000001</v>
      </c>
      <c r="F46" s="16">
        <v>1.1999999999999999E-3</v>
      </c>
      <c r="G46" s="16"/>
      <c r="H46" s="16"/>
      <c r="I46">
        <v>2.6272639999999998</v>
      </c>
      <c r="J46" s="16">
        <v>1.2999999999999999E-3</v>
      </c>
      <c r="K46" s="16"/>
      <c r="L46" s="16"/>
      <c r="M46">
        <v>2.9080789999999999</v>
      </c>
      <c r="N46" s="16">
        <v>1.4E-3</v>
      </c>
      <c r="O46" s="16"/>
      <c r="P46" s="16"/>
      <c r="Q46">
        <v>2.7185980000000001</v>
      </c>
      <c r="S46" s="23"/>
      <c r="T46" s="26">
        <v>8.633E-4</v>
      </c>
      <c r="U46" s="16"/>
      <c r="V46" s="16"/>
      <c r="W46">
        <v>2.721206</v>
      </c>
      <c r="X46" s="26">
        <v>9.5189999999999999E-4</v>
      </c>
      <c r="Y46" s="16"/>
      <c r="Z46" s="16"/>
      <c r="AA46">
        <v>2.6840250000000001</v>
      </c>
      <c r="AB46" s="16">
        <v>1E-3</v>
      </c>
      <c r="AC46" s="16"/>
      <c r="AD46" s="16"/>
      <c r="AE46">
        <v>2.7134710000000002</v>
      </c>
      <c r="AF46" s="16">
        <v>1.1000000000000001E-3</v>
      </c>
      <c r="AG46" s="16"/>
      <c r="AH46" s="16"/>
      <c r="AI46">
        <v>2.7128999999999999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108</v>
      </c>
      <c r="C50" s="16"/>
      <c r="D50" s="16"/>
      <c r="E50" s="16"/>
      <c r="F50" s="16" t="s">
        <v>109</v>
      </c>
      <c r="G50" s="16"/>
      <c r="H50" s="16"/>
      <c r="I50" s="16"/>
      <c r="J50" s="16" t="s">
        <v>110</v>
      </c>
      <c r="K50" s="16"/>
      <c r="L50" s="16"/>
      <c r="M50" s="16"/>
      <c r="N50" s="16" t="s">
        <v>111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3.28E-4</v>
      </c>
      <c r="D54" s="2">
        <v>5.932E-4</v>
      </c>
      <c r="E54">
        <v>1.2002729999999999</v>
      </c>
      <c r="F54" t="s">
        <v>22</v>
      </c>
      <c r="G54" s="2">
        <v>3.6709999999999998E-4</v>
      </c>
      <c r="H54" s="2">
        <v>6.6279999999999996E-4</v>
      </c>
      <c r="I54">
        <v>0.98555499999999996</v>
      </c>
      <c r="J54" t="s">
        <v>22</v>
      </c>
      <c r="K54" s="2">
        <v>4.0559999999999999E-4</v>
      </c>
      <c r="L54" s="2">
        <v>7.2950000000000001E-4</v>
      </c>
      <c r="M54">
        <v>0.99576600000000004</v>
      </c>
      <c r="N54" t="s">
        <v>22</v>
      </c>
      <c r="O54" s="2">
        <v>4.4539999999999998E-4</v>
      </c>
      <c r="P54" s="2">
        <v>7.9350000000000004E-4</v>
      </c>
      <c r="Q54">
        <v>0.938751</v>
      </c>
    </row>
    <row r="57" spans="1:17" x14ac:dyDescent="0.25">
      <c r="A57" s="18" t="s">
        <v>23</v>
      </c>
      <c r="B57" s="16" t="s">
        <v>108</v>
      </c>
      <c r="C57" s="16"/>
      <c r="D57" s="16"/>
      <c r="E57" s="16"/>
      <c r="F57" s="16" t="s">
        <v>109</v>
      </c>
      <c r="G57" s="16"/>
      <c r="H57" s="16"/>
      <c r="I57" s="16"/>
      <c r="J57" s="16" t="s">
        <v>110</v>
      </c>
      <c r="K57" s="16"/>
      <c r="L57" s="16"/>
      <c r="M57" s="16"/>
      <c r="N57" s="16" t="s">
        <v>111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3.28E-4</v>
      </c>
      <c r="D61" s="2">
        <v>5.9349999999999995E-4</v>
      </c>
      <c r="E61">
        <v>2.1480429999999999</v>
      </c>
      <c r="F61" t="s">
        <v>22</v>
      </c>
      <c r="G61" s="2">
        <v>4.194E-4</v>
      </c>
      <c r="H61" s="2">
        <v>6.3889999999999997E-4</v>
      </c>
      <c r="I61">
        <v>1.8928130000000001</v>
      </c>
      <c r="J61" t="s">
        <v>22</v>
      </c>
      <c r="K61" s="2">
        <v>4.6299999999999998E-4</v>
      </c>
      <c r="L61" s="2">
        <v>6.6160000000000004E-4</v>
      </c>
      <c r="M61">
        <v>1.81691</v>
      </c>
      <c r="N61" t="s">
        <v>22</v>
      </c>
      <c r="O61" s="2">
        <v>5.0659999999999995E-4</v>
      </c>
      <c r="P61" s="2">
        <v>7.3519999999999998E-4</v>
      </c>
      <c r="Q61">
        <v>1.741649</v>
      </c>
    </row>
    <row r="64" spans="1:17" x14ac:dyDescent="0.25">
      <c r="A64" s="23" t="s">
        <v>24</v>
      </c>
      <c r="B64" s="16" t="s">
        <v>108</v>
      </c>
      <c r="C64" s="16"/>
      <c r="D64" s="16"/>
      <c r="E64" s="16"/>
      <c r="F64" s="16" t="s">
        <v>109</v>
      </c>
      <c r="G64" s="16"/>
      <c r="H64" s="16"/>
      <c r="I64" s="16"/>
      <c r="J64" s="16" t="s">
        <v>110</v>
      </c>
      <c r="K64" s="16"/>
      <c r="L64" s="16"/>
      <c r="M64" s="16"/>
      <c r="N64" s="16" t="s">
        <v>111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4.8309999999999998E-4</v>
      </c>
      <c r="C66" s="16"/>
      <c r="D66" s="16"/>
      <c r="E66">
        <v>2.6563219999999998</v>
      </c>
      <c r="F66" s="26">
        <v>5.44E-4</v>
      </c>
      <c r="G66" s="16"/>
      <c r="H66" s="16"/>
      <c r="I66">
        <v>2.7044000000000001</v>
      </c>
      <c r="J66" s="26">
        <v>5.9159999999999996E-4</v>
      </c>
      <c r="K66" s="16"/>
      <c r="L66" s="16"/>
      <c r="M66">
        <v>2.6991160000000001</v>
      </c>
      <c r="N66" s="26">
        <v>6.4490000000000001E-4</v>
      </c>
      <c r="O66" s="16"/>
      <c r="P66" s="16"/>
      <c r="Q66">
        <v>2.6543130000000001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1.2049999999999999E-3</v>
      </c>
      <c r="G75">
        <f t="shared" si="1"/>
        <v>1.2049999999999999E-3</v>
      </c>
      <c r="H75">
        <f t="shared" si="2"/>
        <v>2.419489</v>
      </c>
      <c r="I75">
        <f t="shared" si="3"/>
        <v>1.2049999999999999E-3</v>
      </c>
      <c r="J75">
        <f t="shared" si="4"/>
        <v>1.2049999999999999E-3</v>
      </c>
      <c r="K75">
        <f t="shared" si="5"/>
        <v>2.2145679999999999</v>
      </c>
      <c r="L75">
        <f>0.05*F25+(1-0.05)*B25</f>
        <v>1.2049999999999999E-3</v>
      </c>
      <c r="M75">
        <f>I25+E25</f>
        <v>5.337472</v>
      </c>
      <c r="P75" s="21"/>
      <c r="Q75" t="s">
        <v>37</v>
      </c>
      <c r="R75">
        <f t="shared" si="6"/>
        <v>1.2099999999999999E-3</v>
      </c>
      <c r="S75">
        <f t="shared" si="7"/>
        <v>1.2099999999999999E-3</v>
      </c>
      <c r="U75">
        <f t="shared" si="8"/>
        <v>1.2099999999999999E-3</v>
      </c>
      <c r="V75">
        <f t="shared" si="9"/>
        <v>1.2099999999999999E-3</v>
      </c>
      <c r="X75">
        <f>0.1*F25+(1-0.1)*B25</f>
        <v>1.2099999999999999E-3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1.2199999999999999E-3</v>
      </c>
      <c r="G81">
        <f t="shared" si="11"/>
        <v>1.2199999999999999E-3</v>
      </c>
      <c r="I81">
        <f t="shared" si="12"/>
        <v>1.2199999999999999E-3</v>
      </c>
      <c r="J81">
        <f t="shared" si="13"/>
        <v>1.2199999999999999E-3</v>
      </c>
      <c r="L81">
        <f>0.2*F25+(1-0.2)*B25</f>
        <v>1.2199999999999999E-3</v>
      </c>
      <c r="P81" s="21"/>
      <c r="Q81" t="s">
        <v>37</v>
      </c>
      <c r="R81">
        <f t="shared" si="14"/>
        <v>1.23E-3</v>
      </c>
      <c r="S81">
        <f t="shared" si="15"/>
        <v>1.23E-3</v>
      </c>
      <c r="U81">
        <f t="shared" si="16"/>
        <v>1.23E-3</v>
      </c>
      <c r="V81">
        <f t="shared" si="17"/>
        <v>1.23E-3</v>
      </c>
      <c r="X81">
        <f>0.3*F25+(1-0.3)*B25</f>
        <v>1.23E-3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>(0.05*(1-0.05)+0.05*(1-0.05))*G18+0.05*0.05*K18+(1-0.05*(1-0.05)-0.05*(1-0.05)-0.05*0.05)*C18</f>
        <v>0</v>
      </c>
      <c r="J86">
        <f>(0.05*(1-0.05)+0.05*(1-0.05))*H18+0.05*0.05*L18+(1-0.05*(1-0.05)-0.05*(1-0.05)-0.05*0.05)*D18</f>
        <v>0</v>
      </c>
      <c r="K86">
        <f t="shared" ref="K86:K88" si="21">M18+I18+E18</f>
        <v>0</v>
      </c>
      <c r="O86" s="20" t="s">
        <v>41</v>
      </c>
      <c r="P86" s="21" t="s">
        <v>35</v>
      </c>
      <c r="Q86" t="s">
        <v>34</v>
      </c>
      <c r="R86">
        <f t="shared" ref="R86:R88" si="22">(0.1*0.9+0.1*0.9)*G11+0.1*0.1*K11+(1-0.1*0.9-0.1*0.9-0.1*0.1)*C11</f>
        <v>0</v>
      </c>
      <c r="S86">
        <f t="shared" ref="S86:S88" si="23">(0.1*0.9+0.1*0.9)*H11+0.1*0.1*L11+(1-0.1*0.9-0.1*0.9-0.1*0.1)*D11</f>
        <v>0</v>
      </c>
      <c r="U86">
        <f t="shared" ref="U86:U88" si="24">(0.1*0.9+0.1*0.9)*G18+0.1*0.1*K18+(1-0.1*0.9-0.1*0.9-0.1*0.1)*C18</f>
        <v>0</v>
      </c>
      <c r="V86">
        <f t="shared" ref="V86:V88" si="25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ref="I87:I88" si="26">(0.05*(1-0.05)+0.05*(1-0.05))*G19+0.05*0.05*K19+(1-0.05*(1-0.05)-0.05*(1-0.05)-0.05*0.05)*C19</f>
        <v>0</v>
      </c>
      <c r="J87">
        <f t="shared" ref="J87:J88" si="27">(0.05*(1-0.05)+0.05*(1-0.05))*H19+0.05*0.05*L19+(1-0.05*(1-0.05)-0.05*(1-0.05)-0.05*0.05)*D19</f>
        <v>0</v>
      </c>
      <c r="K87">
        <f t="shared" si="21"/>
        <v>0</v>
      </c>
      <c r="O87" s="20"/>
      <c r="P87" s="21"/>
      <c r="Q87" t="s">
        <v>36</v>
      </c>
      <c r="R87">
        <f t="shared" si="22"/>
        <v>0</v>
      </c>
      <c r="S87">
        <f t="shared" si="23"/>
        <v>0</v>
      </c>
      <c r="U87">
        <f t="shared" si="24"/>
        <v>0</v>
      </c>
      <c r="V87">
        <f t="shared" si="25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1.2099999999999999E-3</v>
      </c>
      <c r="G88">
        <f t="shared" si="19"/>
        <v>1.2099999999999999E-3</v>
      </c>
      <c r="H88">
        <f t="shared" si="20"/>
        <v>3.6005849999999997</v>
      </c>
      <c r="I88">
        <f t="shared" si="26"/>
        <v>1.2099999999999999E-3</v>
      </c>
      <c r="J88">
        <f t="shared" si="27"/>
        <v>1.2099999999999999E-3</v>
      </c>
      <c r="K88">
        <f t="shared" si="21"/>
        <v>3.4559540000000002</v>
      </c>
      <c r="L88">
        <f>(0.05*(1-0.05)+0.05*(1-0.05))*F25+0.05*0.05*J25+(1-0.05*(1-0.05)-0.05*(1-0.05)-0.05*0.05)*B25</f>
        <v>1.2099999999999999E-3</v>
      </c>
      <c r="M88">
        <f>M25+I25+E25</f>
        <v>8.0821810000000003</v>
      </c>
      <c r="O88" s="20"/>
      <c r="P88" s="21"/>
      <c r="Q88" t="s">
        <v>37</v>
      </c>
      <c r="R88">
        <f t="shared" si="22"/>
        <v>1.2199999999999999E-3</v>
      </c>
      <c r="S88">
        <f t="shared" si="23"/>
        <v>1.2199999999999999E-3</v>
      </c>
      <c r="U88">
        <f t="shared" si="24"/>
        <v>1.2199999999999999E-3</v>
      </c>
      <c r="V88">
        <f t="shared" si="25"/>
        <v>1.2199999999999999E-3</v>
      </c>
      <c r="X88">
        <f>(0.1*0.9+0.1*0.9)*F25+0.1*0.1*J25+(1-0.1*0.9-0.1*0.9-0.1*0.1)*B25</f>
        <v>1.2199999999999999E-3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1.2399999999999998E-3</v>
      </c>
      <c r="G94">
        <f t="shared" si="29"/>
        <v>1.2399999999999998E-3</v>
      </c>
      <c r="I94">
        <f t="shared" si="30"/>
        <v>1.2399999999999998E-3</v>
      </c>
      <c r="J94">
        <f t="shared" si="31"/>
        <v>1.2399999999999998E-3</v>
      </c>
      <c r="L94">
        <f>(0.2*0.8+0.2*0.8)*F25+0.2*0.2*J25+(1-0.2*0.8-0.2*0.8-0.2*0.2)*B25</f>
        <v>1.2399999999999998E-3</v>
      </c>
      <c r="O94" s="20"/>
      <c r="P94" s="21"/>
      <c r="Q94" t="s">
        <v>37</v>
      </c>
      <c r="R94">
        <f t="shared" si="32"/>
        <v>1.2600000000000001E-3</v>
      </c>
      <c r="S94">
        <f t="shared" si="33"/>
        <v>1.2600000000000001E-3</v>
      </c>
      <c r="U94">
        <f t="shared" si="34"/>
        <v>1.2600000000000001E-3</v>
      </c>
      <c r="V94">
        <f t="shared" si="35"/>
        <v>1.2600000000000001E-3</v>
      </c>
      <c r="X94">
        <f>(0.3*0.7+0.3*0.7)*F25+0.3*0.3*J25+(1-0.3*0.7-0.3*0.7-0.3*0.3)*B25</f>
        <v>1.2600000000000001E-3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1.2150124999999999E-3</v>
      </c>
      <c r="G101">
        <f t="shared" si="37"/>
        <v>1.2150124999999999E-3</v>
      </c>
      <c r="H101">
        <f t="shared" si="38"/>
        <v>4.550624</v>
      </c>
      <c r="I101">
        <f t="shared" si="39"/>
        <v>1.2150124999999999E-3</v>
      </c>
      <c r="J101">
        <f t="shared" si="40"/>
        <v>1.2150124999999999E-3</v>
      </c>
      <c r="K101">
        <f t="shared" si="41"/>
        <v>4.6940230000000005</v>
      </c>
      <c r="L101">
        <f>3*0.05*(1-0.05)*(1-0.05)*F25+3*0.05*0.05*(1-0.05)*J25+0.05*0.05*0.05*N25+(1-3*0.05*(1-0.05)*(1-0.05)-3*0.05*0.05*(1-0.05)-0.05*0.05*0.05)*B25</f>
        <v>1.2150124999999999E-3</v>
      </c>
      <c r="M101">
        <f>Q25+M25+I25+E25</f>
        <v>10.779180999999999</v>
      </c>
      <c r="N101" s="24"/>
      <c r="O101" s="20"/>
      <c r="P101" s="21"/>
      <c r="Q101" t="s">
        <v>37</v>
      </c>
      <c r="R101">
        <f t="shared" si="42"/>
        <v>1.2300999999999998E-3</v>
      </c>
      <c r="S101">
        <f t="shared" si="43"/>
        <v>1.2300999999999998E-3</v>
      </c>
      <c r="U101">
        <f t="shared" si="44"/>
        <v>1.2300999999999998E-3</v>
      </c>
      <c r="V101">
        <f t="shared" si="45"/>
        <v>1.2300999999999998E-3</v>
      </c>
      <c r="X101">
        <f>3*0.1*(1-0.1)*(1-0.1)*F25+3*0.1*0.1*(1-0.1)*J25+0.1*0.1*0.1*N25+(1-3*0.1*(1-0.1)*(1-0.1)-3*0.1*0.1*(1-0.1)-0.1*0.1*0.1)*B25</f>
        <v>1.2300999999999998E-3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1.2607999999999999E-3</v>
      </c>
      <c r="G107">
        <f t="shared" si="47"/>
        <v>1.2607999999999999E-3</v>
      </c>
      <c r="I107">
        <f t="shared" si="48"/>
        <v>1.2607999999999999E-3</v>
      </c>
      <c r="J107">
        <f t="shared" si="49"/>
        <v>1.2607999999999999E-3</v>
      </c>
      <c r="L107">
        <f>3*0.2*(1-0.2)*(1-0.2)*F25+3*0.2*0.2*(1-0.2)*J25+0.2*0.2*0.2*N25+(1-3*0.2*(1-0.2)*(1-0.2)-3*0.2*0.2*(1-0.2)-0.2*0.2*0.2)*B25</f>
        <v>1.2607999999999999E-3</v>
      </c>
      <c r="N107" s="24"/>
      <c r="O107" s="20"/>
      <c r="P107" s="21"/>
      <c r="Q107" t="s">
        <v>37</v>
      </c>
      <c r="R107">
        <f t="shared" si="50"/>
        <v>1.2926999999999999E-3</v>
      </c>
      <c r="S107">
        <f t="shared" si="51"/>
        <v>1.2926999999999999E-3</v>
      </c>
      <c r="U107">
        <f t="shared" si="52"/>
        <v>1.2926999999999999E-3</v>
      </c>
      <c r="V107">
        <f t="shared" si="53"/>
        <v>1.2926999999999999E-3</v>
      </c>
      <c r="X107">
        <f>3*0.3*(1-0.3)*(1-0.3)*F25+3*0.3*0.3*(1-0.3)*J25+0.3*0.3*0.3*N25+(1-3*0.3*(1-0.3)*(1-0.3)-3*0.3*0.3*(1-0.3)-0.3*0.3*0.3)*B25</f>
        <v>1.2926999999999999E-3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1.2049999999999999E-3</v>
      </c>
      <c r="G114">
        <f t="shared" si="55"/>
        <v>1.2049999999999999E-3</v>
      </c>
      <c r="H114">
        <f t="shared" si="56"/>
        <v>1.9529030000000001</v>
      </c>
      <c r="I114">
        <f t="shared" si="57"/>
        <v>1.2049999999999999E-3</v>
      </c>
      <c r="J114">
        <f t="shared" si="58"/>
        <v>1.2049999999999999E-3</v>
      </c>
      <c r="K114">
        <f t="shared" si="59"/>
        <v>3.2629580000000002</v>
      </c>
      <c r="L114">
        <f>0.05*X25+(1-0.05)*T25</f>
        <v>1.2049999999999999E-3</v>
      </c>
      <c r="M114">
        <f>AA25+W25</f>
        <v>5.6961390000000005</v>
      </c>
      <c r="P114" s="21"/>
      <c r="Q114" t="s">
        <v>37</v>
      </c>
      <c r="R114">
        <f t="shared" si="60"/>
        <v>1.2099999999999999E-3</v>
      </c>
      <c r="S114">
        <f t="shared" si="61"/>
        <v>1.2099999999999999E-3</v>
      </c>
      <c r="U114">
        <f t="shared" si="62"/>
        <v>1.2099999999999999E-3</v>
      </c>
      <c r="V114">
        <f t="shared" si="63"/>
        <v>1.2099999999999999E-3</v>
      </c>
      <c r="X114">
        <f>0.1*X25+(1-0.1)*T25</f>
        <v>1.2099999999999999E-3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1.2199999999999999E-3</v>
      </c>
      <c r="G120">
        <f t="shared" si="65"/>
        <v>1.2199999999999999E-3</v>
      </c>
      <c r="I120">
        <f t="shared" si="66"/>
        <v>1.2199999999999999E-3</v>
      </c>
      <c r="J120">
        <f t="shared" si="67"/>
        <v>1.2199999999999999E-3</v>
      </c>
      <c r="L120">
        <f>0.2*X25+(1-0.2)*T25</f>
        <v>1.2199999999999999E-3</v>
      </c>
      <c r="P120" s="21"/>
      <c r="Q120" t="s">
        <v>37</v>
      </c>
      <c r="R120">
        <f t="shared" si="68"/>
        <v>1.23E-3</v>
      </c>
      <c r="S120">
        <f t="shared" si="69"/>
        <v>1.23E-3</v>
      </c>
      <c r="U120">
        <f t="shared" si="70"/>
        <v>1.23E-3</v>
      </c>
      <c r="V120">
        <f t="shared" si="71"/>
        <v>1.23E-3</v>
      </c>
      <c r="X120">
        <f>0.3*X25+(1-0.3)*T25</f>
        <v>1.23E-3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1.2099999999999999E-3</v>
      </c>
      <c r="G127">
        <f t="shared" si="73"/>
        <v>1.2099999999999999E-3</v>
      </c>
      <c r="H127">
        <f t="shared" si="74"/>
        <v>2.8911639999999998</v>
      </c>
      <c r="I127">
        <f t="shared" si="75"/>
        <v>1.2099999999999999E-3</v>
      </c>
      <c r="J127">
        <f t="shared" si="76"/>
        <v>1.2099999999999999E-3</v>
      </c>
      <c r="K127">
        <f t="shared" si="77"/>
        <v>4.7326810000000004</v>
      </c>
      <c r="L127">
        <f>(0.05*(1-0.05)+0.05*(1-0.05))*X25+0.05*0.05*AB25+(1-0.05*(1-0.05)-0.05*(1-0.05)-0.05*0.05)*T25</f>
        <v>1.2099999999999999E-3</v>
      </c>
      <c r="M127">
        <f>AE25+AA25+W25</f>
        <v>8.3068010000000001</v>
      </c>
      <c r="O127" s="20"/>
      <c r="P127" s="21"/>
      <c r="Q127" t="s">
        <v>37</v>
      </c>
      <c r="R127">
        <f t="shared" si="78"/>
        <v>1.2199999999999999E-3</v>
      </c>
      <c r="S127">
        <f t="shared" si="79"/>
        <v>1.2199999999999999E-3</v>
      </c>
      <c r="U127">
        <f t="shared" si="80"/>
        <v>1.2199999999999999E-3</v>
      </c>
      <c r="V127">
        <f t="shared" si="81"/>
        <v>1.2199999999999999E-3</v>
      </c>
      <c r="X127">
        <f>(0.1*0.9+0.1*0.9)*X25+0.1*0.1*AB25+(1-0.1*0.9-0.1*0.9-0.1*0.1)*T25</f>
        <v>1.2199999999999999E-3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1.2399999999999998E-3</v>
      </c>
      <c r="G133">
        <f t="shared" si="83"/>
        <v>1.2399999999999998E-3</v>
      </c>
      <c r="I133">
        <f t="shared" si="84"/>
        <v>1.2399999999999998E-3</v>
      </c>
      <c r="J133">
        <f t="shared" si="85"/>
        <v>1.2399999999999998E-3</v>
      </c>
      <c r="L133">
        <f>(0.2*0.8+0.2*0.8)*X25+0.2*0.2*AB25+(1-0.2*0.8-0.2*0.8-0.2*0.2)*T25</f>
        <v>1.2399999999999998E-3</v>
      </c>
      <c r="O133" s="20"/>
      <c r="P133" s="21"/>
      <c r="Q133" t="s">
        <v>37</v>
      </c>
      <c r="R133">
        <f t="shared" si="86"/>
        <v>1.2600000000000001E-3</v>
      </c>
      <c r="S133">
        <f t="shared" si="87"/>
        <v>1.2600000000000001E-3</v>
      </c>
      <c r="U133">
        <f t="shared" si="88"/>
        <v>1.2600000000000001E-3</v>
      </c>
      <c r="V133">
        <f t="shared" si="89"/>
        <v>1.2600000000000001E-3</v>
      </c>
      <c r="X133">
        <f>(0.3*0.7+0.3*0.7)*X25+0.3*0.3*AB25+(1-0.3*0.7-0.3*0.7-0.3*0.3)*T25</f>
        <v>1.2600000000000001E-3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1.2149999999999997E-3</v>
      </c>
      <c r="G140">
        <f t="shared" si="91"/>
        <v>1.2149999999999997E-3</v>
      </c>
      <c r="H140">
        <f t="shared" si="92"/>
        <v>4.0996370000000004</v>
      </c>
      <c r="I140">
        <f t="shared" si="93"/>
        <v>1.2149999999999997E-3</v>
      </c>
      <c r="J140">
        <f t="shared" si="94"/>
        <v>1.2150124999999999E-3</v>
      </c>
      <c r="K140">
        <f t="shared" si="95"/>
        <v>6.1533639999999998</v>
      </c>
      <c r="L140">
        <f>3*0.05*(1-0.05)*(1-0.05)*X25+3*0.05*0.05*(1-0.05)*AB25+0.05*0.05*0.05*AF25+(1-3*0.05*(1-0.05)*(1-0.05)-3*0.05*0.05*(1-0.05)-0.05*0.05*0.05)*T25</f>
        <v>1.2149999999999997E-3</v>
      </c>
      <c r="M140">
        <f>AI25+AE25+AA25+W25</f>
        <v>10.846235</v>
      </c>
      <c r="N140" s="24"/>
      <c r="O140" s="20"/>
      <c r="P140" s="21"/>
      <c r="Q140" t="s">
        <v>37</v>
      </c>
      <c r="R140">
        <f t="shared" si="96"/>
        <v>1.2299999999999998E-3</v>
      </c>
      <c r="S140">
        <f t="shared" si="97"/>
        <v>1.2299999999999998E-3</v>
      </c>
      <c r="U140">
        <f t="shared" si="98"/>
        <v>1.2299999999999998E-3</v>
      </c>
      <c r="V140">
        <f t="shared" si="99"/>
        <v>1.2300999999999998E-3</v>
      </c>
      <c r="X140">
        <f>3*0.1*(1-0.1)*(1-0.1)*X25+3*0.1*0.1*(1-0.1)*AB25+0.1*0.1*0.1*AF25+(1-3*0.1*(1-0.1)*(1-0.1)-3*0.1*0.1*(1-0.1)-0.1*0.1*0.1)*T25</f>
        <v>1.2299999999999998E-3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1.2599999999999998E-3</v>
      </c>
      <c r="G146">
        <f t="shared" si="101"/>
        <v>1.2599999999999998E-3</v>
      </c>
      <c r="I146">
        <f t="shared" si="102"/>
        <v>1.2599999999999998E-3</v>
      </c>
      <c r="J146">
        <f t="shared" si="103"/>
        <v>1.2607999999999999E-3</v>
      </c>
      <c r="L146">
        <f>3*0.2*(1-0.2)*(1-0.2)*X25+3*0.2*0.2*(1-0.2)*AB25+0.2*0.2*0.2*AF25+(1-3*0.2*(1-0.2)*(1-0.2)-3*0.2*0.2*(1-0.2)-0.2*0.2*0.2)*T25</f>
        <v>1.2599999999999998E-3</v>
      </c>
      <c r="N146" s="24"/>
      <c r="O146" s="20"/>
      <c r="P146" s="21"/>
      <c r="Q146" t="s">
        <v>37</v>
      </c>
      <c r="R146">
        <f t="shared" si="104"/>
        <v>1.2899999999999999E-3</v>
      </c>
      <c r="S146">
        <f t="shared" si="105"/>
        <v>1.2899999999999999E-3</v>
      </c>
      <c r="U146">
        <f t="shared" si="106"/>
        <v>1.2899999999999999E-3</v>
      </c>
      <c r="V146">
        <f t="shared" si="107"/>
        <v>1.2926999999999999E-3</v>
      </c>
      <c r="X146">
        <f>3*0.3*(1-0.3)*(1-0.3)*X25+3*0.3*0.3*(1-0.3)*AB25+0.3*0.3*0.3*AF25+(1-3*0.3*(1-0.3)*(1-0.3)-3*0.3*0.3*(1-0.3)-0.3*0.3*0.3)*T25</f>
        <v>1.2899999999999999E-3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1.1049999999999999E-3</v>
      </c>
      <c r="G153">
        <f t="shared" si="109"/>
        <v>1.1049999999999999E-3</v>
      </c>
      <c r="H153">
        <f t="shared" si="110"/>
        <v>1.9303520000000001</v>
      </c>
      <c r="I153">
        <f t="shared" si="111"/>
        <v>1.1049999999999999E-3</v>
      </c>
      <c r="J153">
        <f t="shared" si="112"/>
        <v>1.1049999999999999E-3</v>
      </c>
      <c r="K153">
        <f t="shared" si="113"/>
        <v>4.6795390000000001</v>
      </c>
      <c r="L153">
        <f>0.05*F46+(1-0.05)*B46</f>
        <v>1.1049999999999999E-3</v>
      </c>
      <c r="M153">
        <f>I46+E46</f>
        <v>5.7096689999999999</v>
      </c>
      <c r="P153" s="21"/>
      <c r="Q153" t="s">
        <v>37</v>
      </c>
      <c r="R153">
        <f t="shared" si="114"/>
        <v>1.1099999999999999E-3</v>
      </c>
      <c r="S153">
        <f t="shared" si="115"/>
        <v>1.1099999999999999E-3</v>
      </c>
      <c r="U153">
        <f t="shared" si="116"/>
        <v>1.1099999999999999E-3</v>
      </c>
      <c r="V153">
        <f t="shared" si="117"/>
        <v>1.1099999999999999E-3</v>
      </c>
      <c r="X153">
        <f>0.1*F46+(1-0.1)*B46</f>
        <v>1.1099999999999999E-3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1.1200000000000001E-3</v>
      </c>
      <c r="G159">
        <f t="shared" si="119"/>
        <v>1.1200000000000001E-3</v>
      </c>
      <c r="I159">
        <f t="shared" si="120"/>
        <v>1.1200000000000001E-3</v>
      </c>
      <c r="J159">
        <f t="shared" si="121"/>
        <v>1.1200000000000001E-3</v>
      </c>
      <c r="L159">
        <f>0.2*F46+(1-0.2)*B46</f>
        <v>1.1200000000000001E-3</v>
      </c>
      <c r="P159" s="21"/>
      <c r="Q159" t="s">
        <v>37</v>
      </c>
      <c r="R159">
        <f t="shared" si="122"/>
        <v>1.1299999999999999E-3</v>
      </c>
      <c r="S159">
        <f t="shared" si="123"/>
        <v>1.1299999999999999E-3</v>
      </c>
      <c r="U159">
        <f t="shared" si="124"/>
        <v>1.1299999999999999E-3</v>
      </c>
      <c r="V159">
        <f t="shared" si="125"/>
        <v>1.1299999999999999E-3</v>
      </c>
      <c r="X159">
        <f>0.3*F46+(1-0.3)*B46</f>
        <v>1.1299999999999999E-3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1.1100000000000001E-3</v>
      </c>
      <c r="G166">
        <f t="shared" si="127"/>
        <v>1.1100000000000001E-3</v>
      </c>
      <c r="H166">
        <f t="shared" si="128"/>
        <v>2.9110019999999999</v>
      </c>
      <c r="I166">
        <f t="shared" si="129"/>
        <v>1.1100000000000001E-3</v>
      </c>
      <c r="J166">
        <f t="shared" si="130"/>
        <v>1.1100000000000001E-3</v>
      </c>
      <c r="K166">
        <f t="shared" si="131"/>
        <v>6.4630989999999997</v>
      </c>
      <c r="L166">
        <f>(0.05*(1-0.05)+0.05*(1-0.05))*F46+0.05*0.05*J46+(1-0.05*(1-0.05)-0.05*(1-0.05)-0.05*0.05)*B46</f>
        <v>1.1100000000000001E-3</v>
      </c>
      <c r="M166">
        <f>M46+I46+E46</f>
        <v>8.6177479999999989</v>
      </c>
      <c r="O166" s="20"/>
      <c r="P166" s="21"/>
      <c r="Q166" t="s">
        <v>37</v>
      </c>
      <c r="R166">
        <f t="shared" si="132"/>
        <v>1.1200000000000001E-3</v>
      </c>
      <c r="S166">
        <f t="shared" si="133"/>
        <v>1.1200000000000001E-3</v>
      </c>
      <c r="U166">
        <f t="shared" si="134"/>
        <v>1.1200000000000001E-3</v>
      </c>
      <c r="V166">
        <f t="shared" si="135"/>
        <v>1.1200000000000001E-3</v>
      </c>
      <c r="X166">
        <f>(0.1*0.9+0.1*0.9)*F46+0.1*0.1*J46+(1-0.1*0.9-0.1*0.9-0.1*0.1)*B46</f>
        <v>1.1200000000000001E-3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1.14E-3</v>
      </c>
      <c r="G172">
        <f t="shared" si="137"/>
        <v>1.14E-3</v>
      </c>
      <c r="I172">
        <f t="shared" si="138"/>
        <v>1.14E-3</v>
      </c>
      <c r="J172">
        <f t="shared" si="139"/>
        <v>1.14E-3</v>
      </c>
      <c r="L172">
        <f>(0.2*0.8+0.2*0.8)*F46+0.2*0.2*J46+(1-0.2*0.8-0.2*0.8-0.2*0.2)*B46</f>
        <v>1.14E-3</v>
      </c>
      <c r="O172" s="20"/>
      <c r="P172" s="21"/>
      <c r="Q172" t="s">
        <v>37</v>
      </c>
      <c r="R172">
        <f t="shared" si="140"/>
        <v>1.16E-3</v>
      </c>
      <c r="S172">
        <f t="shared" si="141"/>
        <v>1.16E-3</v>
      </c>
      <c r="U172">
        <f t="shared" si="142"/>
        <v>1.16E-3</v>
      </c>
      <c r="V172">
        <f t="shared" si="143"/>
        <v>1.16E-3</v>
      </c>
      <c r="X172">
        <f>(0.3*0.7+0.3*0.7)*F46+0.3*0.3*J46+(1-0.3*0.7-0.3*0.7-0.3*0.3)*B46</f>
        <v>1.16E-3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1.1149999999999999E-3</v>
      </c>
      <c r="G179">
        <f t="shared" si="145"/>
        <v>1.1149999999999999E-3</v>
      </c>
      <c r="H179">
        <f t="shared" si="146"/>
        <v>4.0215050000000003</v>
      </c>
      <c r="I179">
        <f t="shared" si="147"/>
        <v>1.1149999999999999E-3</v>
      </c>
      <c r="J179">
        <f t="shared" si="148"/>
        <v>1.1149999999999999E-3</v>
      </c>
      <c r="K179">
        <f t="shared" si="149"/>
        <v>8.8077070000000006</v>
      </c>
      <c r="L179">
        <f>3*0.05*(1-0.05)*(1-0.05)*F46+3*0.05*0.05*(1-0.05)*J46+0.05*0.05*0.05*N46+(1-3*0.05*(1-0.05)*(1-0.05)-3*0.05*0.05*(1-0.05)-0.05*0.05*0.05)*B46</f>
        <v>1.1149999999999999E-3</v>
      </c>
      <c r="M179">
        <f>Q46+M46+I46+E46</f>
        <v>11.336345999999999</v>
      </c>
      <c r="N179" s="24"/>
      <c r="O179" s="20"/>
      <c r="P179" s="21"/>
      <c r="Q179" t="s">
        <v>37</v>
      </c>
      <c r="R179">
        <f t="shared" si="150"/>
        <v>1.1299999999999999E-3</v>
      </c>
      <c r="S179">
        <f t="shared" si="151"/>
        <v>1.1299999999999999E-3</v>
      </c>
      <c r="U179">
        <f t="shared" si="152"/>
        <v>1.1299999999999999E-3</v>
      </c>
      <c r="V179">
        <f t="shared" si="153"/>
        <v>1.1299999999999999E-3</v>
      </c>
      <c r="X179">
        <f>3*0.1*(1-0.1)*(1-0.1)*F46+3*0.1*0.1*(1-0.1)*J46+0.1*0.1*0.1*N46+(1-3*0.1*(1-0.1)*(1-0.1)-3*0.1*0.1*(1-0.1)-0.1*0.1*0.1)*B46</f>
        <v>1.1299999999999999E-3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1.16E-3</v>
      </c>
      <c r="G185">
        <f t="shared" si="155"/>
        <v>1.16E-3</v>
      </c>
      <c r="I185">
        <f t="shared" si="156"/>
        <v>1.16E-3</v>
      </c>
      <c r="J185">
        <f t="shared" si="157"/>
        <v>1.16E-3</v>
      </c>
      <c r="L185">
        <f>3*0.2*(1-0.2)*(1-0.2)*F46+3*0.2*0.2*(1-0.2)*J46+0.2*0.2*0.2*N46+(1-3*0.2*(1-0.2)*(1-0.2)-3*0.2*0.2*(1-0.2)-0.2*0.2*0.2)*B46</f>
        <v>1.16E-3</v>
      </c>
      <c r="N185" s="24"/>
      <c r="O185" s="20"/>
      <c r="P185" s="21"/>
      <c r="Q185" t="s">
        <v>37</v>
      </c>
      <c r="R185">
        <f t="shared" si="158"/>
        <v>1.1900000000000001E-3</v>
      </c>
      <c r="S185">
        <f t="shared" si="159"/>
        <v>1.1900000000000001E-3</v>
      </c>
      <c r="U185">
        <f t="shared" si="160"/>
        <v>1.1900000000000001E-3</v>
      </c>
      <c r="V185">
        <f t="shared" si="161"/>
        <v>1.1900000000000001E-3</v>
      </c>
      <c r="X185">
        <f>3*0.3*(1-0.3)*(1-0.3)*F46+3*0.3*0.3*(1-0.3)*J46+0.3*0.3*0.3*N46+(1-3*0.3*(1-0.3)*(1-0.3)-3*0.3*0.3*(1-0.3)-0.3*0.3*0.3)*B46</f>
        <v>1.1900000000000001E-3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7.3967499999999997E-4</v>
      </c>
      <c r="G192">
        <f t="shared" si="163"/>
        <v>9.3036500000000005E-4</v>
      </c>
      <c r="H192">
        <f t="shared" si="164"/>
        <v>2.1819579999999998</v>
      </c>
      <c r="I192">
        <f t="shared" si="165"/>
        <v>7.3967499999999997E-4</v>
      </c>
      <c r="J192">
        <f t="shared" si="166"/>
        <v>9.3036500000000005E-4</v>
      </c>
      <c r="K192">
        <f t="shared" si="167"/>
        <v>5.2336829999999992</v>
      </c>
      <c r="L192">
        <f>0.05*X46+(1-0.05)*T46</f>
        <v>8.6772999999999993E-4</v>
      </c>
      <c r="M192">
        <f>AA46+W46</f>
        <v>5.4052310000000006</v>
      </c>
      <c r="P192" s="21"/>
      <c r="Q192" t="s">
        <v>37</v>
      </c>
      <c r="R192">
        <f t="shared" si="168"/>
        <v>7.4284999999999998E-4</v>
      </c>
      <c r="S192">
        <f t="shared" si="169"/>
        <v>9.3403000000000008E-4</v>
      </c>
      <c r="U192">
        <f t="shared" si="170"/>
        <v>7.4284999999999998E-4</v>
      </c>
      <c r="V192">
        <f t="shared" si="171"/>
        <v>9.3403000000000008E-4</v>
      </c>
      <c r="X192">
        <f>0.1*X46+(1-0.1)*T46</f>
        <v>8.7215999999999997E-4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7.492E-4</v>
      </c>
      <c r="G198">
        <f t="shared" si="173"/>
        <v>9.4136000000000003E-4</v>
      </c>
      <c r="I198">
        <f t="shared" si="174"/>
        <v>7.492E-4</v>
      </c>
      <c r="J198">
        <f t="shared" si="175"/>
        <v>9.4136000000000003E-4</v>
      </c>
      <c r="L198">
        <f>0.2*X46+(1-0.2)*T46</f>
        <v>8.8102000000000005E-4</v>
      </c>
      <c r="P198" s="21"/>
      <c r="Q198" t="s">
        <v>37</v>
      </c>
      <c r="R198">
        <f t="shared" si="176"/>
        <v>7.5554999999999991E-4</v>
      </c>
      <c r="S198">
        <f t="shared" si="177"/>
        <v>9.4868999999999986E-4</v>
      </c>
      <c r="U198">
        <f t="shared" si="178"/>
        <v>7.5554999999999991E-4</v>
      </c>
      <c r="V198">
        <f t="shared" si="179"/>
        <v>9.4868999999999986E-4</v>
      </c>
      <c r="X198">
        <f>0.3*X46+(1-0.3)*T46</f>
        <v>8.898799999999999E-4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7.4294124999999998E-4</v>
      </c>
      <c r="G205">
        <f t="shared" si="181"/>
        <v>9.3409675000000008E-4</v>
      </c>
      <c r="H205">
        <f t="shared" si="182"/>
        <v>3.1546349999999999</v>
      </c>
      <c r="I205">
        <f t="shared" si="183"/>
        <v>7.4294124999999998E-4</v>
      </c>
      <c r="J205">
        <f t="shared" si="184"/>
        <v>9.3409675000000008E-4</v>
      </c>
      <c r="K205">
        <f>AE41+AA41+W41</f>
        <v>7.4429649999999992</v>
      </c>
      <c r="L205">
        <f>(0.05*(1-0.05)+0.05*(1-0.05))*X46+0.05*0.05*AB46+(1-0.05*(1-0.05)-0.05*(1-0.05)-0.05*0.05)*T46</f>
        <v>8.7205875000000014E-4</v>
      </c>
      <c r="M205">
        <f>AE46+AA46+W46</f>
        <v>8.1187020000000008</v>
      </c>
      <c r="O205" s="20"/>
      <c r="P205" s="21"/>
      <c r="Q205" t="s">
        <v>37</v>
      </c>
      <c r="R205">
        <f t="shared" si="185"/>
        <v>7.49565E-4</v>
      </c>
      <c r="S205">
        <f t="shared" si="186"/>
        <v>9.41627E-4</v>
      </c>
      <c r="U205">
        <f t="shared" si="187"/>
        <v>7.49565E-4</v>
      </c>
      <c r="V205">
        <f t="shared" si="188"/>
        <v>9.41627E-4</v>
      </c>
      <c r="X205">
        <f>(0.1*0.9+0.1*0.9)*X46+0.1*0.1*AB46+(1-0.1*0.9-0.1*0.9-0.1*0.1)*T46</f>
        <v>8.8061500000000007E-4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7.6335999999999993E-4</v>
      </c>
      <c r="G211">
        <f t="shared" si="190"/>
        <v>9.5708800000000004E-4</v>
      </c>
      <c r="I211">
        <f t="shared" si="191"/>
        <v>7.6335999999999993E-4</v>
      </c>
      <c r="J211">
        <f t="shared" si="192"/>
        <v>9.5708800000000004E-4</v>
      </c>
      <c r="L211">
        <f>(0.2*0.8+0.2*0.8)*X46+0.2*0.2*AB46+(1-0.2*0.8-0.2*0.8-0.2*0.2)*T46</f>
        <v>8.9711999999999995E-4</v>
      </c>
      <c r="O211" s="20"/>
      <c r="P211" s="21"/>
      <c r="Q211" t="s">
        <v>37</v>
      </c>
      <c r="R211">
        <f t="shared" si="193"/>
        <v>7.7788500000000008E-4</v>
      </c>
      <c r="S211">
        <f t="shared" si="194"/>
        <v>9.7308300000000013E-4</v>
      </c>
      <c r="U211">
        <f t="shared" si="195"/>
        <v>7.7788500000000008E-4</v>
      </c>
      <c r="V211">
        <f t="shared" si="196"/>
        <v>9.7308300000000013E-4</v>
      </c>
      <c r="X211">
        <f>(0.3*0.7+0.3*0.7)*X46+0.3*0.3*AB46+(1-0.3*0.7-0.3*0.7-0.3*0.3)*T46</f>
        <v>9.1281499999999998E-4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7.462941874999999E-4</v>
      </c>
      <c r="G218">
        <f t="shared" si="198"/>
        <v>9.3789191249999998E-4</v>
      </c>
      <c r="H218">
        <f t="shared" si="199"/>
        <v>4.1358839999999999</v>
      </c>
      <c r="I218">
        <f t="shared" si="200"/>
        <v>7.462941874999999E-4</v>
      </c>
      <c r="J218">
        <f t="shared" si="201"/>
        <v>9.3789191249999998E-4</v>
      </c>
      <c r="K218">
        <f t="shared" si="202"/>
        <v>9.4651409999999991</v>
      </c>
      <c r="L218">
        <f>3*0.05*(1-0.05)*(1-0.05)*X46+3*0.05*0.05*(1-0.05)*AB46+0.05*0.05*0.05*AF46+(1-3*0.05*(1-0.05)*(1-0.05)-3*0.05*0.05*(1-0.05)-0.05*0.05*0.05)*T46</f>
        <v>8.762977999999999E-4</v>
      </c>
      <c r="M218">
        <f>AI46+AE46+AA46+W46</f>
        <v>10.831602</v>
      </c>
      <c r="N218" s="24"/>
      <c r="O218" s="20"/>
      <c r="P218" s="21"/>
      <c r="Q218" t="s">
        <v>37</v>
      </c>
      <c r="R218">
        <f t="shared" si="203"/>
        <v>7.5660849999999993E-4</v>
      </c>
      <c r="S218">
        <f t="shared" si="204"/>
        <v>9.4946430000000001E-4</v>
      </c>
      <c r="U218">
        <f t="shared" si="205"/>
        <v>7.5660849999999993E-4</v>
      </c>
      <c r="V218">
        <f t="shared" si="206"/>
        <v>9.4946430000000001E-4</v>
      </c>
      <c r="X218">
        <f>3*0.1*(1-0.1)*(1-0.1)*X46+3*0.1*0.1*(1-0.1)*AB46+0.1*0.1*0.1*AF46+(1-3*0.1*(1-0.1)*(1-0.1)-3*0.1*0.1*(1-0.1)-0.1*0.1*0.1)*T46</f>
        <v>8.8875740000000003E-4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7.7868799999999993E-4</v>
      </c>
      <c r="G224">
        <f t="shared" si="208"/>
        <v>9.7367039999999997E-4</v>
      </c>
      <c r="I224">
        <f t="shared" si="209"/>
        <v>7.7868799999999993E-4</v>
      </c>
      <c r="J224">
        <f t="shared" si="210"/>
        <v>9.7367039999999997E-4</v>
      </c>
      <c r="L224">
        <f>3*0.2*(1-0.2)*(1-0.2)*X46+3*0.2*0.2*(1-0.2)*AB46+0.2*0.2*0.2*AF46+(1-3*0.2*(1-0.2)*(1-0.2)-3*0.2*0.2*(1-0.2)-0.2*0.2*0.2)*T46</f>
        <v>9.1233919999999993E-4</v>
      </c>
      <c r="N224" s="24"/>
      <c r="O224" s="20"/>
      <c r="P224" s="21"/>
      <c r="Q224" t="s">
        <v>37</v>
      </c>
      <c r="R224">
        <f t="shared" si="211"/>
        <v>8.0251950000000008E-4</v>
      </c>
      <c r="S224">
        <f t="shared" si="212"/>
        <v>9.9915810000000002E-4</v>
      </c>
      <c r="U224">
        <f t="shared" si="213"/>
        <v>8.0251950000000008E-4</v>
      </c>
      <c r="V224">
        <f t="shared" si="214"/>
        <v>9.9915810000000002E-4</v>
      </c>
      <c r="X224">
        <f>3*0.3*(1-0.3)*(1-0.3)*X46+3*0.3*0.3*(1-0.3)*AB46+0.3*0.3*0.3*AF46+(1-3*0.3*(1-0.3)*(1-0.3)-3*0.3*0.3*(1-0.3)-0.3*0.3*0.3)*T46</f>
        <v>9.3459979999999999E-4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3.2995499999999999E-4</v>
      </c>
      <c r="G231">
        <f t="shared" si="216"/>
        <v>5.9667999999999993E-4</v>
      </c>
      <c r="H231">
        <f t="shared" si="217"/>
        <v>2.1858279999999999</v>
      </c>
      <c r="I231">
        <f t="shared" si="218"/>
        <v>3.3256999999999997E-4</v>
      </c>
      <c r="J231">
        <f t="shared" si="219"/>
        <v>5.9576999999999992E-4</v>
      </c>
      <c r="K231">
        <f t="shared" si="220"/>
        <v>4.0408559999999998</v>
      </c>
      <c r="L231">
        <f>0.05*F66+(1-0.05)*B66</f>
        <v>4.8614499999999995E-4</v>
      </c>
      <c r="M231">
        <f>I66+E66</f>
        <v>5.360722</v>
      </c>
      <c r="P231" s="21"/>
      <c r="Q231" t="s">
        <v>37</v>
      </c>
      <c r="R231">
        <f t="shared" si="221"/>
        <v>3.3191000000000004E-4</v>
      </c>
      <c r="S231">
        <f t="shared" si="222"/>
        <v>6.0015999999999997E-4</v>
      </c>
      <c r="U231">
        <f t="shared" si="223"/>
        <v>3.3714000000000004E-4</v>
      </c>
      <c r="V231">
        <f t="shared" si="224"/>
        <v>5.9803999999999999E-4</v>
      </c>
      <c r="X231">
        <f>0.1*F66+(1-0.1)*B66</f>
        <v>4.8919000000000002E-4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3.3582000000000002E-4</v>
      </c>
      <c r="G237">
        <f t="shared" si="226"/>
        <v>6.0712000000000006E-4</v>
      </c>
      <c r="I237">
        <f t="shared" si="227"/>
        <v>3.4628000000000003E-4</v>
      </c>
      <c r="J237">
        <f t="shared" si="228"/>
        <v>6.0258000000000002E-4</v>
      </c>
      <c r="L237">
        <f>0.2*F66+(1-0.2)*B66</f>
        <v>4.9528000000000007E-4</v>
      </c>
      <c r="P237" s="21"/>
      <c r="Q237" t="s">
        <v>37</v>
      </c>
      <c r="R237">
        <f t="shared" si="229"/>
        <v>3.3973E-4</v>
      </c>
      <c r="S237">
        <f t="shared" si="230"/>
        <v>6.1407999999999992E-4</v>
      </c>
      <c r="U237">
        <f t="shared" si="231"/>
        <v>3.5541999999999995E-4</v>
      </c>
      <c r="V237">
        <f t="shared" si="232"/>
        <v>6.0711999999999995E-4</v>
      </c>
      <c r="X237">
        <f>0.3*F66+(1-0.3)*B66</f>
        <v>5.013699999999999E-4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3.3190850000000002E-4</v>
      </c>
      <c r="G244">
        <f t="shared" si="234"/>
        <v>6.001527500000001E-4</v>
      </c>
      <c r="H244">
        <f t="shared" si="235"/>
        <v>3.1815939999999996</v>
      </c>
      <c r="I244">
        <f t="shared" si="236"/>
        <v>3.370205E-4</v>
      </c>
      <c r="J244">
        <f t="shared" si="237"/>
        <v>5.9798325000000004E-4</v>
      </c>
      <c r="K244">
        <f t="shared" si="238"/>
        <v>5.8577659999999998</v>
      </c>
      <c r="L244">
        <f>(0.05*(1-0.05)+0.05*(1-0.05))*F66+0.05*0.05*J66+(1-0.05*(1-0.05)-0.05*(1-0.05)-0.05*0.05)*B66</f>
        <v>4.8915674999999996E-4</v>
      </c>
      <c r="M244">
        <f>M66+I66+E66</f>
        <v>8.0598379999999992</v>
      </c>
      <c r="O244" s="20"/>
      <c r="P244" s="21"/>
      <c r="Q244" t="s">
        <v>37</v>
      </c>
      <c r="R244">
        <f t="shared" si="239"/>
        <v>3.3581400000000003E-4</v>
      </c>
      <c r="S244">
        <f t="shared" si="240"/>
        <v>6.0709100000000003E-4</v>
      </c>
      <c r="U244">
        <f t="shared" si="241"/>
        <v>3.4580200000000003E-4</v>
      </c>
      <c r="V244">
        <f t="shared" si="242"/>
        <v>6.0235300000000002E-4</v>
      </c>
      <c r="X244">
        <f>(0.1*0.9+0.1*0.9)*F66+0.1*0.1*J66+(1-0.1*0.9-0.1*0.9-0.1*0.1)*B66</f>
        <v>4.9514700000000004E-4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3.4361599999999998E-4</v>
      </c>
      <c r="G250">
        <f t="shared" si="244"/>
        <v>6.2092400000000002E-4</v>
      </c>
      <c r="I250">
        <f t="shared" si="245"/>
        <v>3.6264800000000003E-4</v>
      </c>
      <c r="J250">
        <f t="shared" si="246"/>
        <v>6.1075199999999989E-4</v>
      </c>
      <c r="L250">
        <f>(0.2*0.8+0.2*0.8)*F66+0.2*0.2*J66+(1-0.2*0.8-0.2*0.8-0.2*0.2)*B66</f>
        <v>5.0692800000000002E-4</v>
      </c>
      <c r="O250" s="20"/>
      <c r="P250" s="21"/>
      <c r="Q250" t="s">
        <v>37</v>
      </c>
      <c r="R250">
        <f t="shared" si="247"/>
        <v>3.5140600000000007E-4</v>
      </c>
      <c r="S250">
        <f t="shared" si="248"/>
        <v>6.3469900000000007E-4</v>
      </c>
      <c r="U250">
        <f t="shared" si="249"/>
        <v>3.7853800000000004E-4</v>
      </c>
      <c r="V250">
        <f t="shared" si="250"/>
        <v>6.1869699999999998E-4</v>
      </c>
      <c r="X250">
        <f>(0.3*0.7+0.3*0.7)*F66+0.3*0.3*J66+(1-0.3*0.7-0.3*0.7-0.3*0.3)*B66</f>
        <v>5.1844299999999994E-4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3.3386073749999999E-4</v>
      </c>
      <c r="G257">
        <f t="shared" si="252"/>
        <v>6.0361827499999998E-4</v>
      </c>
      <c r="H257">
        <f t="shared" si="253"/>
        <v>4.1203450000000004</v>
      </c>
      <c r="I257">
        <f t="shared" si="254"/>
        <v>3.4135747499999998E-4</v>
      </c>
      <c r="J257">
        <f t="shared" si="255"/>
        <v>6.0014894999999989E-4</v>
      </c>
      <c r="K257">
        <f t="shared" si="256"/>
        <v>7.5994150000000005</v>
      </c>
      <c r="L257">
        <f>3*0.05*(1-0.05)*(1-0.05)*F66+3*0.05*0.05*(1-0.05)*J66+0.05*0.05*0.05*N66+(1-3*0.05*(1-0.05)*(1-0.05)-3*0.05*0.05*(1-0.05)-0.05*0.05*0.05)*B66</f>
        <v>4.9213762499999991E-4</v>
      </c>
      <c r="M257">
        <f>Q66+M66+I66+E66</f>
        <v>10.714150999999999</v>
      </c>
      <c r="N257" s="24"/>
      <c r="O257" s="20"/>
      <c r="P257" s="21"/>
      <c r="Q257" t="s">
        <v>37</v>
      </c>
      <c r="R257">
        <f t="shared" si="257"/>
        <v>3.3971389999999999E-4</v>
      </c>
      <c r="S257">
        <f t="shared" si="258"/>
        <v>6.1399319999999992E-4</v>
      </c>
      <c r="U257">
        <f t="shared" si="259"/>
        <v>3.5403379999999996E-4</v>
      </c>
      <c r="V257">
        <f t="shared" si="260"/>
        <v>6.065125999999999E-4</v>
      </c>
      <c r="X257">
        <f>3*0.1*(1-0.1)*(1-0.1)*F66+3*0.1*0.1*(1-0.1)*J66+0.1*0.1*0.1*N66+(1-3*0.1*(1-0.1)*(1-0.1)-3*0.1*0.1*(1-0.1)-0.1*0.1*0.1)*B66</f>
        <v>5.0098999999999999E-4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3.5140319999999998E-4</v>
      </c>
      <c r="G263">
        <f t="shared" si="262"/>
        <v>6.3461360000000001E-4</v>
      </c>
      <c r="I263">
        <f t="shared" si="263"/>
        <v>3.7748639999999998E-4</v>
      </c>
      <c r="J263">
        <f t="shared" si="264"/>
        <v>6.1860479999999998E-4</v>
      </c>
      <c r="L263">
        <f>3*0.2*(1-0.2)*(1-0.2)*F66+3*0.2*0.2*(1-0.2)*J66+0.2*0.2*0.2*N66+(1-3*0.2*(1-0.2)*(1-0.2)-3*0.2*0.2*(1-0.2)-0.2*0.2*0.2)*B66</f>
        <v>5.1819599999999985E-4</v>
      </c>
      <c r="N263" s="24"/>
      <c r="O263" s="20"/>
      <c r="P263" s="21"/>
      <c r="Q263" t="s">
        <v>37</v>
      </c>
      <c r="R263">
        <f t="shared" si="265"/>
        <v>3.6307929999999998E-4</v>
      </c>
      <c r="S263">
        <f t="shared" si="266"/>
        <v>6.5506240000000001E-4</v>
      </c>
      <c r="U263">
        <f t="shared" si="267"/>
        <v>3.9864459999999996E-4</v>
      </c>
      <c r="V263">
        <f t="shared" si="268"/>
        <v>6.3021819999999995E-4</v>
      </c>
      <c r="X263">
        <f>3*0.3*(1-0.3)*(1-0.3)*F66+3*0.3*0.3*(1-0.3)*J66+0.3*0.3*0.3*N66+(1-3*0.3*(1-0.3)*(1-0.3)-3*0.3*0.3*(1-0.3)-0.3*0.3*0.3)*B66</f>
        <v>5.3483199999999995E-4</v>
      </c>
    </row>
  </sheetData>
  <mergeCells count="361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B46:D46"/>
    <mergeCell ref="F46:H46"/>
    <mergeCell ref="J46:L46"/>
    <mergeCell ref="N46:P46"/>
    <mergeCell ref="T46:V46"/>
    <mergeCell ref="X46:Z46"/>
    <mergeCell ref="AB46:AD46"/>
    <mergeCell ref="AF46:AH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T25:V25"/>
    <mergeCell ref="X25:Z25"/>
    <mergeCell ref="AB25:AD25"/>
    <mergeCell ref="AF25:AH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263"/>
  <sheetViews>
    <sheetView zoomScale="40" zoomScaleNormal="40" workbookViewId="0">
      <selection activeCell="T39" sqref="T39:AI40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112</v>
      </c>
      <c r="C9" s="16"/>
      <c r="D9" s="16"/>
      <c r="E9" s="16"/>
      <c r="F9" s="16" t="s">
        <v>113</v>
      </c>
      <c r="G9" s="16"/>
      <c r="H9" s="16"/>
      <c r="I9" s="16"/>
      <c r="J9" s="16" t="s">
        <v>114</v>
      </c>
      <c r="K9" s="16"/>
      <c r="L9" s="16"/>
      <c r="M9" s="16"/>
      <c r="N9" s="16" t="s">
        <v>115</v>
      </c>
      <c r="O9" s="16"/>
      <c r="P9" s="16"/>
      <c r="Q9" s="16"/>
      <c r="S9" s="22" t="s">
        <v>12</v>
      </c>
      <c r="T9" s="16" t="s">
        <v>112</v>
      </c>
      <c r="U9" s="16"/>
      <c r="V9" s="16"/>
      <c r="W9" s="16"/>
      <c r="X9" s="16" t="s">
        <v>113</v>
      </c>
      <c r="Y9" s="16"/>
      <c r="Z9" s="16"/>
      <c r="AA9" s="16"/>
      <c r="AB9" s="16" t="s">
        <v>114</v>
      </c>
      <c r="AC9" s="16"/>
      <c r="AD9" s="16"/>
      <c r="AE9" s="16"/>
      <c r="AF9" s="16" t="s">
        <v>115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>
        <v>1.1000000000000001E-3</v>
      </c>
      <c r="D13">
        <v>1.1000000000000001E-3</v>
      </c>
      <c r="E13">
        <v>1.0488740000000001</v>
      </c>
      <c r="F13" t="s">
        <v>22</v>
      </c>
      <c r="G13">
        <v>1.1999999999999999E-3</v>
      </c>
      <c r="H13">
        <v>1.1999999999999999E-3</v>
      </c>
      <c r="I13">
        <v>1.21766</v>
      </c>
      <c r="J13" t="s">
        <v>22</v>
      </c>
      <c r="K13">
        <v>1.2999999999999999E-3</v>
      </c>
      <c r="L13">
        <v>1.2999999999999999E-3</v>
      </c>
      <c r="M13">
        <v>1.1882269999999999</v>
      </c>
      <c r="N13" t="s">
        <v>22</v>
      </c>
      <c r="O13">
        <v>1.4E-3</v>
      </c>
      <c r="P13">
        <v>1.4E-3</v>
      </c>
      <c r="Q13">
        <v>1.197948</v>
      </c>
      <c r="S13" s="22"/>
      <c r="T13" t="s">
        <v>22</v>
      </c>
      <c r="U13">
        <v>1.1000000000000001E-3</v>
      </c>
      <c r="V13">
        <v>1.1000000000000001E-3</v>
      </c>
      <c r="W13">
        <v>1.10331</v>
      </c>
      <c r="X13" t="s">
        <v>22</v>
      </c>
      <c r="Y13">
        <v>1.1999999999999999E-3</v>
      </c>
      <c r="Z13">
        <v>1.1999999999999999E-3</v>
      </c>
      <c r="AA13">
        <v>1.198639</v>
      </c>
      <c r="AB13" t="s">
        <v>22</v>
      </c>
      <c r="AC13">
        <v>1.2999999999999999E-3</v>
      </c>
      <c r="AD13">
        <v>1.2999999999999999E-3</v>
      </c>
      <c r="AE13">
        <v>0.94826500000000002</v>
      </c>
      <c r="AF13" t="s">
        <v>22</v>
      </c>
      <c r="AG13">
        <v>1.4E-3</v>
      </c>
      <c r="AH13">
        <v>1.4E-3</v>
      </c>
      <c r="AI13">
        <v>1.0503629999999999</v>
      </c>
    </row>
    <row r="16" spans="1:35" x14ac:dyDescent="0.25">
      <c r="A16" s="18" t="s">
        <v>23</v>
      </c>
      <c r="B16" s="16" t="s">
        <v>112</v>
      </c>
      <c r="C16" s="16"/>
      <c r="D16" s="16"/>
      <c r="E16" s="16"/>
      <c r="F16" s="16" t="s">
        <v>113</v>
      </c>
      <c r="G16" s="16"/>
      <c r="H16" s="16"/>
      <c r="I16" s="16"/>
      <c r="J16" s="16" t="s">
        <v>114</v>
      </c>
      <c r="K16" s="16"/>
      <c r="L16" s="16"/>
      <c r="M16" s="16"/>
      <c r="N16" s="16" t="s">
        <v>115</v>
      </c>
      <c r="O16" s="16"/>
      <c r="P16" s="16"/>
      <c r="Q16" s="16"/>
      <c r="S16" s="18" t="s">
        <v>23</v>
      </c>
      <c r="T16" s="16" t="s">
        <v>112</v>
      </c>
      <c r="U16" s="16"/>
      <c r="V16" s="16"/>
      <c r="W16" s="16"/>
      <c r="X16" s="16" t="s">
        <v>113</v>
      </c>
      <c r="Y16" s="16"/>
      <c r="Z16" s="16"/>
      <c r="AA16" s="16"/>
      <c r="AB16" s="16" t="s">
        <v>114</v>
      </c>
      <c r="AC16" s="16"/>
      <c r="AD16" s="16"/>
      <c r="AE16" s="16"/>
      <c r="AF16" s="16" t="s">
        <v>115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>
        <v>1.1000000000000001E-3</v>
      </c>
      <c r="D20">
        <v>1.1000000000000001E-3</v>
      </c>
      <c r="E20">
        <v>1.019754</v>
      </c>
      <c r="F20" t="s">
        <v>22</v>
      </c>
      <c r="G20">
        <v>1.1999999999999999E-3</v>
      </c>
      <c r="H20">
        <v>1.1999999999999999E-3</v>
      </c>
      <c r="I20">
        <v>1.1715059999999999</v>
      </c>
      <c r="J20" t="s">
        <v>22</v>
      </c>
      <c r="K20">
        <v>1.2999999999999999E-3</v>
      </c>
      <c r="L20">
        <v>1.2999999999999999E-3</v>
      </c>
      <c r="M20">
        <v>1.1610210000000001</v>
      </c>
      <c r="N20" t="s">
        <v>22</v>
      </c>
      <c r="O20">
        <v>1.4E-3</v>
      </c>
      <c r="P20">
        <v>1.4E-3</v>
      </c>
      <c r="Q20">
        <v>1.168841</v>
      </c>
      <c r="S20" s="18"/>
      <c r="T20" t="s">
        <v>22</v>
      </c>
      <c r="U20">
        <v>1.1000000000000001E-3</v>
      </c>
      <c r="V20">
        <v>1.1000000000000001E-3</v>
      </c>
      <c r="W20">
        <v>1.313412</v>
      </c>
      <c r="X20" t="s">
        <v>22</v>
      </c>
      <c r="Y20">
        <v>1.1999999999999999E-3</v>
      </c>
      <c r="Z20">
        <v>1.1999999999999999E-3</v>
      </c>
      <c r="AA20">
        <v>1.0481499999999999</v>
      </c>
      <c r="AB20" t="s">
        <v>22</v>
      </c>
      <c r="AC20">
        <v>1.2999999999999999E-3</v>
      </c>
      <c r="AD20">
        <v>1.2999999999999999E-3</v>
      </c>
      <c r="AE20">
        <v>1.0815239999999999</v>
      </c>
      <c r="AF20" t="s">
        <v>22</v>
      </c>
      <c r="AG20">
        <v>1.4E-3</v>
      </c>
      <c r="AH20">
        <v>1.4E-3</v>
      </c>
      <c r="AI20">
        <v>1.018251</v>
      </c>
    </row>
    <row r="23" spans="1:35" x14ac:dyDescent="0.25">
      <c r="A23" s="23" t="s">
        <v>24</v>
      </c>
      <c r="B23" s="16" t="s">
        <v>112</v>
      </c>
      <c r="C23" s="16"/>
      <c r="D23" s="16"/>
      <c r="E23" s="16"/>
      <c r="F23" s="16" t="s">
        <v>113</v>
      </c>
      <c r="G23" s="16"/>
      <c r="H23" s="16"/>
      <c r="I23" s="16"/>
      <c r="J23" s="16" t="s">
        <v>114</v>
      </c>
      <c r="K23" s="16"/>
      <c r="L23" s="16"/>
      <c r="M23" s="16"/>
      <c r="N23" s="16" t="s">
        <v>115</v>
      </c>
      <c r="O23" s="16"/>
      <c r="P23" s="16"/>
      <c r="Q23" s="16"/>
      <c r="S23" s="23" t="s">
        <v>24</v>
      </c>
      <c r="T23" s="16" t="s">
        <v>112</v>
      </c>
      <c r="U23" s="16"/>
      <c r="V23" s="16"/>
      <c r="W23" s="16"/>
      <c r="X23" s="16" t="s">
        <v>113</v>
      </c>
      <c r="Y23" s="16"/>
      <c r="Z23" s="16"/>
      <c r="AA23" s="16"/>
      <c r="AB23" s="16" t="s">
        <v>114</v>
      </c>
      <c r="AC23" s="16"/>
      <c r="AD23" s="16"/>
      <c r="AE23" s="16"/>
      <c r="AF23" s="16" t="s">
        <v>115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6">
        <v>1.1000000000000001E-3</v>
      </c>
      <c r="C25" s="6"/>
      <c r="D25" s="6"/>
      <c r="E25">
        <v>2.4593410000000002</v>
      </c>
      <c r="F25" s="6">
        <v>1.1999999999999999E-3</v>
      </c>
      <c r="G25" s="6"/>
      <c r="H25" s="6"/>
      <c r="I25">
        <v>2.4155679999999999</v>
      </c>
      <c r="J25" s="6">
        <v>1.2999999999999999E-3</v>
      </c>
      <c r="K25" s="6"/>
      <c r="L25" s="6"/>
      <c r="M25">
        <v>2.7730220000000001</v>
      </c>
      <c r="N25" s="6">
        <v>1.4E-3</v>
      </c>
      <c r="O25" s="6"/>
      <c r="P25" s="6"/>
      <c r="Q25">
        <v>2.4178259999999998</v>
      </c>
      <c r="S25" s="23"/>
      <c r="T25" s="16">
        <v>1E-3</v>
      </c>
      <c r="U25" s="16"/>
      <c r="V25" s="16"/>
      <c r="W25">
        <v>2.1536620000000002</v>
      </c>
      <c r="X25" s="16">
        <v>1.1999999999999999E-3</v>
      </c>
      <c r="Y25" s="16"/>
      <c r="Z25" s="16"/>
      <c r="AA25">
        <v>2.2331850000000002</v>
      </c>
      <c r="AB25" s="16">
        <v>1.2999999999999999E-3</v>
      </c>
      <c r="AC25" s="16"/>
      <c r="AD25" s="16"/>
      <c r="AE25">
        <v>2.2941199999999999</v>
      </c>
      <c r="AF25" s="16">
        <v>1.4E-3</v>
      </c>
      <c r="AG25" s="16"/>
      <c r="AH25" s="16"/>
      <c r="AI25">
        <v>2.2428140000000001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112</v>
      </c>
      <c r="C30" s="16"/>
      <c r="D30" s="16"/>
      <c r="E30" s="16"/>
      <c r="F30" s="16" t="s">
        <v>113</v>
      </c>
      <c r="G30" s="16"/>
      <c r="H30" s="16"/>
      <c r="I30" s="16"/>
      <c r="J30" s="16" t="s">
        <v>114</v>
      </c>
      <c r="K30" s="16"/>
      <c r="L30" s="16"/>
      <c r="M30" s="16"/>
      <c r="N30" s="16" t="s">
        <v>115</v>
      </c>
      <c r="O30" s="16"/>
      <c r="P30" s="16"/>
      <c r="Q30" s="16"/>
      <c r="S30" s="22" t="s">
        <v>12</v>
      </c>
      <c r="T30" s="16" t="s">
        <v>112</v>
      </c>
      <c r="U30" s="16"/>
      <c r="V30" s="16"/>
      <c r="W30" s="16"/>
      <c r="X30" s="16" t="s">
        <v>113</v>
      </c>
      <c r="Y30" s="16"/>
      <c r="Z30" s="16"/>
      <c r="AA30" s="16"/>
      <c r="AB30" s="16" t="s">
        <v>114</v>
      </c>
      <c r="AC30" s="16"/>
      <c r="AD30" s="16"/>
      <c r="AE30" s="16"/>
      <c r="AF30" s="16" t="s">
        <v>115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 s="2">
        <v>9.724E-4</v>
      </c>
      <c r="D34" s="2">
        <v>9.9580000000000003E-4</v>
      </c>
      <c r="E34">
        <v>0.95906400000000003</v>
      </c>
      <c r="F34" t="s">
        <v>22</v>
      </c>
      <c r="G34">
        <v>1.1000000000000001E-3</v>
      </c>
      <c r="H34">
        <v>1.1000000000000001E-3</v>
      </c>
      <c r="I34">
        <v>0.955175</v>
      </c>
      <c r="J34" t="s">
        <v>22</v>
      </c>
      <c r="K34">
        <v>1.1999999999999999E-3</v>
      </c>
      <c r="L34">
        <v>1.1999999999999999E-3</v>
      </c>
      <c r="M34">
        <v>0.98015699999999994</v>
      </c>
      <c r="N34" t="s">
        <v>22</v>
      </c>
      <c r="O34">
        <v>1.2999999999999999E-3</v>
      </c>
      <c r="P34">
        <v>1.2999999999999999E-3</v>
      </c>
      <c r="Q34">
        <v>0.95999000000000001</v>
      </c>
      <c r="S34" s="22"/>
      <c r="T34" t="s">
        <v>22</v>
      </c>
      <c r="U34" s="2">
        <v>7.0790000000000002E-4</v>
      </c>
      <c r="V34" s="2">
        <v>8.5220000000000001E-4</v>
      </c>
      <c r="W34">
        <v>0.96012799999999998</v>
      </c>
      <c r="X34" t="s">
        <v>22</v>
      </c>
      <c r="Y34" s="2">
        <v>7.9049999999999997E-4</v>
      </c>
      <c r="Z34" s="2">
        <v>9.5089999999999997E-4</v>
      </c>
      <c r="AA34">
        <v>0.96817200000000003</v>
      </c>
      <c r="AB34" t="s">
        <v>22</v>
      </c>
      <c r="AC34">
        <v>8.9999999999999998E-4</v>
      </c>
      <c r="AD34">
        <v>1E-3</v>
      </c>
      <c r="AE34">
        <v>1.0661050000000001</v>
      </c>
      <c r="AF34" t="s">
        <v>22</v>
      </c>
      <c r="AG34">
        <v>1E-3</v>
      </c>
      <c r="AH34">
        <v>1.1000000000000001E-3</v>
      </c>
      <c r="AI34">
        <v>1.1839500000000001</v>
      </c>
    </row>
    <row r="37" spans="1:35" x14ac:dyDescent="0.25">
      <c r="A37" s="18" t="s">
        <v>23</v>
      </c>
      <c r="B37" s="16" t="s">
        <v>112</v>
      </c>
      <c r="C37" s="16"/>
      <c r="D37" s="16"/>
      <c r="E37" s="16"/>
      <c r="F37" s="16" t="s">
        <v>113</v>
      </c>
      <c r="G37" s="16"/>
      <c r="H37" s="16"/>
      <c r="I37" s="16"/>
      <c r="J37" s="16" t="s">
        <v>114</v>
      </c>
      <c r="K37" s="16"/>
      <c r="L37" s="16"/>
      <c r="M37" s="16"/>
      <c r="N37" s="16" t="s">
        <v>115</v>
      </c>
      <c r="O37" s="16"/>
      <c r="P37" s="16"/>
      <c r="Q37" s="16"/>
      <c r="S37" s="18" t="s">
        <v>23</v>
      </c>
      <c r="T37" s="16" t="s">
        <v>112</v>
      </c>
      <c r="U37" s="16"/>
      <c r="V37" s="16"/>
      <c r="W37" s="16"/>
      <c r="X37" s="16" t="s">
        <v>113</v>
      </c>
      <c r="Y37" s="16"/>
      <c r="Z37" s="16"/>
      <c r="AA37" s="16"/>
      <c r="AB37" s="16" t="s">
        <v>114</v>
      </c>
      <c r="AC37" s="16"/>
      <c r="AD37" s="16"/>
      <c r="AE37" s="16"/>
      <c r="AF37" s="16" t="s">
        <v>115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 s="2">
        <v>9.724E-4</v>
      </c>
      <c r="D41" s="2">
        <v>9.9810000000000003E-4</v>
      </c>
      <c r="E41">
        <v>1.4744600000000001</v>
      </c>
      <c r="F41" t="s">
        <v>22</v>
      </c>
      <c r="G41">
        <v>1.1000000000000001E-3</v>
      </c>
      <c r="H41">
        <v>1.1000000000000001E-3</v>
      </c>
      <c r="I41">
        <v>1.1385160000000001</v>
      </c>
      <c r="J41" t="s">
        <v>22</v>
      </c>
      <c r="K41">
        <v>1.1999999999999999E-3</v>
      </c>
      <c r="L41">
        <v>1.1999999999999999E-3</v>
      </c>
      <c r="M41">
        <v>1.378498</v>
      </c>
      <c r="N41" t="s">
        <v>22</v>
      </c>
      <c r="O41">
        <v>1.2999999999999999E-3</v>
      </c>
      <c r="P41">
        <v>1.2999999999999999E-3</v>
      </c>
      <c r="Q41">
        <v>1.1785840000000001</v>
      </c>
      <c r="S41" s="18"/>
      <c r="T41" t="s">
        <v>22</v>
      </c>
      <c r="U41" s="2">
        <v>7.0790000000000002E-4</v>
      </c>
      <c r="V41" s="2">
        <v>8.5220000000000001E-4</v>
      </c>
      <c r="W41">
        <v>1.5249140000000001</v>
      </c>
      <c r="X41" t="s">
        <v>22</v>
      </c>
      <c r="Y41" s="2">
        <v>8.1729999999999997E-4</v>
      </c>
      <c r="Z41" s="2">
        <v>9.5089999999999997E-4</v>
      </c>
      <c r="AA41">
        <v>1.2198500000000001</v>
      </c>
      <c r="AB41" t="s">
        <v>22</v>
      </c>
      <c r="AC41">
        <v>8.9999999999999998E-4</v>
      </c>
      <c r="AD41">
        <v>1E-3</v>
      </c>
      <c r="AE41">
        <v>1.4826870000000001</v>
      </c>
      <c r="AF41" t="s">
        <v>22</v>
      </c>
      <c r="AG41">
        <v>1E-3</v>
      </c>
      <c r="AH41">
        <v>1.1000000000000001E-3</v>
      </c>
      <c r="AI41">
        <v>1.459775</v>
      </c>
    </row>
    <row r="44" spans="1:35" x14ac:dyDescent="0.25">
      <c r="A44" s="23" t="s">
        <v>24</v>
      </c>
      <c r="B44" s="16" t="s">
        <v>112</v>
      </c>
      <c r="C44" s="16"/>
      <c r="D44" s="16"/>
      <c r="E44" s="16"/>
      <c r="F44" s="16" t="s">
        <v>113</v>
      </c>
      <c r="G44" s="16"/>
      <c r="H44" s="16"/>
      <c r="I44" s="16"/>
      <c r="J44" s="16" t="s">
        <v>114</v>
      </c>
      <c r="K44" s="16"/>
      <c r="L44" s="16"/>
      <c r="M44" s="16"/>
      <c r="N44" s="16" t="s">
        <v>115</v>
      </c>
      <c r="O44" s="16"/>
      <c r="P44" s="16"/>
      <c r="Q44" s="16"/>
      <c r="S44" s="23" t="s">
        <v>24</v>
      </c>
      <c r="T44" s="16" t="s">
        <v>112</v>
      </c>
      <c r="U44" s="16"/>
      <c r="V44" s="16"/>
      <c r="W44" s="16"/>
      <c r="X44" s="16" t="s">
        <v>113</v>
      </c>
      <c r="Y44" s="16"/>
      <c r="Z44" s="16"/>
      <c r="AA44" s="16"/>
      <c r="AB44" s="16" t="s">
        <v>114</v>
      </c>
      <c r="AC44" s="16"/>
      <c r="AD44" s="16"/>
      <c r="AE44" s="16"/>
      <c r="AF44" s="16" t="s">
        <v>115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26">
        <v>9.8200000000000002E-4</v>
      </c>
      <c r="C46" s="16"/>
      <c r="D46" s="16"/>
      <c r="E46">
        <v>2.2866520000000001</v>
      </c>
      <c r="F46" s="16">
        <v>1.1000000000000001E-3</v>
      </c>
      <c r="G46" s="16"/>
      <c r="H46" s="16"/>
      <c r="I46">
        <v>2.2313269999999998</v>
      </c>
      <c r="J46" s="16">
        <v>1.1999999999999999E-3</v>
      </c>
      <c r="K46" s="16"/>
      <c r="L46" s="16"/>
      <c r="M46">
        <v>2.5107240000000002</v>
      </c>
      <c r="N46" s="16">
        <v>1.2999999999999999E-3</v>
      </c>
      <c r="O46" s="16"/>
      <c r="P46" s="16"/>
      <c r="Q46">
        <v>2.201676</v>
      </c>
      <c r="S46" s="23"/>
      <c r="T46" s="26">
        <v>8.007E-4</v>
      </c>
      <c r="U46" s="16"/>
      <c r="V46" s="16"/>
      <c r="W46">
        <v>2.241781</v>
      </c>
      <c r="X46" s="26">
        <v>8.9910000000000001E-4</v>
      </c>
      <c r="Y46" s="16"/>
      <c r="Z46" s="16"/>
      <c r="AA46">
        <v>2.3196409999999998</v>
      </c>
      <c r="AB46" s="26">
        <v>9.8769999999999999E-4</v>
      </c>
      <c r="AC46" s="16"/>
      <c r="AD46" s="16"/>
      <c r="AE46">
        <v>2.255325</v>
      </c>
      <c r="AF46" s="16">
        <v>1.1000000000000001E-3</v>
      </c>
      <c r="AG46" s="16"/>
      <c r="AH46" s="16"/>
      <c r="AI46">
        <v>2.255665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112</v>
      </c>
      <c r="C50" s="16"/>
      <c r="D50" s="16"/>
      <c r="E50" s="16"/>
      <c r="F50" s="16" t="s">
        <v>113</v>
      </c>
      <c r="G50" s="16"/>
      <c r="H50" s="16"/>
      <c r="I50" s="16"/>
      <c r="J50" s="16" t="s">
        <v>114</v>
      </c>
      <c r="K50" s="16"/>
      <c r="L50" s="16"/>
      <c r="M50" s="16"/>
      <c r="N50" s="16" t="s">
        <v>115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3.2539999999999999E-4</v>
      </c>
      <c r="D54" s="2">
        <v>5.5150000000000002E-4</v>
      </c>
      <c r="E54">
        <v>1.1850050000000001</v>
      </c>
      <c r="F54" t="s">
        <v>22</v>
      </c>
      <c r="G54" s="2">
        <v>3.6910000000000003E-4</v>
      </c>
      <c r="H54" s="2">
        <v>6.2180000000000004E-4</v>
      </c>
      <c r="I54">
        <v>0.980935</v>
      </c>
      <c r="J54" t="s">
        <v>22</v>
      </c>
      <c r="K54" s="2">
        <v>4.1379999999999998E-4</v>
      </c>
      <c r="L54" s="2">
        <v>6.891E-4</v>
      </c>
      <c r="M54">
        <v>1.071007</v>
      </c>
      <c r="N54" t="s">
        <v>22</v>
      </c>
      <c r="O54" s="2">
        <v>4.5760000000000001E-4</v>
      </c>
      <c r="P54" s="2">
        <v>7.5350000000000005E-4</v>
      </c>
      <c r="Q54">
        <v>0.98414199999999996</v>
      </c>
    </row>
    <row r="57" spans="1:17" x14ac:dyDescent="0.25">
      <c r="A57" s="18" t="s">
        <v>23</v>
      </c>
      <c r="B57" s="16" t="s">
        <v>112</v>
      </c>
      <c r="C57" s="16"/>
      <c r="D57" s="16"/>
      <c r="E57" s="16"/>
      <c r="F57" s="16" t="s">
        <v>113</v>
      </c>
      <c r="G57" s="16"/>
      <c r="H57" s="16"/>
      <c r="I57" s="16"/>
      <c r="J57" s="16" t="s">
        <v>114</v>
      </c>
      <c r="K57" s="16"/>
      <c r="L57" s="16"/>
      <c r="M57" s="16"/>
      <c r="N57" s="16" t="s">
        <v>115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3.2539999999999999E-4</v>
      </c>
      <c r="D61" s="2">
        <v>5.5210000000000003E-4</v>
      </c>
      <c r="E61">
        <v>1.4348810000000001</v>
      </c>
      <c r="F61" t="s">
        <v>22</v>
      </c>
      <c r="G61" s="2">
        <v>4.147E-4</v>
      </c>
      <c r="H61" s="2">
        <v>5.9920000000000004E-4</v>
      </c>
      <c r="I61">
        <v>1.208189</v>
      </c>
      <c r="J61" t="s">
        <v>22</v>
      </c>
      <c r="K61" s="2">
        <v>4.573E-4</v>
      </c>
      <c r="L61" s="2">
        <v>6.2949999999999996E-4</v>
      </c>
      <c r="M61">
        <v>1.121278</v>
      </c>
      <c r="N61" t="s">
        <v>22</v>
      </c>
      <c r="O61" s="2">
        <v>5.0370000000000005E-4</v>
      </c>
      <c r="P61" s="2">
        <v>7.0310000000000001E-4</v>
      </c>
      <c r="Q61">
        <v>1.130034</v>
      </c>
    </row>
    <row r="64" spans="1:17" x14ac:dyDescent="0.25">
      <c r="A64" s="23" t="s">
        <v>24</v>
      </c>
      <c r="B64" s="16" t="s">
        <v>112</v>
      </c>
      <c r="C64" s="16"/>
      <c r="D64" s="16"/>
      <c r="E64" s="16"/>
      <c r="F64" s="16" t="s">
        <v>113</v>
      </c>
      <c r="G64" s="16"/>
      <c r="H64" s="16"/>
      <c r="I64" s="16"/>
      <c r="J64" s="16" t="s">
        <v>114</v>
      </c>
      <c r="K64" s="16"/>
      <c r="L64" s="16"/>
      <c r="M64" s="16"/>
      <c r="N64" s="16" t="s">
        <v>115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4.573E-4</v>
      </c>
      <c r="C66" s="16"/>
      <c r="D66" s="16"/>
      <c r="E66">
        <v>2.2906019999999998</v>
      </c>
      <c r="F66" s="26">
        <v>5.1270000000000005E-4</v>
      </c>
      <c r="G66" s="16"/>
      <c r="H66" s="16"/>
      <c r="I66">
        <v>2.3188200000000001</v>
      </c>
      <c r="J66" s="26">
        <v>5.6910000000000001E-4</v>
      </c>
      <c r="K66" s="16"/>
      <c r="L66" s="16"/>
      <c r="M66">
        <v>2.2245249999999999</v>
      </c>
      <c r="N66" s="26">
        <v>6.2730000000000001E-4</v>
      </c>
      <c r="O66" s="16"/>
      <c r="P66" s="16"/>
      <c r="Q66">
        <v>2.23868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1.1049999999999999E-3</v>
      </c>
      <c r="G75">
        <f t="shared" si="1"/>
        <v>1.1049999999999999E-3</v>
      </c>
      <c r="H75">
        <f t="shared" si="2"/>
        <v>2.266534</v>
      </c>
      <c r="I75">
        <f t="shared" si="3"/>
        <v>1.1049999999999999E-3</v>
      </c>
      <c r="J75">
        <f t="shared" si="4"/>
        <v>1.1049999999999999E-3</v>
      </c>
      <c r="K75">
        <f t="shared" si="5"/>
        <v>2.1912599999999998</v>
      </c>
      <c r="L75">
        <f>0.05*F25+(1-0.05)*B25</f>
        <v>1.1049999999999999E-3</v>
      </c>
      <c r="M75">
        <f>I25+E25</f>
        <v>4.8749090000000006</v>
      </c>
      <c r="P75" s="21"/>
      <c r="Q75" t="s">
        <v>37</v>
      </c>
      <c r="R75">
        <f t="shared" si="6"/>
        <v>1.1099999999999999E-3</v>
      </c>
      <c r="S75">
        <f t="shared" si="7"/>
        <v>1.1099999999999999E-3</v>
      </c>
      <c r="U75">
        <f t="shared" si="8"/>
        <v>1.1099999999999999E-3</v>
      </c>
      <c r="V75">
        <f t="shared" si="9"/>
        <v>1.1099999999999999E-3</v>
      </c>
      <c r="X75">
        <f>0.1*F25+(1-0.1)*B25</f>
        <v>1.1099999999999999E-3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1.1200000000000001E-3</v>
      </c>
      <c r="G81">
        <f t="shared" si="11"/>
        <v>1.1200000000000001E-3</v>
      </c>
      <c r="I81">
        <f t="shared" si="12"/>
        <v>1.1200000000000001E-3</v>
      </c>
      <c r="J81">
        <f t="shared" si="13"/>
        <v>1.1200000000000001E-3</v>
      </c>
      <c r="L81">
        <f>0.2*F25+(1-0.2)*B25</f>
        <v>1.1200000000000001E-3</v>
      </c>
      <c r="P81" s="21"/>
      <c r="Q81" t="s">
        <v>37</v>
      </c>
      <c r="R81">
        <f t="shared" si="14"/>
        <v>1.1299999999999999E-3</v>
      </c>
      <c r="S81">
        <f t="shared" si="15"/>
        <v>1.1299999999999999E-3</v>
      </c>
      <c r="U81">
        <f t="shared" si="16"/>
        <v>1.1299999999999999E-3</v>
      </c>
      <c r="V81">
        <f t="shared" si="17"/>
        <v>1.1299999999999999E-3</v>
      </c>
      <c r="X81">
        <f>0.3*F25+(1-0.3)*B25</f>
        <v>1.1299999999999999E-3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1.1100000000000001E-3</v>
      </c>
      <c r="G88">
        <f t="shared" si="19"/>
        <v>1.1100000000000001E-3</v>
      </c>
      <c r="H88">
        <f t="shared" si="20"/>
        <v>3.454761</v>
      </c>
      <c r="I88">
        <f t="shared" si="21"/>
        <v>1.1100000000000001E-3</v>
      </c>
      <c r="J88">
        <f t="shared" si="22"/>
        <v>1.1100000000000001E-3</v>
      </c>
      <c r="K88">
        <f t="shared" si="23"/>
        <v>3.3522809999999996</v>
      </c>
      <c r="L88">
        <f>(0.05*(1-0.05)+0.05*(1-0.05))*F25+0.05*0.05*J25+(1-0.05*(1-0.05)-0.05*(1-0.05)-0.05*0.05)*B25</f>
        <v>1.1100000000000001E-3</v>
      </c>
      <c r="M88">
        <f>M25+I25+E25</f>
        <v>7.6479309999999998</v>
      </c>
      <c r="O88" s="20"/>
      <c r="P88" s="21"/>
      <c r="Q88" t="s">
        <v>37</v>
      </c>
      <c r="R88">
        <f t="shared" si="24"/>
        <v>1.1200000000000001E-3</v>
      </c>
      <c r="S88">
        <f t="shared" si="25"/>
        <v>1.1200000000000001E-3</v>
      </c>
      <c r="U88">
        <f t="shared" si="26"/>
        <v>1.1200000000000001E-3</v>
      </c>
      <c r="V88">
        <f t="shared" si="27"/>
        <v>1.1200000000000001E-3</v>
      </c>
      <c r="X88">
        <f>(0.1*0.9+0.1*0.9)*F25+0.1*0.1*J25+(1-0.1*0.9-0.1*0.9-0.1*0.1)*B25</f>
        <v>1.1200000000000001E-3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1.14E-3</v>
      </c>
      <c r="G94">
        <f t="shared" si="29"/>
        <v>1.14E-3</v>
      </c>
      <c r="I94">
        <f t="shared" si="30"/>
        <v>1.14E-3</v>
      </c>
      <c r="J94">
        <f t="shared" si="31"/>
        <v>1.14E-3</v>
      </c>
      <c r="L94">
        <f>(0.2*0.8+0.2*0.8)*F25+0.2*0.2*J25+(1-0.2*0.8-0.2*0.8-0.2*0.2)*B25</f>
        <v>1.14E-3</v>
      </c>
      <c r="O94" s="20"/>
      <c r="P94" s="21"/>
      <c r="Q94" t="s">
        <v>37</v>
      </c>
      <c r="R94">
        <f t="shared" si="32"/>
        <v>1.16E-3</v>
      </c>
      <c r="S94">
        <f t="shared" si="33"/>
        <v>1.16E-3</v>
      </c>
      <c r="U94">
        <f t="shared" si="34"/>
        <v>1.16E-3</v>
      </c>
      <c r="V94">
        <f t="shared" si="35"/>
        <v>1.16E-3</v>
      </c>
      <c r="X94">
        <f>(0.3*0.7+0.3*0.7)*F25+0.3*0.3*J25+(1-0.3*0.7-0.3*0.7-0.3*0.3)*B25</f>
        <v>1.16E-3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1.1149999999999999E-3</v>
      </c>
      <c r="G101">
        <f t="shared" si="37"/>
        <v>1.1149999999999999E-3</v>
      </c>
      <c r="H101">
        <f t="shared" si="38"/>
        <v>4.6527089999999998</v>
      </c>
      <c r="I101">
        <f t="shared" si="39"/>
        <v>1.1149999999999999E-3</v>
      </c>
      <c r="J101">
        <f t="shared" si="40"/>
        <v>1.1149999999999999E-3</v>
      </c>
      <c r="K101">
        <f t="shared" si="41"/>
        <v>4.5211220000000001</v>
      </c>
      <c r="L101">
        <f>3*0.05*(1-0.05)*(1-0.05)*F25+3*0.05*0.05*(1-0.05)*J25+0.05*0.05*0.05*N25+(1-3*0.05*(1-0.05)*(1-0.05)-3*0.05*0.05*(1-0.05)-0.05*0.05*0.05)*B25</f>
        <v>1.1149999999999999E-3</v>
      </c>
      <c r="M101">
        <f>Q25+M25+I25+E25</f>
        <v>10.065757</v>
      </c>
      <c r="N101" s="24"/>
      <c r="O101" s="20"/>
      <c r="P101" s="21"/>
      <c r="Q101" t="s">
        <v>37</v>
      </c>
      <c r="R101">
        <f t="shared" si="42"/>
        <v>1.1299999999999999E-3</v>
      </c>
      <c r="S101">
        <f t="shared" si="43"/>
        <v>1.1299999999999999E-3</v>
      </c>
      <c r="U101">
        <f t="shared" si="44"/>
        <v>1.1299999999999999E-3</v>
      </c>
      <c r="V101">
        <f t="shared" si="45"/>
        <v>1.1299999999999999E-3</v>
      </c>
      <c r="X101">
        <f>3*0.1*(1-0.1)*(1-0.1)*F25+3*0.1*0.1*(1-0.1)*J25+0.1*0.1*0.1*N25+(1-3*0.1*(1-0.1)*(1-0.1)-3*0.1*0.1*(1-0.1)-0.1*0.1*0.1)*B25</f>
        <v>1.1299999999999999E-3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1.16E-3</v>
      </c>
      <c r="G107">
        <f t="shared" si="47"/>
        <v>1.16E-3</v>
      </c>
      <c r="I107">
        <f t="shared" si="48"/>
        <v>1.16E-3</v>
      </c>
      <c r="J107">
        <f t="shared" si="49"/>
        <v>1.16E-3</v>
      </c>
      <c r="L107">
        <f>3*0.2*(1-0.2)*(1-0.2)*F25+3*0.2*0.2*(1-0.2)*J25+0.2*0.2*0.2*N25+(1-3*0.2*(1-0.2)*(1-0.2)-3*0.2*0.2*(1-0.2)-0.2*0.2*0.2)*B25</f>
        <v>1.16E-3</v>
      </c>
      <c r="N107" s="24"/>
      <c r="O107" s="20"/>
      <c r="P107" s="21"/>
      <c r="Q107" t="s">
        <v>37</v>
      </c>
      <c r="R107">
        <f t="shared" si="50"/>
        <v>1.1900000000000001E-3</v>
      </c>
      <c r="S107">
        <f t="shared" si="51"/>
        <v>1.1900000000000001E-3</v>
      </c>
      <c r="U107">
        <f t="shared" si="52"/>
        <v>1.1900000000000001E-3</v>
      </c>
      <c r="V107">
        <f t="shared" si="53"/>
        <v>1.1900000000000001E-3</v>
      </c>
      <c r="X107">
        <f>3*0.3*(1-0.3)*(1-0.3)*F25+3*0.3*0.3*(1-0.3)*J25+0.3*0.3*0.3*N25+(1-3*0.3*(1-0.3)*(1-0.3)-3*0.3*0.3*(1-0.3)-0.3*0.3*0.3)*B25</f>
        <v>1.1900000000000001E-3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1.1049999999999999E-3</v>
      </c>
      <c r="G114">
        <f t="shared" si="55"/>
        <v>1.1049999999999999E-3</v>
      </c>
      <c r="H114">
        <f t="shared" si="56"/>
        <v>2.301949</v>
      </c>
      <c r="I114">
        <f t="shared" si="57"/>
        <v>1.1049999999999999E-3</v>
      </c>
      <c r="J114">
        <f t="shared" si="58"/>
        <v>1.1049999999999999E-3</v>
      </c>
      <c r="K114">
        <f t="shared" si="59"/>
        <v>2.3615620000000002</v>
      </c>
      <c r="L114">
        <f>0.05*X25+(1-0.05)*T25</f>
        <v>1.01E-3</v>
      </c>
      <c r="M114">
        <f>AA25+W25</f>
        <v>4.3868470000000004</v>
      </c>
      <c r="P114" s="21"/>
      <c r="Q114" t="s">
        <v>37</v>
      </c>
      <c r="R114">
        <f t="shared" si="60"/>
        <v>1.1099999999999999E-3</v>
      </c>
      <c r="S114">
        <f t="shared" si="61"/>
        <v>1.1099999999999999E-3</v>
      </c>
      <c r="U114">
        <f t="shared" si="62"/>
        <v>1.1099999999999999E-3</v>
      </c>
      <c r="V114">
        <f t="shared" si="63"/>
        <v>1.1099999999999999E-3</v>
      </c>
      <c r="X114">
        <f>0.1*X25+(1-0.1)*T25</f>
        <v>1.0200000000000001E-3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1.1200000000000001E-3</v>
      </c>
      <c r="G120">
        <f t="shared" si="65"/>
        <v>1.1200000000000001E-3</v>
      </c>
      <c r="I120">
        <f t="shared" si="66"/>
        <v>1.1200000000000001E-3</v>
      </c>
      <c r="J120">
        <f t="shared" si="67"/>
        <v>1.1200000000000001E-3</v>
      </c>
      <c r="L120">
        <f>0.2*X25+(1-0.2)*T25</f>
        <v>1.0400000000000001E-3</v>
      </c>
      <c r="P120" s="21"/>
      <c r="Q120" t="s">
        <v>37</v>
      </c>
      <c r="R120">
        <f t="shared" si="68"/>
        <v>1.1299999999999999E-3</v>
      </c>
      <c r="S120">
        <f t="shared" si="69"/>
        <v>1.1299999999999999E-3</v>
      </c>
      <c r="U120">
        <f t="shared" si="70"/>
        <v>1.1299999999999999E-3</v>
      </c>
      <c r="V120">
        <f t="shared" si="71"/>
        <v>1.1299999999999999E-3</v>
      </c>
      <c r="X120">
        <f>0.3*X25+(1-0.3)*T25</f>
        <v>1.06E-3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1.1100000000000001E-3</v>
      </c>
      <c r="G127">
        <f t="shared" si="73"/>
        <v>1.1100000000000001E-3</v>
      </c>
      <c r="H127">
        <f t="shared" si="74"/>
        <v>3.2502140000000002</v>
      </c>
      <c r="I127">
        <f t="shared" si="75"/>
        <v>1.1100000000000001E-3</v>
      </c>
      <c r="J127">
        <f t="shared" si="76"/>
        <v>1.1100000000000001E-3</v>
      </c>
      <c r="K127">
        <f t="shared" si="77"/>
        <v>3.4430859999999996</v>
      </c>
      <c r="L127">
        <f>(0.05*(1-0.05)+0.05*(1-0.05))*X25+0.05*0.05*AB25+(1-0.05*(1-0.05)-0.05*(1-0.05)-0.05*0.05)*T25</f>
        <v>1.01975E-3</v>
      </c>
      <c r="M127">
        <f>AE25+AA25+W25</f>
        <v>6.6809670000000008</v>
      </c>
      <c r="O127" s="20"/>
      <c r="P127" s="21"/>
      <c r="Q127" t="s">
        <v>37</v>
      </c>
      <c r="R127">
        <f t="shared" si="78"/>
        <v>1.1200000000000001E-3</v>
      </c>
      <c r="S127">
        <f t="shared" si="79"/>
        <v>1.1200000000000001E-3</v>
      </c>
      <c r="U127">
        <f t="shared" si="80"/>
        <v>1.1200000000000001E-3</v>
      </c>
      <c r="V127">
        <f t="shared" si="81"/>
        <v>1.1200000000000001E-3</v>
      </c>
      <c r="X127">
        <f>(0.1*0.9+0.1*0.9)*X25+0.1*0.1*AB25+(1-0.1*0.9-0.1*0.9-0.1*0.1)*T25</f>
        <v>1.039E-3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1.14E-3</v>
      </c>
      <c r="G133">
        <f t="shared" si="83"/>
        <v>1.14E-3</v>
      </c>
      <c r="I133">
        <f t="shared" si="84"/>
        <v>1.14E-3</v>
      </c>
      <c r="J133">
        <f t="shared" si="85"/>
        <v>1.14E-3</v>
      </c>
      <c r="L133">
        <f>(0.2*0.8+0.2*0.8)*X25+0.2*0.2*AB25+(1-0.2*0.8-0.2*0.8-0.2*0.2)*T25</f>
        <v>1.0760000000000001E-3</v>
      </c>
      <c r="O133" s="20"/>
      <c r="P133" s="21"/>
      <c r="Q133" t="s">
        <v>37</v>
      </c>
      <c r="R133">
        <f t="shared" si="86"/>
        <v>1.16E-3</v>
      </c>
      <c r="S133">
        <f t="shared" si="87"/>
        <v>1.16E-3</v>
      </c>
      <c r="U133">
        <f t="shared" si="88"/>
        <v>1.16E-3</v>
      </c>
      <c r="V133">
        <f t="shared" si="89"/>
        <v>1.16E-3</v>
      </c>
      <c r="X133">
        <f>(0.3*0.7+0.3*0.7)*X25+0.3*0.3*AB25+(1-0.3*0.7-0.3*0.7-0.3*0.3)*T25</f>
        <v>1.111E-3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1.1149999999999999E-3</v>
      </c>
      <c r="G140">
        <f t="shared" si="91"/>
        <v>1.1149999999999999E-3</v>
      </c>
      <c r="H140">
        <f t="shared" si="92"/>
        <v>4.3005770000000005</v>
      </c>
      <c r="I140">
        <f t="shared" si="93"/>
        <v>1.1149999999999999E-3</v>
      </c>
      <c r="J140">
        <f t="shared" si="94"/>
        <v>1.1149999999999999E-3</v>
      </c>
      <c r="K140">
        <f t="shared" si="95"/>
        <v>4.4613370000000003</v>
      </c>
      <c r="L140">
        <f>3*0.05*(1-0.05)*(1-0.05)*X25+3*0.05*0.05*(1-0.05)*AB25+0.05*0.05*0.05*AF25+(1-3*0.05*(1-0.05)*(1-0.05)-3*0.05*0.05*(1-0.05)-0.05*0.05*0.05)*T25</f>
        <v>1.0292624999999999E-3</v>
      </c>
      <c r="M140">
        <f>AI25+AE25+AA25+W25</f>
        <v>8.9237810000000017</v>
      </c>
      <c r="N140" s="24"/>
      <c r="O140" s="20"/>
      <c r="P140" s="21"/>
      <c r="Q140" t="s">
        <v>37</v>
      </c>
      <c r="R140">
        <f t="shared" si="96"/>
        <v>1.1299999999999999E-3</v>
      </c>
      <c r="S140">
        <f t="shared" si="97"/>
        <v>1.1299999999999999E-3</v>
      </c>
      <c r="U140">
        <f t="shared" si="98"/>
        <v>1.1299999999999999E-3</v>
      </c>
      <c r="V140">
        <f t="shared" si="99"/>
        <v>1.1299999999999999E-3</v>
      </c>
      <c r="X140">
        <f>3*0.1*(1-0.1)*(1-0.1)*X25+3*0.1*0.1*(1-0.1)*AB25+0.1*0.1*0.1*AF25+(1-3*0.1*(1-0.1)*(1-0.1)-3*0.1*0.1*(1-0.1)-0.1*0.1*0.1)*T25</f>
        <v>1.0571000000000001E-3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1.16E-3</v>
      </c>
      <c r="G146">
        <f t="shared" si="101"/>
        <v>1.16E-3</v>
      </c>
      <c r="I146">
        <f t="shared" si="102"/>
        <v>1.16E-3</v>
      </c>
      <c r="J146">
        <f t="shared" si="103"/>
        <v>1.16E-3</v>
      </c>
      <c r="L146">
        <f>3*0.2*(1-0.2)*(1-0.2)*X25+3*0.2*0.2*(1-0.2)*AB25+0.2*0.2*0.2*AF25+(1-3*0.2*(1-0.2)*(1-0.2)-3*0.2*0.2*(1-0.2)-0.2*0.2*0.2)*T25</f>
        <v>1.1088000000000001E-3</v>
      </c>
      <c r="N146" s="24"/>
      <c r="O146" s="20"/>
      <c r="P146" s="21"/>
      <c r="Q146" t="s">
        <v>37</v>
      </c>
      <c r="R146">
        <f t="shared" si="104"/>
        <v>1.1900000000000001E-3</v>
      </c>
      <c r="S146">
        <f t="shared" si="105"/>
        <v>1.1900000000000001E-3</v>
      </c>
      <c r="U146">
        <f t="shared" si="106"/>
        <v>1.1900000000000001E-3</v>
      </c>
      <c r="V146">
        <f t="shared" si="107"/>
        <v>1.1900000000000001E-3</v>
      </c>
      <c r="X146">
        <f>3*0.3*(1-0.3)*(1-0.3)*X25+3*0.3*0.3*(1-0.3)*AB25+0.3*0.3*0.3*AF25+(1-3*0.3*(1-0.3)*(1-0.3)-3*0.3*0.3*(1-0.3)-0.3*0.3*0.3)*T25</f>
        <v>1.1557E-3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9.7877999999999984E-4</v>
      </c>
      <c r="G153">
        <f t="shared" si="109"/>
        <v>1.0010099999999999E-3</v>
      </c>
      <c r="H153">
        <f t="shared" si="110"/>
        <v>1.914239</v>
      </c>
      <c r="I153">
        <f t="shared" si="111"/>
        <v>9.7877999999999984E-4</v>
      </c>
      <c r="J153">
        <f t="shared" si="112"/>
        <v>1.0031949999999999E-3</v>
      </c>
      <c r="K153">
        <f t="shared" si="113"/>
        <v>2.6129760000000002</v>
      </c>
      <c r="L153">
        <f>0.05*F46+(1-0.05)*B46</f>
        <v>9.8789999999999989E-4</v>
      </c>
      <c r="M153">
        <f>I46+E46</f>
        <v>4.5179790000000004</v>
      </c>
      <c r="P153" s="21"/>
      <c r="Q153" t="s">
        <v>37</v>
      </c>
      <c r="R153">
        <f t="shared" si="114"/>
        <v>9.8516000000000012E-4</v>
      </c>
      <c r="S153">
        <f t="shared" si="115"/>
        <v>1.0062200000000002E-3</v>
      </c>
      <c r="U153">
        <f t="shared" si="116"/>
        <v>9.8516000000000012E-4</v>
      </c>
      <c r="V153">
        <f t="shared" si="117"/>
        <v>1.00829E-3</v>
      </c>
      <c r="X153">
        <f>0.1*F46+(1-0.1)*B46</f>
        <v>9.9379999999999998E-4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9.9792000000000023E-4</v>
      </c>
      <c r="G159">
        <f t="shared" si="119"/>
        <v>1.0166400000000001E-3</v>
      </c>
      <c r="I159">
        <f t="shared" si="120"/>
        <v>9.9792000000000023E-4</v>
      </c>
      <c r="J159">
        <f t="shared" si="121"/>
        <v>1.01848E-3</v>
      </c>
      <c r="L159">
        <f>0.2*F46+(1-0.2)*B46</f>
        <v>1.0056000000000002E-3</v>
      </c>
      <c r="P159" s="21"/>
      <c r="Q159" t="s">
        <v>37</v>
      </c>
      <c r="R159">
        <f t="shared" si="122"/>
        <v>1.0106799999999999E-3</v>
      </c>
      <c r="S159">
        <f t="shared" si="123"/>
        <v>1.02706E-3</v>
      </c>
      <c r="U159">
        <f t="shared" si="124"/>
        <v>1.0106799999999999E-3</v>
      </c>
      <c r="V159">
        <f t="shared" si="125"/>
        <v>1.02867E-3</v>
      </c>
      <c r="X159">
        <f>0.3*F46+(1-0.3)*B46</f>
        <v>1.0173999999999999E-3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9.85091E-4</v>
      </c>
      <c r="G166">
        <f t="shared" si="127"/>
        <v>1.0062095000000001E-3</v>
      </c>
      <c r="H166">
        <f t="shared" si="128"/>
        <v>2.894396</v>
      </c>
      <c r="I166">
        <f t="shared" si="129"/>
        <v>9.85091E-4</v>
      </c>
      <c r="J166">
        <f t="shared" si="130"/>
        <v>1.0082852500000001E-3</v>
      </c>
      <c r="K166">
        <f t="shared" si="131"/>
        <v>3.9914740000000002</v>
      </c>
      <c r="L166">
        <f>(0.05*(1-0.05)+0.05*(1-0.05))*F46+0.05*0.05*J46+(1-0.05*(1-0.05)-0.05*(1-0.05)-0.05*0.05)*B46</f>
        <v>9.9375500000000003E-4</v>
      </c>
      <c r="M166">
        <f>M46+I46+E46</f>
        <v>7.0287030000000001</v>
      </c>
      <c r="O166" s="20"/>
      <c r="P166" s="21"/>
      <c r="Q166" t="s">
        <v>37</v>
      </c>
      <c r="R166">
        <f t="shared" si="132"/>
        <v>9.9764400000000022E-4</v>
      </c>
      <c r="S166">
        <f t="shared" si="133"/>
        <v>1.0165980000000001E-3</v>
      </c>
      <c r="U166">
        <f t="shared" si="134"/>
        <v>9.9764400000000022E-4</v>
      </c>
      <c r="V166">
        <f t="shared" si="135"/>
        <v>1.0184610000000002E-3</v>
      </c>
      <c r="X166">
        <f>(0.1*0.9+0.1*0.9)*F46+0.1*0.1*J46+(1-0.1*0.9-0.1*0.9-0.1*0.1)*B46</f>
        <v>1.0054200000000001E-3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1.022336E-3</v>
      </c>
      <c r="G172">
        <f t="shared" si="137"/>
        <v>1.0373120000000001E-3</v>
      </c>
      <c r="I172">
        <f t="shared" si="138"/>
        <v>1.022336E-3</v>
      </c>
      <c r="J172">
        <f t="shared" si="139"/>
        <v>1.0387840000000001E-3</v>
      </c>
      <c r="L172">
        <f>(0.2*0.8+0.2*0.8)*F46+0.2*0.2*J46+(1-0.2*0.8-0.2*0.8-0.2*0.2)*B46</f>
        <v>1.02848E-3</v>
      </c>
      <c r="O172" s="20"/>
      <c r="P172" s="21"/>
      <c r="Q172" t="s">
        <v>37</v>
      </c>
      <c r="R172">
        <f t="shared" si="140"/>
        <v>1.0464760000000002E-3</v>
      </c>
      <c r="S172">
        <f t="shared" si="141"/>
        <v>1.0579420000000001E-3</v>
      </c>
      <c r="U172">
        <f t="shared" si="142"/>
        <v>1.0464760000000002E-3</v>
      </c>
      <c r="V172">
        <f t="shared" si="143"/>
        <v>1.0590690000000002E-3</v>
      </c>
      <c r="X172">
        <f>(0.3*0.7+0.3*0.7)*F46+0.3*0.3*J46+(1-0.3*0.7-0.3*0.7-0.3*0.3)*B46</f>
        <v>1.0511800000000001E-3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9.9133644999999993E-4</v>
      </c>
      <c r="G179">
        <f t="shared" si="145"/>
        <v>1.011399025E-3</v>
      </c>
      <c r="H179">
        <f t="shared" si="146"/>
        <v>3.8543860000000003</v>
      </c>
      <c r="I179">
        <f t="shared" si="147"/>
        <v>9.9133644999999993E-4</v>
      </c>
      <c r="J179">
        <f t="shared" si="148"/>
        <v>1.0133709874999999E-3</v>
      </c>
      <c r="K179">
        <f t="shared" si="149"/>
        <v>5.1700580000000009</v>
      </c>
      <c r="L179">
        <f>3*0.05*(1-0.05)*(1-0.05)*F46+3*0.05*0.05*(1-0.05)*J46+0.05*0.05*0.05*N46+(1-3*0.05*(1-0.05)*(1-0.05)-3*0.05*0.05*(1-0.05)-0.05*0.05*0.05)*B46</f>
        <v>9.995672499999999E-4</v>
      </c>
      <c r="M179">
        <f>Q46+M46+I46+E46</f>
        <v>9.230379000000001</v>
      </c>
      <c r="N179" s="24"/>
      <c r="O179" s="20"/>
      <c r="P179" s="21"/>
      <c r="Q179" t="s">
        <v>37</v>
      </c>
      <c r="R179">
        <f t="shared" si="150"/>
        <v>1.0098796E-3</v>
      </c>
      <c r="S179">
        <f t="shared" si="151"/>
        <v>1.0269382000000001E-3</v>
      </c>
      <c r="U179">
        <f t="shared" si="152"/>
        <v>1.0098796E-3</v>
      </c>
      <c r="V179">
        <f t="shared" si="153"/>
        <v>1.0286149000000001E-3</v>
      </c>
      <c r="X179">
        <f>3*0.1*(1-0.1)*(1-0.1)*F46+3*0.1*0.1*(1-0.1)*J46+0.1*0.1*0.1*N46+(1-3*0.1*(1-0.1)*(1-0.1)-3*0.1*0.1*(1-0.1)-0.1*0.1*0.1)*B46</f>
        <v>1.0168779999999999E-3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1.0458688E-3</v>
      </c>
      <c r="G185">
        <f t="shared" si="155"/>
        <v>1.0578496E-3</v>
      </c>
      <c r="I185">
        <f t="shared" si="156"/>
        <v>1.0458688E-3</v>
      </c>
      <c r="J185">
        <f t="shared" si="157"/>
        <v>1.0590272E-3</v>
      </c>
      <c r="L185">
        <f>3*0.2*(1-0.2)*(1-0.2)*F46+3*0.2*0.2*(1-0.2)*J46+0.2*0.2*0.2*N46+(1-3*0.2*(1-0.2)*(1-0.2)-3*0.2*0.2*(1-0.2)-0.2*0.2*0.2)*B46</f>
        <v>1.0507839999999999E-3</v>
      </c>
      <c r="N185" s="24"/>
      <c r="O185" s="20"/>
      <c r="P185" s="21"/>
      <c r="Q185" t="s">
        <v>37</v>
      </c>
      <c r="R185">
        <f t="shared" si="158"/>
        <v>1.0805332000000001E-3</v>
      </c>
      <c r="S185">
        <f t="shared" si="159"/>
        <v>1.0885594000000001E-3</v>
      </c>
      <c r="U185">
        <f t="shared" si="160"/>
        <v>1.0805332000000001E-3</v>
      </c>
      <c r="V185">
        <f t="shared" si="161"/>
        <v>1.0893483000000001E-3</v>
      </c>
      <c r="X185">
        <f>3*0.3*(1-0.3)*(1-0.3)*F46+3*0.3*0.3*(1-0.3)*J46+0.3*0.3*0.3*N46+(1-3*0.3*(1-0.3)*(1-0.3)-3*0.3*0.3*(1-0.3)-0.3*0.3*0.3)*B46</f>
        <v>1.0838260000000002E-3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7.1203E-4</v>
      </c>
      <c r="G192">
        <f t="shared" si="163"/>
        <v>8.5713499999999997E-4</v>
      </c>
      <c r="H192">
        <f t="shared" si="164"/>
        <v>1.9283000000000001</v>
      </c>
      <c r="I192">
        <f t="shared" si="165"/>
        <v>7.1336999999999995E-4</v>
      </c>
      <c r="J192">
        <f t="shared" si="166"/>
        <v>8.5713499999999997E-4</v>
      </c>
      <c r="K192">
        <f t="shared" si="167"/>
        <v>2.744764</v>
      </c>
      <c r="L192">
        <f>0.05*X46+(1-0.05)*T46</f>
        <v>8.0561999999999995E-4</v>
      </c>
      <c r="M192">
        <f>AA46+W46</f>
        <v>4.5614220000000003</v>
      </c>
      <c r="P192" s="21"/>
      <c r="Q192" t="s">
        <v>37</v>
      </c>
      <c r="R192">
        <f t="shared" si="168"/>
        <v>7.1616000000000008E-4</v>
      </c>
      <c r="S192">
        <f t="shared" si="169"/>
        <v>8.6207000000000005E-4</v>
      </c>
      <c r="U192">
        <f t="shared" si="170"/>
        <v>7.188400000000001E-4</v>
      </c>
      <c r="V192">
        <f t="shared" si="171"/>
        <v>8.6207000000000005E-4</v>
      </c>
      <c r="X192">
        <f>0.1*X46+(1-0.1)*T46</f>
        <v>8.1054E-4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7.2442000000000003E-4</v>
      </c>
      <c r="G198">
        <f t="shared" si="173"/>
        <v>8.7193999999999998E-4</v>
      </c>
      <c r="I198">
        <f t="shared" si="174"/>
        <v>7.2978000000000008E-4</v>
      </c>
      <c r="J198">
        <f t="shared" si="175"/>
        <v>8.7193999999999998E-4</v>
      </c>
      <c r="L198">
        <f>0.2*X46+(1-0.2)*T46</f>
        <v>8.2038000000000011E-4</v>
      </c>
      <c r="P198" s="21"/>
      <c r="Q198" t="s">
        <v>37</v>
      </c>
      <c r="R198">
        <f t="shared" si="176"/>
        <v>7.3267999999999998E-4</v>
      </c>
      <c r="S198">
        <f t="shared" si="177"/>
        <v>8.8181000000000002E-4</v>
      </c>
      <c r="U198">
        <f t="shared" si="178"/>
        <v>7.4072000000000005E-4</v>
      </c>
      <c r="V198">
        <f t="shared" si="179"/>
        <v>8.8181000000000002E-4</v>
      </c>
      <c r="X198">
        <f>0.3*X46+(1-0.3)*T46</f>
        <v>8.3022E-4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7.1622725000000014E-4</v>
      </c>
      <c r="G205">
        <f t="shared" si="181"/>
        <v>8.6194600000000015E-4</v>
      </c>
      <c r="H205">
        <f t="shared" si="182"/>
        <v>2.9944050000000004</v>
      </c>
      <c r="I205">
        <f t="shared" si="183"/>
        <v>7.1877325000000011E-4</v>
      </c>
      <c r="J205">
        <f t="shared" si="184"/>
        <v>8.6194600000000015E-4</v>
      </c>
      <c r="K205">
        <f>AE41+AA41+W41</f>
        <v>4.2274510000000003</v>
      </c>
      <c r="L205">
        <f>(0.05*(1-0.05)+0.05*(1-0.05))*X46+0.05*0.05*AB46+(1-0.05*(1-0.05)-0.05*(1-0.05)-0.05*0.05)*T46</f>
        <v>8.105155000000001E-4</v>
      </c>
      <c r="M205">
        <f>AE46+AA46+W46</f>
        <v>6.8167469999999994</v>
      </c>
      <c r="O205" s="20"/>
      <c r="P205" s="21"/>
      <c r="Q205" t="s">
        <v>37</v>
      </c>
      <c r="R205">
        <f t="shared" si="185"/>
        <v>7.2468900000000004E-4</v>
      </c>
      <c r="S205">
        <f t="shared" si="186"/>
        <v>8.7144400000000008E-4</v>
      </c>
      <c r="U205">
        <f t="shared" si="187"/>
        <v>7.2951299999999999E-4</v>
      </c>
      <c r="V205">
        <f t="shared" si="188"/>
        <v>8.7144400000000008E-4</v>
      </c>
      <c r="X205">
        <f>(0.1*0.9+0.1*0.9)*X46+0.1*0.1*AB46+(1-0.1*0.9-0.1*0.9-0.1*0.1)*T46</f>
        <v>8.2028200000000009E-4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7.4201600000000007E-4</v>
      </c>
      <c r="G211">
        <f t="shared" si="190"/>
        <v>8.8969599999999993E-4</v>
      </c>
      <c r="I211">
        <f t="shared" si="191"/>
        <v>7.5059200000000001E-4</v>
      </c>
      <c r="J211">
        <f t="shared" si="192"/>
        <v>8.8969599999999993E-4</v>
      </c>
      <c r="L211">
        <f>(0.2*0.8+0.2*0.8)*X46+0.2*0.2*AB46+(1-0.2*0.8-0.2*0.8-0.2*0.2)*T46</f>
        <v>8.3966800000000001E-4</v>
      </c>
      <c r="O211" s="20"/>
      <c r="P211" s="21"/>
      <c r="Q211" t="s">
        <v>37</v>
      </c>
      <c r="R211">
        <f t="shared" si="193"/>
        <v>7.5988100000000001E-4</v>
      </c>
      <c r="S211">
        <f t="shared" si="194"/>
        <v>9.0695599999999999E-4</v>
      </c>
      <c r="U211">
        <f t="shared" si="195"/>
        <v>7.7113700000000008E-4</v>
      </c>
      <c r="V211">
        <f t="shared" si="196"/>
        <v>9.0695599999999999E-4</v>
      </c>
      <c r="X211">
        <f>(0.3*0.7+0.3*0.7)*X46+0.3*0.3*AB46+(1-0.3*0.7-0.3*0.7-0.3*0.3)*T46</f>
        <v>8.588580000000001E-4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7.2048719999999998E-4</v>
      </c>
      <c r="G218">
        <f t="shared" si="198"/>
        <v>8.6664556249999979E-4</v>
      </c>
      <c r="H218">
        <f t="shared" si="199"/>
        <v>4.1783549999999998</v>
      </c>
      <c r="I218">
        <f t="shared" si="200"/>
        <v>7.2411524999999998E-4</v>
      </c>
      <c r="J218">
        <f t="shared" si="201"/>
        <v>8.6664556249999979E-4</v>
      </c>
      <c r="K218">
        <f t="shared" si="202"/>
        <v>5.6872259999999999</v>
      </c>
      <c r="L218">
        <f>3*0.05*(1-0.05)*(1-0.05)*X46+3*0.05*0.05*(1-0.05)*AB46+0.05*0.05*0.05*AF46+(1-3*0.05*(1-0.05)*(1-0.05)-3*0.05*0.05*(1-0.05)-0.05*0.05*0.05)*T46</f>
        <v>8.1539068749999989E-4</v>
      </c>
      <c r="M218">
        <f>AI46+AE46+AA46+W46</f>
        <v>9.0724119999999999</v>
      </c>
      <c r="N218" s="24"/>
      <c r="O218" s="20"/>
      <c r="P218" s="21"/>
      <c r="Q218" t="s">
        <v>37</v>
      </c>
      <c r="R218">
        <f t="shared" si="203"/>
        <v>7.3345060000000006E-4</v>
      </c>
      <c r="S218">
        <f t="shared" si="204"/>
        <v>8.8042250000000002E-4</v>
      </c>
      <c r="U218">
        <f t="shared" si="205"/>
        <v>7.3996299999999995E-4</v>
      </c>
      <c r="V218">
        <f t="shared" si="206"/>
        <v>8.8042250000000002E-4</v>
      </c>
      <c r="X218">
        <f>3*0.1*(1-0.1)*(1-0.1)*X46+3*0.1*0.1*(1-0.1)*AB46+0.1*0.1*0.1*AF46+(1-3*0.1*(1-0.1)*(1-0.1)-3*0.1*0.1*(1-0.1)-0.1*0.1*0.1)*T46</f>
        <v>8.2995949999999997E-4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7.6039679999999994E-4</v>
      </c>
      <c r="G224">
        <f t="shared" si="208"/>
        <v>9.0627199999999996E-4</v>
      </c>
      <c r="I224">
        <f t="shared" si="209"/>
        <v>7.7068799999999995E-4</v>
      </c>
      <c r="J224">
        <f t="shared" si="210"/>
        <v>9.0627199999999996E-4</v>
      </c>
      <c r="L224">
        <f>3*0.2*(1-0.2)*(1-0.2)*X46+3*0.2*0.2*(1-0.2)*AB46+0.2*0.2*0.2*AF46+(1-3*0.2*(1-0.2)*(1-0.2)-3*0.2*0.2*(1-0.2)-0.2*0.2*0.2)*T46</f>
        <v>8.5883199999999991E-4</v>
      </c>
      <c r="N224" s="24"/>
      <c r="O224" s="20"/>
      <c r="P224" s="21"/>
      <c r="Q224" t="s">
        <v>37</v>
      </c>
      <c r="R224">
        <f t="shared" si="211"/>
        <v>7.8852020000000009E-4</v>
      </c>
      <c r="S224">
        <f t="shared" si="212"/>
        <v>9.3035150000000011E-4</v>
      </c>
      <c r="U224">
        <f t="shared" si="213"/>
        <v>8.0033899999999995E-4</v>
      </c>
      <c r="V224">
        <f t="shared" si="214"/>
        <v>9.3035150000000011E-4</v>
      </c>
      <c r="X224">
        <f>3*0.3*(1-0.3)*(1-0.3)*X46+3*0.3*0.3*(1-0.3)*AB46+0.3*0.3*0.3*AF46+(1-3*0.3*(1-0.3)*(1-0.3)-3*0.3*0.3*(1-0.3)-0.3*0.3*0.3)*T46</f>
        <v>8.8751850000000007E-4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3.2758499999999997E-4</v>
      </c>
      <c r="G231">
        <f t="shared" si="216"/>
        <v>5.5501499999999996E-4</v>
      </c>
      <c r="H231">
        <f t="shared" si="217"/>
        <v>2.16594</v>
      </c>
      <c r="I231">
        <f t="shared" si="218"/>
        <v>3.2986499999999999E-4</v>
      </c>
      <c r="J231">
        <f t="shared" si="219"/>
        <v>5.5445500000000003E-4</v>
      </c>
      <c r="K231">
        <f t="shared" si="220"/>
        <v>2.6430699999999998</v>
      </c>
      <c r="L231">
        <f>0.05*F66+(1-0.05)*B66</f>
        <v>4.6006999999999998E-4</v>
      </c>
      <c r="M231">
        <f>I66+E66</f>
        <v>4.6094220000000004</v>
      </c>
      <c r="P231" s="21"/>
      <c r="Q231" t="s">
        <v>37</v>
      </c>
      <c r="R231">
        <f t="shared" si="221"/>
        <v>3.2977000000000001E-4</v>
      </c>
      <c r="S231">
        <f t="shared" si="222"/>
        <v>5.5853000000000001E-4</v>
      </c>
      <c r="U231">
        <f t="shared" si="223"/>
        <v>3.3432999999999998E-4</v>
      </c>
      <c r="V231">
        <f t="shared" si="224"/>
        <v>5.5681000000000003E-4</v>
      </c>
      <c r="X231">
        <f>0.1*F66+(1-0.1)*B66</f>
        <v>4.6284000000000001E-4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3.3414000000000002E-4</v>
      </c>
      <c r="G237">
        <f t="shared" si="226"/>
        <v>5.6556000000000011E-4</v>
      </c>
      <c r="I237">
        <f t="shared" si="227"/>
        <v>3.4326000000000002E-4</v>
      </c>
      <c r="J237">
        <f t="shared" si="228"/>
        <v>5.6152000000000003E-4</v>
      </c>
      <c r="L237">
        <f>0.2*F66+(1-0.2)*B66</f>
        <v>4.6838000000000007E-4</v>
      </c>
      <c r="P237" s="21"/>
      <c r="Q237" t="s">
        <v>37</v>
      </c>
      <c r="R237">
        <f t="shared" si="229"/>
        <v>3.3850999999999998E-4</v>
      </c>
      <c r="S237">
        <f t="shared" si="230"/>
        <v>5.7258999999999999E-4</v>
      </c>
      <c r="U237">
        <f t="shared" si="231"/>
        <v>3.5218999999999995E-4</v>
      </c>
      <c r="V237">
        <f t="shared" si="232"/>
        <v>5.6623000000000003E-4</v>
      </c>
      <c r="X237">
        <f>0.3*F66+(1-0.3)*B66</f>
        <v>4.7391999999999996E-4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3.2977249999999999E-4</v>
      </c>
      <c r="G244">
        <f t="shared" si="234"/>
        <v>5.5852250000000005E-4</v>
      </c>
      <c r="H244">
        <f t="shared" si="235"/>
        <v>3.2369469999999998</v>
      </c>
      <c r="I244">
        <f t="shared" si="236"/>
        <v>3.3421325000000001E-4</v>
      </c>
      <c r="J244">
        <f t="shared" si="237"/>
        <v>5.5676800000000002E-4</v>
      </c>
      <c r="K244">
        <f t="shared" si="238"/>
        <v>3.764348</v>
      </c>
      <c r="L244">
        <f>(0.05*(1-0.05)+0.05*(1-0.05))*F66+0.05*0.05*J66+(1-0.05*(1-0.05)-0.05*(1-0.05)-0.05*0.05)*B66</f>
        <v>4.6284250000000005E-4</v>
      </c>
      <c r="M244">
        <f>M66+I66+E66</f>
        <v>6.8339470000000002</v>
      </c>
      <c r="O244" s="20"/>
      <c r="P244" s="21"/>
      <c r="Q244" t="s">
        <v>37</v>
      </c>
      <c r="R244">
        <f t="shared" si="239"/>
        <v>3.3415000000000007E-4</v>
      </c>
      <c r="S244">
        <f t="shared" si="240"/>
        <v>5.6553000000000007E-4</v>
      </c>
      <c r="U244">
        <f t="shared" si="241"/>
        <v>3.4279300000000004E-4</v>
      </c>
      <c r="V244">
        <f t="shared" si="242"/>
        <v>5.613520000000001E-4</v>
      </c>
      <c r="X244">
        <f>(0.1*0.9+0.1*0.9)*F66+0.1*0.1*J66+(1-0.1*0.9-0.1*0.9-0.1*0.1)*B66</f>
        <v>4.6839000000000006E-4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3.4292000000000003E-4</v>
      </c>
      <c r="G250">
        <f t="shared" si="244"/>
        <v>5.7950000000000005E-4</v>
      </c>
      <c r="I250">
        <f t="shared" si="245"/>
        <v>3.5925200000000001E-4</v>
      </c>
      <c r="J250">
        <f t="shared" si="246"/>
        <v>5.7026799999999997E-4</v>
      </c>
      <c r="L250">
        <f>(0.2*0.8+0.2*0.8)*F66+0.2*0.2*J66+(1-0.2*0.8-0.2*0.8-0.2*0.2)*B66</f>
        <v>4.795E-4</v>
      </c>
      <c r="O250" s="20"/>
      <c r="P250" s="21"/>
      <c r="Q250" t="s">
        <v>37</v>
      </c>
      <c r="R250">
        <f t="shared" si="247"/>
        <v>3.5170999999999998E-4</v>
      </c>
      <c r="S250">
        <f t="shared" si="248"/>
        <v>5.9341000000000016E-4</v>
      </c>
      <c r="U250">
        <f t="shared" si="249"/>
        <v>3.7477700000000002E-4</v>
      </c>
      <c r="V250">
        <f t="shared" si="250"/>
        <v>5.7884800000000008E-4</v>
      </c>
      <c r="X250">
        <f>(0.3*0.7+0.3*0.7)*F66+0.3*0.3*J66+(1-0.3*0.7-0.3*0.7-0.3*0.3)*B66</f>
        <v>4.9063000000000004E-4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3.3196226249999997E-4</v>
      </c>
      <c r="G257">
        <f t="shared" si="252"/>
        <v>5.6202251249999992E-4</v>
      </c>
      <c r="H257">
        <f t="shared" si="253"/>
        <v>4.2210890000000001</v>
      </c>
      <c r="I257">
        <f t="shared" si="254"/>
        <v>3.3845106249999994E-4</v>
      </c>
      <c r="J257">
        <f t="shared" si="255"/>
        <v>5.5904651250000001E-4</v>
      </c>
      <c r="K257">
        <f t="shared" si="256"/>
        <v>4.8943820000000002</v>
      </c>
      <c r="L257">
        <f>3*0.05*(1-0.05)*(1-0.05)*F66+3*0.05*0.05*(1-0.05)*J66+0.05*0.05*0.05*N66+(1-3*0.05*(1-0.05)*(1-0.05)-3*0.05*0.05*(1-0.05)-0.05*0.05*0.05)*B66</f>
        <v>4.6561759999999997E-4</v>
      </c>
      <c r="M257">
        <f>Q66+M66+I66+E66</f>
        <v>9.0726270000000007</v>
      </c>
      <c r="N257" s="24"/>
      <c r="O257" s="20"/>
      <c r="P257" s="21"/>
      <c r="Q257" t="s">
        <v>37</v>
      </c>
      <c r="R257">
        <f t="shared" si="257"/>
        <v>3.3853810000000002E-4</v>
      </c>
      <c r="S257">
        <f t="shared" si="258"/>
        <v>5.7250010000000002E-4</v>
      </c>
      <c r="U257">
        <f t="shared" si="259"/>
        <v>3.5083949999999999E-4</v>
      </c>
      <c r="V257">
        <f t="shared" si="260"/>
        <v>5.6578610000000001E-4</v>
      </c>
      <c r="X257">
        <f>3*0.1*(1-0.1)*(1-0.1)*F66+3*0.1*0.1*(1-0.1)*J66+0.1*0.1*0.1*N66+(1-3*0.1*(1-0.1)*(1-0.1)-3*0.1*0.1*(1-0.1)-0.1*0.1*0.1)*B66</f>
        <v>4.7395079999999995E-4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3.5172480000000004E-4</v>
      </c>
      <c r="G263">
        <f t="shared" si="262"/>
        <v>5.9332079999999999E-4</v>
      </c>
      <c r="I263">
        <f t="shared" si="263"/>
        <v>3.7377999999999999E-4</v>
      </c>
      <c r="J263">
        <f t="shared" si="264"/>
        <v>5.7882479999999997E-4</v>
      </c>
      <c r="L263">
        <f>3*0.2*(1-0.2)*(1-0.2)*F66+3*0.2*0.2*(1-0.2)*J66+0.2*0.2*0.2*N66+(1-3*0.2*(1-0.2)*(1-0.2)-3*0.2*0.2*(1-0.2)-0.2*0.2*0.2)*B66</f>
        <v>4.9066639999999998E-4</v>
      </c>
      <c r="N263" s="24"/>
      <c r="O263" s="20"/>
      <c r="P263" s="21"/>
      <c r="Q263" t="s">
        <v>37</v>
      </c>
      <c r="R263">
        <f t="shared" si="265"/>
        <v>3.649487E-4</v>
      </c>
      <c r="S263">
        <f t="shared" si="266"/>
        <v>6.1396270000000004E-4</v>
      </c>
      <c r="U263">
        <f t="shared" si="267"/>
        <v>3.945245E-4</v>
      </c>
      <c r="V263">
        <f t="shared" si="268"/>
        <v>5.9157670000000004E-4</v>
      </c>
      <c r="X263">
        <f>3*0.3*(1-0.3)*(1-0.3)*F66+3*0.3*0.3*(1-0.3)*J66+0.3*0.3*0.3*N66+(1-3*0.3*(1-0.3)*(1-0.3)-3*0.3*0.3*(1-0.3)-0.3*0.3*0.3)*B66</f>
        <v>5.0745160000000001E-4</v>
      </c>
    </row>
  </sheetData>
  <mergeCells count="357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B46:D46"/>
    <mergeCell ref="F46:H46"/>
    <mergeCell ref="J46:L46"/>
    <mergeCell ref="N46:P46"/>
    <mergeCell ref="T46:V46"/>
    <mergeCell ref="X46:Z46"/>
    <mergeCell ref="AB46:AD46"/>
    <mergeCell ref="AF46:AH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T25:V25"/>
    <mergeCell ref="X25:Z25"/>
    <mergeCell ref="AB25:AD25"/>
    <mergeCell ref="AF25:AH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263"/>
  <sheetViews>
    <sheetView zoomScale="40" zoomScaleNormal="40" workbookViewId="0">
      <selection activeCell="T39" sqref="T39:AI40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D7" s="2"/>
      <c r="H7" s="2"/>
      <c r="L7" s="2"/>
      <c r="S7" s="1" t="s">
        <v>7</v>
      </c>
      <c r="V7" s="2"/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116</v>
      </c>
      <c r="C9" s="16"/>
      <c r="D9" s="16"/>
      <c r="E9" s="16"/>
      <c r="F9" s="16" t="s">
        <v>117</v>
      </c>
      <c r="G9" s="16"/>
      <c r="H9" s="16"/>
      <c r="I9" s="16"/>
      <c r="J9" s="16" t="s">
        <v>118</v>
      </c>
      <c r="K9" s="16"/>
      <c r="L9" s="16"/>
      <c r="M9" s="16"/>
      <c r="N9" s="16" t="s">
        <v>119</v>
      </c>
      <c r="O9" s="16"/>
      <c r="P9" s="16"/>
      <c r="Q9" s="16"/>
      <c r="S9" s="22" t="s">
        <v>12</v>
      </c>
      <c r="T9" s="16" t="s">
        <v>116</v>
      </c>
      <c r="U9" s="16"/>
      <c r="V9" s="16"/>
      <c r="W9" s="16"/>
      <c r="X9" s="16" t="s">
        <v>117</v>
      </c>
      <c r="Y9" s="16"/>
      <c r="Z9" s="16"/>
      <c r="AA9" s="16"/>
      <c r="AB9" s="16" t="s">
        <v>118</v>
      </c>
      <c r="AC9" s="16"/>
      <c r="AD9" s="16"/>
      <c r="AE9" s="16"/>
      <c r="AF9" s="16" t="s">
        <v>119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2">
        <v>9.6849999999999996E-4</v>
      </c>
      <c r="D13" s="2">
        <v>9.6849999999999996E-4</v>
      </c>
      <c r="E13">
        <v>1.2312799999999999</v>
      </c>
      <c r="F13" t="s">
        <v>22</v>
      </c>
      <c r="G13" s="2">
        <v>1.1000000000000001E-3</v>
      </c>
      <c r="H13" s="2">
        <v>1.1000000000000001E-3</v>
      </c>
      <c r="I13">
        <v>1.1470389999999999</v>
      </c>
      <c r="J13" t="s">
        <v>22</v>
      </c>
      <c r="K13">
        <v>1.1999999999999999E-3</v>
      </c>
      <c r="L13">
        <v>1.1999999999999999E-3</v>
      </c>
      <c r="M13">
        <v>1.084441</v>
      </c>
      <c r="N13" t="s">
        <v>22</v>
      </c>
      <c r="O13">
        <v>1.2999999999999999E-3</v>
      </c>
      <c r="P13">
        <v>1.2999999999999999E-3</v>
      </c>
      <c r="Q13">
        <v>1.076392</v>
      </c>
      <c r="S13" s="22"/>
      <c r="T13" t="s">
        <v>22</v>
      </c>
      <c r="U13" s="2">
        <v>9.5410000000000004E-4</v>
      </c>
      <c r="V13" s="2">
        <v>9.546E-4</v>
      </c>
      <c r="W13">
        <v>1.2077009999999999</v>
      </c>
      <c r="X13" t="s">
        <v>22</v>
      </c>
      <c r="Y13">
        <v>1.1000000000000001E-3</v>
      </c>
      <c r="Z13">
        <v>1.1000000000000001E-3</v>
      </c>
      <c r="AA13">
        <v>0.97382400000000002</v>
      </c>
      <c r="AB13" t="s">
        <v>22</v>
      </c>
      <c r="AC13">
        <v>1.1999999999999999E-3</v>
      </c>
      <c r="AD13">
        <v>1.1999999999999999E-3</v>
      </c>
      <c r="AE13">
        <v>0.99484799999999995</v>
      </c>
      <c r="AF13" t="s">
        <v>22</v>
      </c>
      <c r="AG13">
        <v>1.2999999999999999E-3</v>
      </c>
      <c r="AH13">
        <v>1.2999999999999999E-3</v>
      </c>
      <c r="AI13">
        <v>1.1892309999999999</v>
      </c>
    </row>
    <row r="16" spans="1:35" x14ac:dyDescent="0.25">
      <c r="A16" s="18" t="s">
        <v>23</v>
      </c>
      <c r="B16" s="16" t="s">
        <v>116</v>
      </c>
      <c r="C16" s="16"/>
      <c r="D16" s="16"/>
      <c r="E16" s="16"/>
      <c r="F16" s="16" t="s">
        <v>117</v>
      </c>
      <c r="G16" s="16"/>
      <c r="H16" s="16"/>
      <c r="I16" s="16"/>
      <c r="J16" s="16" t="s">
        <v>118</v>
      </c>
      <c r="K16" s="16"/>
      <c r="L16" s="16"/>
      <c r="M16" s="16"/>
      <c r="N16" s="16" t="s">
        <v>119</v>
      </c>
      <c r="O16" s="16"/>
      <c r="P16" s="16"/>
      <c r="Q16" s="16"/>
      <c r="S16" s="18" t="s">
        <v>23</v>
      </c>
      <c r="T16" s="16" t="s">
        <v>116</v>
      </c>
      <c r="U16" s="16"/>
      <c r="V16" s="16"/>
      <c r="W16" s="16"/>
      <c r="X16" s="16" t="s">
        <v>117</v>
      </c>
      <c r="Y16" s="16"/>
      <c r="Z16" s="16"/>
      <c r="AA16" s="16"/>
      <c r="AB16" s="16" t="s">
        <v>118</v>
      </c>
      <c r="AC16" s="16"/>
      <c r="AD16" s="16"/>
      <c r="AE16" s="16"/>
      <c r="AF16" s="16" t="s">
        <v>119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 s="2">
        <v>9.6849999999999996E-4</v>
      </c>
      <c r="D20" s="2">
        <v>9.6849999999999996E-4</v>
      </c>
      <c r="E20">
        <v>1.1949050000000001</v>
      </c>
      <c r="F20" t="s">
        <v>22</v>
      </c>
      <c r="G20" s="2">
        <v>1.1000000000000001E-3</v>
      </c>
      <c r="H20" s="2">
        <v>1.1000000000000001E-3</v>
      </c>
      <c r="I20">
        <v>1.1713279999999999</v>
      </c>
      <c r="J20" t="s">
        <v>22</v>
      </c>
      <c r="K20">
        <v>1.1999999999999999E-3</v>
      </c>
      <c r="L20">
        <v>1.1999999999999999E-3</v>
      </c>
      <c r="M20">
        <v>1.16482</v>
      </c>
      <c r="N20" t="s">
        <v>22</v>
      </c>
      <c r="O20">
        <v>1.2999999999999999E-3</v>
      </c>
      <c r="P20">
        <v>1.2999999999999999E-3</v>
      </c>
      <c r="Q20">
        <v>1.13826</v>
      </c>
      <c r="S20" s="18"/>
      <c r="T20" t="s">
        <v>22</v>
      </c>
      <c r="U20" s="2">
        <v>9.5399999999999999E-4</v>
      </c>
      <c r="V20" s="2">
        <v>9.7019999999999995E-4</v>
      </c>
      <c r="W20">
        <v>1.189581</v>
      </c>
      <c r="X20" t="s">
        <v>22</v>
      </c>
      <c r="Y20">
        <v>1.1000000000000001E-3</v>
      </c>
      <c r="Z20">
        <v>1.1000000000000001E-3</v>
      </c>
      <c r="AA20">
        <v>0.99251</v>
      </c>
      <c r="AB20" t="s">
        <v>22</v>
      </c>
      <c r="AC20">
        <v>1.1999999999999999E-3</v>
      </c>
      <c r="AD20">
        <v>1.1999999999999999E-3</v>
      </c>
      <c r="AE20">
        <v>0.97046399999999999</v>
      </c>
      <c r="AF20" t="s">
        <v>22</v>
      </c>
      <c r="AG20">
        <v>1.2999999999999999E-3</v>
      </c>
      <c r="AH20">
        <v>1.2999999999999999E-3</v>
      </c>
      <c r="AI20">
        <v>1.0060370000000001</v>
      </c>
    </row>
    <row r="23" spans="1:35" x14ac:dyDescent="0.25">
      <c r="A23" s="23" t="s">
        <v>24</v>
      </c>
      <c r="B23" s="16" t="s">
        <v>116</v>
      </c>
      <c r="C23" s="16"/>
      <c r="D23" s="16"/>
      <c r="E23" s="16"/>
      <c r="F23" s="16" t="s">
        <v>117</v>
      </c>
      <c r="G23" s="16"/>
      <c r="H23" s="16"/>
      <c r="I23" s="16"/>
      <c r="J23" s="16" t="s">
        <v>118</v>
      </c>
      <c r="K23" s="16"/>
      <c r="L23" s="16"/>
      <c r="M23" s="16"/>
      <c r="N23" s="16" t="s">
        <v>119</v>
      </c>
      <c r="O23" s="16"/>
      <c r="P23" s="16"/>
      <c r="Q23" s="16"/>
      <c r="S23" s="23" t="s">
        <v>24</v>
      </c>
      <c r="T23" s="16" t="s">
        <v>116</v>
      </c>
      <c r="U23" s="16"/>
      <c r="V23" s="16"/>
      <c r="W23" s="16"/>
      <c r="X23" s="16" t="s">
        <v>117</v>
      </c>
      <c r="Y23" s="16"/>
      <c r="Z23" s="16"/>
      <c r="AA23" s="16"/>
      <c r="AB23" s="16" t="s">
        <v>118</v>
      </c>
      <c r="AC23" s="16"/>
      <c r="AD23" s="16"/>
      <c r="AE23" s="16"/>
      <c r="AF23" s="16" t="s">
        <v>119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2">
        <v>9.7249999999999995E-4</v>
      </c>
      <c r="E25">
        <v>2.1189710000000002</v>
      </c>
      <c r="F25">
        <v>1.1000000000000001E-3</v>
      </c>
      <c r="I25">
        <v>2.3728359999999999</v>
      </c>
      <c r="J25">
        <v>1.1999999999999999E-3</v>
      </c>
      <c r="M25">
        <v>2.3524250000000002</v>
      </c>
      <c r="N25" s="6">
        <v>1.2999999999999999E-3</v>
      </c>
      <c r="O25" s="6"/>
      <c r="P25" s="6"/>
      <c r="Q25">
        <v>2.3826610000000001</v>
      </c>
      <c r="S25" s="23"/>
      <c r="T25" s="26">
        <v>9.5390000000000004E-4</v>
      </c>
      <c r="U25" s="16"/>
      <c r="V25" s="16"/>
      <c r="W25">
        <v>2.2787890000000002</v>
      </c>
      <c r="X25" s="16">
        <v>1.1000000000000001E-3</v>
      </c>
      <c r="Y25" s="16"/>
      <c r="Z25" s="16"/>
      <c r="AA25">
        <v>2.1273710000000001</v>
      </c>
      <c r="AB25" s="16">
        <v>1.1999999999999999E-3</v>
      </c>
      <c r="AC25" s="16"/>
      <c r="AD25" s="16"/>
      <c r="AE25">
        <v>2.433678</v>
      </c>
      <c r="AF25" s="6">
        <v>1.2999999999999999E-3</v>
      </c>
      <c r="AG25" s="6"/>
      <c r="AH25" s="6"/>
      <c r="AI25">
        <v>2.2161810000000002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116</v>
      </c>
      <c r="C30" s="16"/>
      <c r="D30" s="16"/>
      <c r="E30" s="16"/>
      <c r="F30" s="16" t="s">
        <v>117</v>
      </c>
      <c r="G30" s="16"/>
      <c r="H30" s="16"/>
      <c r="I30" s="16"/>
      <c r="J30" s="16" t="s">
        <v>118</v>
      </c>
      <c r="K30" s="16"/>
      <c r="L30" s="16"/>
      <c r="M30" s="16"/>
      <c r="N30" s="16" t="s">
        <v>119</v>
      </c>
      <c r="O30" s="16"/>
      <c r="P30" s="16"/>
      <c r="Q30" s="16"/>
      <c r="S30" s="22" t="s">
        <v>12</v>
      </c>
      <c r="T30" s="16" t="s">
        <v>116</v>
      </c>
      <c r="U30" s="16"/>
      <c r="V30" s="16"/>
      <c r="W30" s="16"/>
      <c r="X30" s="16" t="s">
        <v>117</v>
      </c>
      <c r="Y30" s="16"/>
      <c r="Z30" s="16"/>
      <c r="AA30" s="16"/>
      <c r="AB30" s="16" t="s">
        <v>118</v>
      </c>
      <c r="AC30" s="16"/>
      <c r="AD30" s="16"/>
      <c r="AE30" s="16"/>
      <c r="AF30" s="16" t="s">
        <v>119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 s="2">
        <v>8.855E-4</v>
      </c>
      <c r="D34" s="2">
        <v>9.0109999999999995E-4</v>
      </c>
      <c r="E34">
        <v>1.1910860000000001</v>
      </c>
      <c r="F34" t="s">
        <v>22</v>
      </c>
      <c r="G34">
        <v>1E-3</v>
      </c>
      <c r="H34">
        <v>1E-3</v>
      </c>
      <c r="I34">
        <v>1.19221</v>
      </c>
      <c r="J34" t="s">
        <v>22</v>
      </c>
      <c r="K34">
        <v>1.1000000000000001E-3</v>
      </c>
      <c r="L34">
        <v>1.1000000000000001E-3</v>
      </c>
      <c r="M34">
        <v>0.99182800000000004</v>
      </c>
      <c r="N34" t="s">
        <v>22</v>
      </c>
      <c r="O34">
        <v>1.1999999999999999E-3</v>
      </c>
      <c r="P34">
        <v>1.1999999999999999E-3</v>
      </c>
      <c r="Q34">
        <v>0.99202000000000001</v>
      </c>
      <c r="S34" s="22"/>
      <c r="T34" t="s">
        <v>22</v>
      </c>
      <c r="U34" s="2">
        <v>6.7170000000000001E-4</v>
      </c>
      <c r="V34" s="2">
        <v>7.785E-4</v>
      </c>
      <c r="W34">
        <v>0.96883900000000001</v>
      </c>
      <c r="X34" t="s">
        <v>22</v>
      </c>
      <c r="Y34" s="2">
        <v>7.5920000000000002E-4</v>
      </c>
      <c r="Z34" s="2">
        <v>8.788E-4</v>
      </c>
      <c r="AA34">
        <v>1.18841</v>
      </c>
      <c r="AB34" t="s">
        <v>22</v>
      </c>
      <c r="AC34" s="2">
        <v>8.4440000000000003E-4</v>
      </c>
      <c r="AD34" s="2">
        <v>9.7740000000000001E-4</v>
      </c>
      <c r="AE34">
        <v>1.0121560000000001</v>
      </c>
      <c r="AF34" t="s">
        <v>22</v>
      </c>
      <c r="AG34">
        <v>8.9999999999999998E-4</v>
      </c>
      <c r="AH34">
        <v>1.0999999999999999E-2</v>
      </c>
      <c r="AI34">
        <v>0.97972400000000004</v>
      </c>
    </row>
    <row r="37" spans="1:35" x14ac:dyDescent="0.25">
      <c r="A37" s="18" t="s">
        <v>23</v>
      </c>
      <c r="B37" s="16" t="s">
        <v>116</v>
      </c>
      <c r="C37" s="16"/>
      <c r="D37" s="16"/>
      <c r="E37" s="16"/>
      <c r="F37" s="16" t="s">
        <v>117</v>
      </c>
      <c r="G37" s="16"/>
      <c r="H37" s="16"/>
      <c r="I37" s="16"/>
      <c r="J37" s="16" t="s">
        <v>118</v>
      </c>
      <c r="K37" s="16"/>
      <c r="L37" s="16"/>
      <c r="M37" s="16"/>
      <c r="N37" s="16" t="s">
        <v>119</v>
      </c>
      <c r="O37" s="16"/>
      <c r="P37" s="16"/>
      <c r="Q37" s="16"/>
      <c r="S37" s="18" t="s">
        <v>23</v>
      </c>
      <c r="T37" s="16" t="s">
        <v>116</v>
      </c>
      <c r="U37" s="16"/>
      <c r="V37" s="16"/>
      <c r="W37" s="16"/>
      <c r="X37" s="16" t="s">
        <v>117</v>
      </c>
      <c r="Y37" s="16"/>
      <c r="Z37" s="16"/>
      <c r="AA37" s="16"/>
      <c r="AB37" s="16" t="s">
        <v>118</v>
      </c>
      <c r="AC37" s="16"/>
      <c r="AD37" s="16"/>
      <c r="AE37" s="16"/>
      <c r="AF37" s="16" t="s">
        <v>119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 s="2">
        <v>8.8540000000000005E-4</v>
      </c>
      <c r="D41" s="2">
        <v>9.0410000000000002E-4</v>
      </c>
      <c r="E41">
        <v>1.019749</v>
      </c>
      <c r="F41" t="s">
        <v>22</v>
      </c>
      <c r="G41">
        <v>1E-3</v>
      </c>
      <c r="H41">
        <v>1E-3</v>
      </c>
      <c r="I41">
        <v>1.015306</v>
      </c>
      <c r="J41" t="s">
        <v>22</v>
      </c>
      <c r="K41">
        <v>1.1000000000000001E-3</v>
      </c>
      <c r="L41">
        <v>1.1000000000000001E-3</v>
      </c>
      <c r="M41">
        <v>1.1954819999999999</v>
      </c>
      <c r="N41" t="s">
        <v>22</v>
      </c>
      <c r="O41">
        <v>1.1999999999999999E-3</v>
      </c>
      <c r="P41">
        <v>1.1999999999999999E-3</v>
      </c>
      <c r="Q41">
        <v>1.010721</v>
      </c>
      <c r="S41" s="18"/>
      <c r="T41" t="s">
        <v>22</v>
      </c>
      <c r="U41" s="2">
        <v>6.7170000000000001E-4</v>
      </c>
      <c r="V41" s="2">
        <v>7.785E-4</v>
      </c>
      <c r="W41">
        <v>1.019549</v>
      </c>
      <c r="X41" t="s">
        <v>22</v>
      </c>
      <c r="Y41" s="2">
        <v>7.785E-4</v>
      </c>
      <c r="Z41" s="2">
        <v>8.7540000000000003E-4</v>
      </c>
      <c r="AA41">
        <v>1.2276050000000001</v>
      </c>
      <c r="AB41" t="s">
        <v>22</v>
      </c>
      <c r="AC41" s="2">
        <v>8.6169999999999997E-4</v>
      </c>
      <c r="AD41" s="2">
        <v>9.745E-4</v>
      </c>
      <c r="AE41">
        <v>1.204917</v>
      </c>
      <c r="AF41" t="s">
        <v>22</v>
      </c>
      <c r="AG41">
        <v>8.9999999999999998E-4</v>
      </c>
      <c r="AH41">
        <v>1.1000000000000001E-3</v>
      </c>
      <c r="AI41">
        <v>1.2043429999999999</v>
      </c>
    </row>
    <row r="44" spans="1:35" x14ac:dyDescent="0.25">
      <c r="A44" s="23" t="s">
        <v>24</v>
      </c>
      <c r="B44" s="16" t="s">
        <v>116</v>
      </c>
      <c r="C44" s="16"/>
      <c r="D44" s="16"/>
      <c r="E44" s="16"/>
      <c r="F44" s="16" t="s">
        <v>117</v>
      </c>
      <c r="G44" s="16"/>
      <c r="H44" s="16"/>
      <c r="I44" s="16"/>
      <c r="J44" s="16" t="s">
        <v>118</v>
      </c>
      <c r="K44" s="16"/>
      <c r="L44" s="16"/>
      <c r="M44" s="16"/>
      <c r="N44" s="16" t="s">
        <v>119</v>
      </c>
      <c r="O44" s="16"/>
      <c r="P44" s="16"/>
      <c r="Q44" s="16"/>
      <c r="S44" s="23" t="s">
        <v>24</v>
      </c>
      <c r="T44" s="16" t="s">
        <v>116</v>
      </c>
      <c r="U44" s="16"/>
      <c r="V44" s="16"/>
      <c r="W44" s="16"/>
      <c r="X44" s="16" t="s">
        <v>117</v>
      </c>
      <c r="Y44" s="16"/>
      <c r="Z44" s="16"/>
      <c r="AA44" s="16"/>
      <c r="AB44" s="16" t="s">
        <v>118</v>
      </c>
      <c r="AC44" s="16"/>
      <c r="AD44" s="16"/>
      <c r="AE44" s="16"/>
      <c r="AF44" s="16" t="s">
        <v>119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>
        <v>8.7850000000000005E-4</v>
      </c>
      <c r="E46">
        <v>2.1162589999999999</v>
      </c>
      <c r="F46">
        <v>1E-3</v>
      </c>
      <c r="I46">
        <v>2.3973149999999999</v>
      </c>
      <c r="J46">
        <v>1.1000000000000001E-3</v>
      </c>
      <c r="M46">
        <v>2.0763720000000001</v>
      </c>
      <c r="N46" s="16">
        <v>1.1999999999999999E-3</v>
      </c>
      <c r="O46" s="16"/>
      <c r="P46" s="16"/>
      <c r="Q46">
        <v>2.3828360000000002</v>
      </c>
      <c r="S46" s="23"/>
      <c r="T46" s="3">
        <v>7.4160000000000003E-4</v>
      </c>
      <c r="U46" s="3"/>
      <c r="V46" s="3"/>
      <c r="W46">
        <v>2.0992790000000001</v>
      </c>
      <c r="X46" s="3">
        <v>8.386E-4</v>
      </c>
      <c r="Y46" s="3"/>
      <c r="Z46" s="3"/>
      <c r="AA46">
        <v>2.0897380000000001</v>
      </c>
      <c r="AB46" s="3">
        <v>9.3210000000000005E-4</v>
      </c>
      <c r="AC46" s="3"/>
      <c r="AD46" s="3"/>
      <c r="AE46">
        <v>2.0748139999999999</v>
      </c>
      <c r="AF46" s="6">
        <v>1E-3</v>
      </c>
      <c r="AG46" s="6"/>
      <c r="AH46" s="6"/>
      <c r="AI46">
        <v>2.0853069999999998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116</v>
      </c>
      <c r="C50" s="16"/>
      <c r="D50" s="16"/>
      <c r="E50" s="16"/>
      <c r="F50" s="16" t="s">
        <v>117</v>
      </c>
      <c r="G50" s="16"/>
      <c r="H50" s="16"/>
      <c r="I50" s="16"/>
      <c r="J50" s="16" t="s">
        <v>118</v>
      </c>
      <c r="K50" s="16"/>
      <c r="L50" s="16"/>
      <c r="M50" s="16"/>
      <c r="N50" s="16" t="s">
        <v>119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3.2200000000000002E-4</v>
      </c>
      <c r="D54" s="2">
        <v>5.063E-4</v>
      </c>
      <c r="E54">
        <v>0.98298200000000002</v>
      </c>
      <c r="F54" t="s">
        <v>22</v>
      </c>
      <c r="G54" s="2">
        <v>3.6929999999999998E-4</v>
      </c>
      <c r="H54" s="2">
        <v>5.7919999999999998E-4</v>
      </c>
      <c r="I54">
        <v>0.993174</v>
      </c>
      <c r="J54" t="s">
        <v>22</v>
      </c>
      <c r="K54" s="2">
        <v>4.1810000000000003E-4</v>
      </c>
      <c r="L54" s="2">
        <v>6.4829999999999998E-4</v>
      </c>
      <c r="M54">
        <v>0.99330099999999999</v>
      </c>
      <c r="N54" t="s">
        <v>22</v>
      </c>
      <c r="O54" s="2">
        <v>4.6500000000000003E-4</v>
      </c>
      <c r="P54" s="2">
        <v>7.1389999999999995E-4</v>
      </c>
      <c r="Q54">
        <v>1.1933309999999999</v>
      </c>
    </row>
    <row r="57" spans="1:17" x14ac:dyDescent="0.25">
      <c r="A57" s="18" t="s">
        <v>23</v>
      </c>
      <c r="B57" s="16" t="s">
        <v>116</v>
      </c>
      <c r="C57" s="16"/>
      <c r="D57" s="16"/>
      <c r="E57" s="16"/>
      <c r="F57" s="16" t="s">
        <v>117</v>
      </c>
      <c r="G57" s="16"/>
      <c r="H57" s="16"/>
      <c r="I57" s="16"/>
      <c r="J57" s="16" t="s">
        <v>118</v>
      </c>
      <c r="K57" s="16"/>
      <c r="L57" s="16"/>
      <c r="M57" s="16"/>
      <c r="N57" s="16" t="s">
        <v>119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3.2200000000000002E-4</v>
      </c>
      <c r="D61" s="2">
        <v>5.0670000000000001E-4</v>
      </c>
      <c r="E61">
        <v>1.2095590000000001</v>
      </c>
      <c r="F61" t="s">
        <v>22</v>
      </c>
      <c r="G61" s="2">
        <v>4.0690000000000002E-4</v>
      </c>
      <c r="H61" s="2">
        <v>5.5949999999999999E-4</v>
      </c>
      <c r="I61">
        <v>1.197058</v>
      </c>
      <c r="J61" t="s">
        <v>22</v>
      </c>
      <c r="K61" s="2">
        <v>4.5689999999999999E-4</v>
      </c>
      <c r="L61" s="2">
        <v>5.9730000000000004E-4</v>
      </c>
      <c r="M61">
        <v>1.1993100000000001</v>
      </c>
      <c r="N61" t="s">
        <v>22</v>
      </c>
      <c r="O61" s="2">
        <v>5.0250000000000002E-4</v>
      </c>
      <c r="P61" s="2">
        <v>6.7089999999999999E-4</v>
      </c>
      <c r="Q61">
        <v>0.99682000000000004</v>
      </c>
    </row>
    <row r="64" spans="1:17" x14ac:dyDescent="0.25">
      <c r="A64" s="23" t="s">
        <v>24</v>
      </c>
      <c r="B64" s="16" t="s">
        <v>116</v>
      </c>
      <c r="C64" s="16"/>
      <c r="D64" s="16"/>
      <c r="E64" s="16"/>
      <c r="F64" s="16" t="s">
        <v>117</v>
      </c>
      <c r="G64" s="16"/>
      <c r="H64" s="16"/>
      <c r="I64" s="16"/>
      <c r="J64" s="16" t="s">
        <v>118</v>
      </c>
      <c r="K64" s="16"/>
      <c r="L64" s="16"/>
      <c r="M64" s="16"/>
      <c r="N64" s="16" t="s">
        <v>119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4.3590000000000002E-4</v>
      </c>
      <c r="C66" s="16"/>
      <c r="D66" s="16"/>
      <c r="E66">
        <v>2.0608110000000002</v>
      </c>
      <c r="F66" s="26">
        <v>4.8759999999999998E-4</v>
      </c>
      <c r="G66" s="16"/>
      <c r="H66" s="16"/>
      <c r="I66">
        <v>2.0669659999999999</v>
      </c>
      <c r="J66" s="26">
        <v>5.6680000000000001E-4</v>
      </c>
      <c r="K66" s="16"/>
      <c r="L66" s="16"/>
      <c r="M66">
        <v>2.33758</v>
      </c>
      <c r="N66" s="26">
        <v>6.1220000000000003E-4</v>
      </c>
      <c r="O66" s="16"/>
      <c r="P66" s="16"/>
      <c r="Q66">
        <v>2.0502090000000002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9.7507499999999994E-4</v>
      </c>
      <c r="G75">
        <f t="shared" si="1"/>
        <v>9.7507499999999994E-4</v>
      </c>
      <c r="H75">
        <f t="shared" si="2"/>
        <v>2.3783189999999998</v>
      </c>
      <c r="I75">
        <f t="shared" si="3"/>
        <v>9.7507499999999994E-4</v>
      </c>
      <c r="J75">
        <f t="shared" si="4"/>
        <v>9.7507499999999994E-4</v>
      </c>
      <c r="K75">
        <f t="shared" si="5"/>
        <v>2.3662330000000003</v>
      </c>
      <c r="L75">
        <f>0.05*F25+(1-0.05)*B25</f>
        <v>9.7887499999999993E-4</v>
      </c>
      <c r="M75">
        <f>I25+E25</f>
        <v>4.4918069999999997</v>
      </c>
      <c r="P75" s="21"/>
      <c r="Q75" t="s">
        <v>37</v>
      </c>
      <c r="R75">
        <f t="shared" si="6"/>
        <v>9.8164999999999993E-4</v>
      </c>
      <c r="S75">
        <f t="shared" si="7"/>
        <v>9.8164999999999993E-4</v>
      </c>
      <c r="U75">
        <f t="shared" si="8"/>
        <v>9.8164999999999993E-4</v>
      </c>
      <c r="V75">
        <f t="shared" si="9"/>
        <v>9.8164999999999993E-4</v>
      </c>
      <c r="X75">
        <f>0.1*F25+(1-0.1)*B25</f>
        <v>9.8525000000000001E-4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9.9480000000000011E-4</v>
      </c>
      <c r="G81">
        <f t="shared" si="11"/>
        <v>9.9480000000000011E-4</v>
      </c>
      <c r="I81">
        <f t="shared" si="12"/>
        <v>9.9480000000000011E-4</v>
      </c>
      <c r="J81">
        <f t="shared" si="13"/>
        <v>9.9480000000000011E-4</v>
      </c>
      <c r="L81">
        <f>0.2*F25+(1-0.2)*B25</f>
        <v>9.9800000000000019E-4</v>
      </c>
      <c r="P81" s="21"/>
      <c r="Q81" t="s">
        <v>37</v>
      </c>
      <c r="R81">
        <f t="shared" si="14"/>
        <v>1.0079500000000001E-3</v>
      </c>
      <c r="S81">
        <f t="shared" si="15"/>
        <v>1.0079500000000001E-3</v>
      </c>
      <c r="U81">
        <f t="shared" si="16"/>
        <v>1.0079500000000001E-3</v>
      </c>
      <c r="V81">
        <f t="shared" si="17"/>
        <v>1.0079500000000001E-3</v>
      </c>
      <c r="X81">
        <f>0.3*F25+(1-0.3)*B25</f>
        <v>1.0107499999999999E-3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9.8157124999999996E-4</v>
      </c>
      <c r="G88">
        <f t="shared" si="19"/>
        <v>9.8157124999999996E-4</v>
      </c>
      <c r="H88">
        <f t="shared" si="20"/>
        <v>3.4627599999999998</v>
      </c>
      <c r="I88">
        <f t="shared" si="21"/>
        <v>9.8157124999999996E-4</v>
      </c>
      <c r="J88">
        <f t="shared" si="22"/>
        <v>9.8157124999999996E-4</v>
      </c>
      <c r="K88">
        <f t="shared" si="23"/>
        <v>3.531053</v>
      </c>
      <c r="L88">
        <f>(0.05*(1-0.05)+0.05*(1-0.05))*F25+0.05*0.05*J25+(1-0.05*(1-0.05)-0.05*(1-0.05)-0.05*0.05)*B25</f>
        <v>9.8518124999999999E-4</v>
      </c>
      <c r="M88">
        <f>M25+I25+E25</f>
        <v>6.8442319999999999</v>
      </c>
      <c r="O88" s="20"/>
      <c r="P88" s="21"/>
      <c r="Q88" t="s">
        <v>37</v>
      </c>
      <c r="R88">
        <f t="shared" si="24"/>
        <v>9.9448500000000003E-4</v>
      </c>
      <c r="S88">
        <f t="shared" si="25"/>
        <v>9.9448500000000003E-4</v>
      </c>
      <c r="U88">
        <f t="shared" si="26"/>
        <v>9.9448500000000003E-4</v>
      </c>
      <c r="V88">
        <f t="shared" si="27"/>
        <v>9.9448500000000003E-4</v>
      </c>
      <c r="X88">
        <f>(0.1*0.9+0.1*0.9)*F25+0.1*0.1*J25+(1-0.1*0.9-0.1*0.9-0.1*0.1)*B25</f>
        <v>9.9772500000000009E-4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1.0198399999999999E-3</v>
      </c>
      <c r="G94">
        <f t="shared" si="29"/>
        <v>1.0198399999999999E-3</v>
      </c>
      <c r="I94">
        <f t="shared" si="30"/>
        <v>1.0198399999999999E-3</v>
      </c>
      <c r="J94">
        <f t="shared" si="31"/>
        <v>1.0198399999999999E-3</v>
      </c>
      <c r="L94">
        <f>(0.2*0.8+0.2*0.8)*F25+0.2*0.2*J25+(1-0.2*0.8-0.2*0.8-0.2*0.2)*B25</f>
        <v>1.0223999999999999E-3</v>
      </c>
      <c r="O94" s="20"/>
      <c r="P94" s="21"/>
      <c r="Q94" t="s">
        <v>37</v>
      </c>
      <c r="R94">
        <f t="shared" si="32"/>
        <v>1.0445650000000001E-3</v>
      </c>
      <c r="S94">
        <f t="shared" si="33"/>
        <v>1.0445650000000001E-3</v>
      </c>
      <c r="U94">
        <f t="shared" si="34"/>
        <v>1.0445650000000001E-3</v>
      </c>
      <c r="V94">
        <f t="shared" si="35"/>
        <v>1.0445650000000001E-3</v>
      </c>
      <c r="X94">
        <f>(0.3*0.7+0.3*0.7)*F25+0.3*0.3*J25+(1-0.3*0.7-0.3*0.7-0.3*0.3)*B25</f>
        <v>1.046525E-3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9.8799268749999989E-4</v>
      </c>
      <c r="G101">
        <f t="shared" si="37"/>
        <v>9.8799268749999989E-4</v>
      </c>
      <c r="H101">
        <f t="shared" si="38"/>
        <v>4.5391519999999996</v>
      </c>
      <c r="I101">
        <f t="shared" si="39"/>
        <v>9.8799268749999989E-4</v>
      </c>
      <c r="J101">
        <f t="shared" si="40"/>
        <v>9.8799268749999989E-4</v>
      </c>
      <c r="K101">
        <f t="shared" si="41"/>
        <v>4.6693129999999998</v>
      </c>
      <c r="L101">
        <f>3*0.05*(1-0.05)*(1-0.05)*F25+3*0.05*0.05*(1-0.05)*J25+0.05*0.05*0.05*N25+(1-3*0.05*(1-0.05)*(1-0.05)-3*0.05*0.05*(1-0.05)-0.05*0.05*0.05)*B25</f>
        <v>9.9142218749999995E-4</v>
      </c>
      <c r="M101">
        <f>Q25+M25+I25+E25</f>
        <v>9.2268930000000005</v>
      </c>
      <c r="N101" s="24"/>
      <c r="O101" s="20"/>
      <c r="P101" s="21"/>
      <c r="Q101" t="s">
        <v>37</v>
      </c>
      <c r="R101">
        <f t="shared" si="42"/>
        <v>1.0070365E-3</v>
      </c>
      <c r="S101">
        <f t="shared" si="43"/>
        <v>1.0070365E-3</v>
      </c>
      <c r="U101">
        <f t="shared" si="44"/>
        <v>1.0070365E-3</v>
      </c>
      <c r="V101">
        <f t="shared" si="45"/>
        <v>1.0070365E-3</v>
      </c>
      <c r="X101">
        <f>3*0.1*(1-0.1)*(1-0.1)*F25+3*0.1*0.1*(1-0.1)*J25+0.1*0.1*0.1*N25+(1-3*0.1*(1-0.1)*(1-0.1)-3*0.1*0.1*(1-0.1)-0.1*0.1*0.1)*B25</f>
        <v>1.0099524999999999E-3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1.0438719999999999E-3</v>
      </c>
      <c r="G107">
        <f t="shared" si="47"/>
        <v>1.0438719999999999E-3</v>
      </c>
      <c r="I107">
        <f t="shared" si="48"/>
        <v>1.0438719999999999E-3</v>
      </c>
      <c r="J107">
        <f t="shared" si="49"/>
        <v>1.0438719999999999E-3</v>
      </c>
      <c r="L107">
        <f>3*0.2*(1-0.2)*(1-0.2)*F25+3*0.2*0.2*(1-0.2)*J25+0.2*0.2*0.2*N25+(1-3*0.2*(1-0.2)*(1-0.2)-3*0.2*0.2*(1-0.2)-0.2*0.2*0.2)*B25</f>
        <v>1.0459200000000001E-3</v>
      </c>
      <c r="N107" s="24"/>
      <c r="O107" s="20"/>
      <c r="P107" s="21"/>
      <c r="Q107" t="s">
        <v>37</v>
      </c>
      <c r="R107">
        <f t="shared" si="50"/>
        <v>1.0791955000000002E-3</v>
      </c>
      <c r="S107">
        <f t="shared" si="51"/>
        <v>1.0791955000000002E-3</v>
      </c>
      <c r="U107">
        <f t="shared" si="52"/>
        <v>1.0791955000000002E-3</v>
      </c>
      <c r="V107">
        <f t="shared" si="53"/>
        <v>1.0791955000000002E-3</v>
      </c>
      <c r="X107">
        <f>3*0.3*(1-0.3)*(1-0.3)*F25+3*0.3*0.3*(1-0.3)*J25+0.3*0.3*0.3*N25+(1-3*0.3*(1-0.3)*(1-0.3)-3*0.3*0.3*(1-0.3)-0.3*0.3*0.3)*B25</f>
        <v>1.0805675000000001E-3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9.6139500000000009E-4</v>
      </c>
      <c r="G114">
        <f t="shared" si="55"/>
        <v>9.6186999999999998E-4</v>
      </c>
      <c r="H114">
        <f t="shared" si="56"/>
        <v>2.1815249999999997</v>
      </c>
      <c r="I114">
        <f t="shared" si="57"/>
        <v>9.613E-4</v>
      </c>
      <c r="J114">
        <f t="shared" si="58"/>
        <v>9.7668999999999989E-4</v>
      </c>
      <c r="K114">
        <f t="shared" si="59"/>
        <v>2.1820909999999998</v>
      </c>
      <c r="L114">
        <f>0.05*X25+(1-0.05)*T25</f>
        <v>9.6120500000000002E-4</v>
      </c>
      <c r="M114">
        <f>AA25+W25</f>
        <v>4.4061599999999999</v>
      </c>
      <c r="P114" s="21"/>
      <c r="Q114" t="s">
        <v>37</v>
      </c>
      <c r="R114">
        <f t="shared" si="60"/>
        <v>9.6869000000000013E-4</v>
      </c>
      <c r="S114">
        <f t="shared" si="61"/>
        <v>9.6914000000000006E-4</v>
      </c>
      <c r="U114">
        <f t="shared" si="62"/>
        <v>9.6860000000000002E-4</v>
      </c>
      <c r="V114">
        <f t="shared" si="63"/>
        <v>9.8317999999999995E-4</v>
      </c>
      <c r="X114">
        <f>0.1*X25+(1-0.1)*T25</f>
        <v>9.6851000000000012E-4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9.8328E-4</v>
      </c>
      <c r="G120">
        <f t="shared" si="65"/>
        <v>9.8368000000000023E-4</v>
      </c>
      <c r="I120">
        <f t="shared" si="66"/>
        <v>9.8320000000000005E-4</v>
      </c>
      <c r="J120">
        <f t="shared" si="67"/>
        <v>9.9616000000000006E-4</v>
      </c>
      <c r="L120">
        <f>0.2*X25+(1-0.2)*T25</f>
        <v>9.8312000000000009E-4</v>
      </c>
      <c r="P120" s="21"/>
      <c r="Q120" t="s">
        <v>37</v>
      </c>
      <c r="R120">
        <f t="shared" si="68"/>
        <v>9.9787000000000009E-4</v>
      </c>
      <c r="S120">
        <f t="shared" si="69"/>
        <v>9.9821999999999997E-4</v>
      </c>
      <c r="U120">
        <f t="shared" si="70"/>
        <v>9.9780000000000008E-4</v>
      </c>
      <c r="V120">
        <f t="shared" si="71"/>
        <v>1.00914E-3</v>
      </c>
      <c r="X120">
        <f>0.3*X25+(1-0.3)*T25</f>
        <v>9.9773000000000006E-4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9.6857525000000003E-4</v>
      </c>
      <c r="G127">
        <f t="shared" si="73"/>
        <v>9.6902650000000017E-4</v>
      </c>
      <c r="H127">
        <f t="shared" si="74"/>
        <v>3.1763729999999999</v>
      </c>
      <c r="I127">
        <f t="shared" si="75"/>
        <v>9.6848500000000005E-4</v>
      </c>
      <c r="J127">
        <f t="shared" si="76"/>
        <v>9.8310550000000013E-4</v>
      </c>
      <c r="K127">
        <f t="shared" si="77"/>
        <v>3.152555</v>
      </c>
      <c r="L127">
        <f>(0.05*(1-0.05)+0.05*(1-0.05))*X25+0.05*0.05*AB25+(1-0.05*(1-0.05)-0.05*(1-0.05)-0.05*0.05)*T25</f>
        <v>9.6839475000000006E-4</v>
      </c>
      <c r="M127">
        <f>AE25+AA25+W25</f>
        <v>6.8398380000000003</v>
      </c>
      <c r="O127" s="20"/>
      <c r="P127" s="21"/>
      <c r="Q127" t="s">
        <v>37</v>
      </c>
      <c r="R127">
        <f t="shared" si="78"/>
        <v>9.8282100000000004E-4</v>
      </c>
      <c r="S127">
        <f t="shared" si="79"/>
        <v>9.8322600000000002E-4</v>
      </c>
      <c r="U127">
        <f t="shared" si="80"/>
        <v>9.8274000000000018E-4</v>
      </c>
      <c r="V127">
        <f t="shared" si="81"/>
        <v>9.9586200000000014E-4</v>
      </c>
      <c r="X127">
        <f>(0.1*0.9+0.1*0.9)*X25+0.1*0.1*AB25+(1-0.1*0.9-0.1*0.9-0.1*0.1)*T25</f>
        <v>9.8265900000000009E-4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1.0106240000000001E-3</v>
      </c>
      <c r="G133">
        <f t="shared" si="83"/>
        <v>1.0109439999999999E-3</v>
      </c>
      <c r="I133">
        <f t="shared" si="84"/>
        <v>1.01056E-3</v>
      </c>
      <c r="J133">
        <f t="shared" si="85"/>
        <v>1.0209279999999999E-3</v>
      </c>
      <c r="L133">
        <f>(0.2*0.8+0.2*0.8)*X25+0.2*0.2*AB25+(1-0.2*0.8-0.2*0.8-0.2*0.2)*T25</f>
        <v>1.0104960000000001E-3</v>
      </c>
      <c r="O133" s="20"/>
      <c r="P133" s="21"/>
      <c r="Q133" t="s">
        <v>37</v>
      </c>
      <c r="R133">
        <f t="shared" si="86"/>
        <v>1.037509E-3</v>
      </c>
      <c r="S133">
        <f t="shared" si="87"/>
        <v>1.0377540000000001E-3</v>
      </c>
      <c r="U133">
        <f t="shared" si="88"/>
        <v>1.03746E-3</v>
      </c>
      <c r="V133">
        <f t="shared" si="89"/>
        <v>1.0453980000000001E-3</v>
      </c>
      <c r="X133">
        <f>(0.3*0.7+0.3*0.7)*X25+0.3*0.3*AB25+(1-0.3*0.7-0.3*0.7-0.3*0.3)*T25</f>
        <v>1.037411E-3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9.7564648749999994E-4</v>
      </c>
      <c r="G140">
        <f t="shared" si="91"/>
        <v>9.7607517499999992E-4</v>
      </c>
      <c r="H140">
        <f t="shared" si="92"/>
        <v>4.3656039999999994</v>
      </c>
      <c r="I140">
        <f t="shared" si="93"/>
        <v>9.7556074999999992E-4</v>
      </c>
      <c r="J140">
        <f t="shared" si="94"/>
        <v>9.8945022499999976E-4</v>
      </c>
      <c r="K140">
        <f t="shared" si="95"/>
        <v>4.1585920000000005</v>
      </c>
      <c r="L140">
        <f>3*0.05*(1-0.05)*(1-0.05)*X25+3*0.05*0.05*(1-0.05)*AB25+0.05*0.05*0.05*AF25+(1-3*0.05*(1-0.05)*(1-0.05)-3*0.05*0.05*(1-0.05)-0.05*0.05*0.05)*T25</f>
        <v>9.754750124999999E-4</v>
      </c>
      <c r="M140">
        <f>AI25+AE25+AA25+W25</f>
        <v>9.0560190000000009</v>
      </c>
      <c r="N140" s="24"/>
      <c r="O140" s="20"/>
      <c r="P140" s="21"/>
      <c r="Q140" t="s">
        <v>37</v>
      </c>
      <c r="R140">
        <f t="shared" si="96"/>
        <v>9.9653890000000003E-4</v>
      </c>
      <c r="S140">
        <f t="shared" si="97"/>
        <v>9.9690340000000007E-4</v>
      </c>
      <c r="U140">
        <f t="shared" si="98"/>
        <v>9.9646599999999989E-4</v>
      </c>
      <c r="V140">
        <f t="shared" si="99"/>
        <v>1.0082757999999999E-3</v>
      </c>
      <c r="X140">
        <f>3*0.1*(1-0.1)*(1-0.1)*X25+3*0.1*0.1*(1-0.1)*AB25+0.1*0.1*0.1*AF25+(1-3*0.1*(1-0.1)*(1-0.1)-3*0.1*0.1*(1-0.1)-0.1*0.1*0.1)*T25</f>
        <v>9.9639309999999997E-4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1.0364992E-3</v>
      </c>
      <c r="G146">
        <f t="shared" si="101"/>
        <v>1.0367551999999999E-3</v>
      </c>
      <c r="I146">
        <f t="shared" si="102"/>
        <v>1.0364480000000001E-3</v>
      </c>
      <c r="J146">
        <f t="shared" si="103"/>
        <v>1.0447424000000001E-3</v>
      </c>
      <c r="L146">
        <f>3*0.2*(1-0.2)*(1-0.2)*X25+3*0.2*0.2*(1-0.2)*AB25+0.2*0.2*0.2*AF25+(1-3*0.2*(1-0.2)*(1-0.2)-3*0.2*0.2*(1-0.2)-0.2*0.2*0.2)*T25</f>
        <v>1.0363968E-3</v>
      </c>
      <c r="N146" s="24"/>
      <c r="O146" s="20"/>
      <c r="P146" s="21"/>
      <c r="Q146" t="s">
        <v>37</v>
      </c>
      <c r="R146">
        <f t="shared" si="104"/>
        <v>1.0742563000000001E-3</v>
      </c>
      <c r="S146">
        <f t="shared" si="105"/>
        <v>1.0744278E-3</v>
      </c>
      <c r="U146">
        <f t="shared" si="106"/>
        <v>1.0742220000000001E-3</v>
      </c>
      <c r="V146">
        <f t="shared" si="107"/>
        <v>1.0797786000000002E-3</v>
      </c>
      <c r="X146">
        <f>3*0.3*(1-0.3)*(1-0.3)*X25+3*0.3*0.3*(1-0.3)*AB25+0.3*0.3*0.3*AF25+(1-3*0.3*(1-0.3)*(1-0.3)-3*0.3*0.3*(1-0.3)-0.3*0.3*0.3)*T25</f>
        <v>1.0741877000000001E-3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8.9122499999999994E-4</v>
      </c>
      <c r="G153">
        <f t="shared" si="109"/>
        <v>9.0604499999999996E-4</v>
      </c>
      <c r="H153">
        <f t="shared" si="110"/>
        <v>2.3832960000000001</v>
      </c>
      <c r="I153">
        <f t="shared" si="111"/>
        <v>8.9113000000000007E-4</v>
      </c>
      <c r="J153">
        <f t="shared" si="112"/>
        <v>9.0889499999999995E-4</v>
      </c>
      <c r="K153">
        <f t="shared" si="113"/>
        <v>2.0350549999999998</v>
      </c>
      <c r="L153">
        <f>0.05*F46+(1-0.05)*B46</f>
        <v>8.8457500000000007E-4</v>
      </c>
      <c r="M153">
        <f>I46+E46</f>
        <v>4.5135740000000002</v>
      </c>
      <c r="P153" s="21"/>
      <c r="Q153" t="s">
        <v>37</v>
      </c>
      <c r="R153">
        <f t="shared" si="114"/>
        <v>8.9695000000000009E-4</v>
      </c>
      <c r="S153">
        <f t="shared" si="115"/>
        <v>9.1098999999999998E-4</v>
      </c>
      <c r="U153">
        <f t="shared" si="116"/>
        <v>8.9686000000000008E-4</v>
      </c>
      <c r="V153">
        <f t="shared" si="117"/>
        <v>9.136900000000001E-4</v>
      </c>
      <c r="X153">
        <f>0.1*F46+(1-0.1)*B46</f>
        <v>8.906500000000001E-4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9.0840000000000007E-4</v>
      </c>
      <c r="G159">
        <f t="shared" si="119"/>
        <v>9.2088000000000001E-4</v>
      </c>
      <c r="I159">
        <f t="shared" si="120"/>
        <v>9.0832000000000011E-4</v>
      </c>
      <c r="J159">
        <f t="shared" si="121"/>
        <v>9.2328000000000006E-4</v>
      </c>
      <c r="L159">
        <f>0.2*F46+(1-0.2)*B46</f>
        <v>9.0280000000000004E-4</v>
      </c>
      <c r="P159" s="21"/>
      <c r="Q159" t="s">
        <v>37</v>
      </c>
      <c r="R159">
        <f t="shared" si="122"/>
        <v>9.1984999999999983E-4</v>
      </c>
      <c r="S159">
        <f t="shared" si="123"/>
        <v>9.3076999999999982E-4</v>
      </c>
      <c r="U159">
        <f t="shared" si="124"/>
        <v>9.1978000000000003E-4</v>
      </c>
      <c r="V159">
        <f t="shared" si="125"/>
        <v>9.3286999999999992E-4</v>
      </c>
      <c r="X159">
        <f>0.3*F46+(1-0.3)*B46</f>
        <v>9.1494999999999988E-4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8.9691375000000009E-4</v>
      </c>
      <c r="G166">
        <f t="shared" si="127"/>
        <v>9.1099274999999994E-4</v>
      </c>
      <c r="H166">
        <f t="shared" si="128"/>
        <v>3.3751240000000005</v>
      </c>
      <c r="I166">
        <f t="shared" si="129"/>
        <v>8.968235000000001E-4</v>
      </c>
      <c r="J166">
        <f t="shared" si="130"/>
        <v>9.1370025000000001E-4</v>
      </c>
      <c r="K166">
        <f t="shared" si="131"/>
        <v>3.230537</v>
      </c>
      <c r="L166">
        <f>(0.05*(1-0.05)+0.05*(1-0.05))*F46+0.05*0.05*J46+(1-0.05*(1-0.05)-0.05*(1-0.05)-0.05*0.05)*B46</f>
        <v>8.9059625000000009E-4</v>
      </c>
      <c r="M166">
        <f>M46+I46+E46</f>
        <v>6.5899459999999994</v>
      </c>
      <c r="O166" s="20"/>
      <c r="P166" s="21"/>
      <c r="Q166" t="s">
        <v>37</v>
      </c>
      <c r="R166">
        <f t="shared" si="132"/>
        <v>9.0825500000000006E-4</v>
      </c>
      <c r="S166">
        <f t="shared" si="133"/>
        <v>9.2089099999999996E-4</v>
      </c>
      <c r="U166">
        <f t="shared" si="134"/>
        <v>9.0817400000000009E-4</v>
      </c>
      <c r="V166">
        <f t="shared" si="135"/>
        <v>9.2332100000000006E-4</v>
      </c>
      <c r="X166">
        <f>(0.1*0.9+0.1*0.9)*F46+0.1*0.1*J46+(1-0.1*0.9-0.1*0.9-0.1*0.1)*B46</f>
        <v>9.0258500000000002E-4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9.3072000000000001E-4</v>
      </c>
      <c r="G172">
        <f t="shared" si="137"/>
        <v>9.40704E-4</v>
      </c>
      <c r="I172">
        <f t="shared" si="138"/>
        <v>9.3065599999999997E-4</v>
      </c>
      <c r="J172">
        <f t="shared" si="139"/>
        <v>9.4262399999999998E-4</v>
      </c>
      <c r="L172">
        <f>(0.2*0.8+0.2*0.8)*F46+0.2*0.2*J46+(1-0.2*0.8-0.2*0.8-0.2*0.2)*B46</f>
        <v>9.2624000000000005E-4</v>
      </c>
      <c r="O172" s="20"/>
      <c r="P172" s="21"/>
      <c r="Q172" t="s">
        <v>37</v>
      </c>
      <c r="R172">
        <f t="shared" si="140"/>
        <v>9.5289500000000015E-4</v>
      </c>
      <c r="S172">
        <f t="shared" si="141"/>
        <v>9.6053900000000005E-4</v>
      </c>
      <c r="U172">
        <f t="shared" si="142"/>
        <v>9.5284600000000014E-4</v>
      </c>
      <c r="V172">
        <f t="shared" si="143"/>
        <v>9.6200900000000021E-4</v>
      </c>
      <c r="X172">
        <f>(0.3*0.7+0.3*0.7)*F46+0.3*0.3*J46+(1-0.3*0.7-0.3*0.7-0.3*0.3)*B46</f>
        <v>9.4946500000000014E-4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9.0256806249999994E-4</v>
      </c>
      <c r="G179">
        <f t="shared" si="145"/>
        <v>9.1594311249999988E-4</v>
      </c>
      <c r="H179">
        <f t="shared" si="146"/>
        <v>4.3671440000000006</v>
      </c>
      <c r="I179">
        <f t="shared" si="147"/>
        <v>9.0248232499999992E-4</v>
      </c>
      <c r="J179">
        <f t="shared" si="148"/>
        <v>9.1851523749999998E-4</v>
      </c>
      <c r="K179">
        <f t="shared" si="149"/>
        <v>4.2412580000000002</v>
      </c>
      <c r="L179">
        <f>3*0.05*(1-0.05)*(1-0.05)*F46+3*0.05*0.05*(1-0.05)*J46+0.05*0.05*0.05*N46+(1-3*0.05*(1-0.05)*(1-0.05)-3*0.05*0.05*(1-0.05)-0.05*0.05*0.05)*B46</f>
        <v>8.9656643749999999E-4</v>
      </c>
      <c r="M179">
        <f>Q46+M46+I46+E46</f>
        <v>8.9727820000000005</v>
      </c>
      <c r="N179" s="24"/>
      <c r="O179" s="20"/>
      <c r="P179" s="21"/>
      <c r="Q179" t="s">
        <v>37</v>
      </c>
      <c r="R179">
        <f t="shared" si="150"/>
        <v>9.1942949999999999E-4</v>
      </c>
      <c r="S179">
        <f t="shared" si="151"/>
        <v>9.3080189999999985E-4</v>
      </c>
      <c r="U179">
        <f t="shared" si="152"/>
        <v>9.1935660000000007E-4</v>
      </c>
      <c r="V179">
        <f t="shared" si="153"/>
        <v>9.3298889999999992E-4</v>
      </c>
      <c r="X179">
        <f>3*0.1*(1-0.1)*(1-0.1)*F46+3*0.1*0.1*(1-0.1)*J46+0.1*0.1*0.1*N46+(1-3*0.1*(1-0.1)*(1-0.1)-3*0.1*0.1*(1-0.1)-0.1*0.1*0.1)*B46</f>
        <v>9.1432649999999998E-4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9.5257600000000001E-4</v>
      </c>
      <c r="G185">
        <f t="shared" si="155"/>
        <v>9.6056320000000007E-4</v>
      </c>
      <c r="I185">
        <f t="shared" si="156"/>
        <v>9.525248E-4</v>
      </c>
      <c r="J185">
        <f t="shared" si="157"/>
        <v>9.6209919999999997E-4</v>
      </c>
      <c r="L185">
        <f>3*0.2*(1-0.2)*(1-0.2)*F46+3*0.2*0.2*(1-0.2)*J46+0.2*0.2*0.2*N46+(1-3*0.2*(1-0.2)*(1-0.2)-3*0.2*0.2*(1-0.2)-0.2*0.2*0.2)*B46</f>
        <v>9.4899200000000006E-4</v>
      </c>
      <c r="N185" s="24"/>
      <c r="O185" s="20"/>
      <c r="P185" s="21"/>
      <c r="Q185" t="s">
        <v>37</v>
      </c>
      <c r="R185">
        <f t="shared" si="158"/>
        <v>9.8502650000000013E-4</v>
      </c>
      <c r="S185">
        <f t="shared" si="159"/>
        <v>9.9037730000000007E-4</v>
      </c>
      <c r="U185">
        <f t="shared" si="160"/>
        <v>9.8499220000000014E-4</v>
      </c>
      <c r="V185">
        <f t="shared" si="161"/>
        <v>9.9140630000000012E-4</v>
      </c>
      <c r="X185">
        <f>3*0.3*(1-0.3)*(1-0.3)*F46+3*0.3*0.3*(1-0.3)*J46+0.3*0.3*0.3*N46+(1-3*0.3*(1-0.3)*(1-0.3)-3*0.3*0.3*(1-0.3)-0.3*0.3*0.3)*B46</f>
        <v>9.8262550000000016E-4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6.7607499999999994E-4</v>
      </c>
      <c r="G192">
        <f t="shared" si="163"/>
        <v>7.8351500000000004E-4</v>
      </c>
      <c r="H192">
        <f t="shared" si="164"/>
        <v>2.1572490000000002</v>
      </c>
      <c r="I192">
        <f t="shared" si="165"/>
        <v>6.7703999999999996E-4</v>
      </c>
      <c r="J192">
        <f t="shared" si="166"/>
        <v>7.8334500000000007E-4</v>
      </c>
      <c r="K192">
        <f t="shared" si="167"/>
        <v>2.2471540000000001</v>
      </c>
      <c r="L192">
        <f>0.05*X46+(1-0.05)*T46</f>
        <v>7.4645000000000006E-4</v>
      </c>
      <c r="M192">
        <f>AA46+W46</f>
        <v>4.1890169999999998</v>
      </c>
      <c r="P192" s="21"/>
      <c r="Q192" t="s">
        <v>37</v>
      </c>
      <c r="R192">
        <f t="shared" si="168"/>
        <v>6.8045000000000009E-4</v>
      </c>
      <c r="S192">
        <f t="shared" si="169"/>
        <v>7.8853000000000007E-4</v>
      </c>
      <c r="U192">
        <f t="shared" si="170"/>
        <v>6.8238000000000001E-4</v>
      </c>
      <c r="V192">
        <f t="shared" si="171"/>
        <v>7.8819000000000003E-4</v>
      </c>
      <c r="X192">
        <f>0.1*X46+(1-0.1)*T46</f>
        <v>7.513000000000001E-4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6.8920000000000006E-4</v>
      </c>
      <c r="G198">
        <f t="shared" si="173"/>
        <v>7.9856000000000003E-4</v>
      </c>
      <c r="I198">
        <f t="shared" si="174"/>
        <v>6.9306000000000012E-4</v>
      </c>
      <c r="J198">
        <f t="shared" si="175"/>
        <v>7.9788000000000005E-4</v>
      </c>
      <c r="L198">
        <f>0.2*X46+(1-0.2)*T46</f>
        <v>7.6100000000000007E-4</v>
      </c>
      <c r="P198" s="21"/>
      <c r="Q198" t="s">
        <v>37</v>
      </c>
      <c r="R198">
        <f t="shared" si="176"/>
        <v>6.9795000000000002E-4</v>
      </c>
      <c r="S198">
        <f t="shared" si="177"/>
        <v>8.0858999999999998E-4</v>
      </c>
      <c r="U198">
        <f t="shared" si="178"/>
        <v>7.0374000000000001E-4</v>
      </c>
      <c r="V198">
        <f t="shared" si="179"/>
        <v>8.0756999999999997E-4</v>
      </c>
      <c r="X198">
        <f>0.3*X46+(1-0.3)*T46</f>
        <v>7.7070000000000003E-4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6.8044425000000008E-4</v>
      </c>
      <c r="G205">
        <f t="shared" si="181"/>
        <v>7.8852575000000003E-4</v>
      </c>
      <c r="H205">
        <f t="shared" si="182"/>
        <v>3.1694050000000002</v>
      </c>
      <c r="I205">
        <f t="shared" si="183"/>
        <v>6.8232100000000006E-4</v>
      </c>
      <c r="J205">
        <f t="shared" si="184"/>
        <v>7.8819550000000006E-4</v>
      </c>
      <c r="K205">
        <f>AE41+AA41+W41</f>
        <v>3.4520710000000001</v>
      </c>
      <c r="L205">
        <f>(0.05*(1-0.05)+0.05*(1-0.05))*X46+0.05*0.05*AB46+(1-0.05*(1-0.05)-0.05*(1-0.05)-0.05*0.05)*T46</f>
        <v>7.5129125000000004E-4</v>
      </c>
      <c r="M205">
        <f>AE46+AA46+W46</f>
        <v>6.2638310000000006</v>
      </c>
      <c r="O205" s="20"/>
      <c r="P205" s="21"/>
      <c r="Q205" t="s">
        <v>37</v>
      </c>
      <c r="R205">
        <f t="shared" si="185"/>
        <v>6.8917700000000002E-4</v>
      </c>
      <c r="S205">
        <f t="shared" si="186"/>
        <v>7.9854300000000008E-4</v>
      </c>
      <c r="U205">
        <f t="shared" si="187"/>
        <v>6.9282400000000009E-4</v>
      </c>
      <c r="V205">
        <f t="shared" si="188"/>
        <v>7.9790200000000007E-4</v>
      </c>
      <c r="X205">
        <f>(0.1*0.9+0.1*0.9)*X46+0.1*0.1*AB46+(1-0.1*0.9-0.1*0.9-0.1*0.1)*T46</f>
        <v>7.6096500000000006E-4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7.0660800000000006E-4</v>
      </c>
      <c r="G211">
        <f t="shared" si="190"/>
        <v>8.1855199999999995E-4</v>
      </c>
      <c r="I211">
        <f t="shared" si="191"/>
        <v>7.13476E-4</v>
      </c>
      <c r="J211">
        <f t="shared" si="192"/>
        <v>8.1734799999999997E-4</v>
      </c>
      <c r="L211">
        <f>(0.2*0.8+0.2*0.8)*X46+0.2*0.2*AB46+(1-0.2*0.8-0.2*0.8-0.2*0.2)*T46</f>
        <v>7.8026000000000007E-4</v>
      </c>
      <c r="O211" s="20"/>
      <c r="P211" s="21"/>
      <c r="Q211" t="s">
        <v>37</v>
      </c>
      <c r="R211">
        <f t="shared" si="193"/>
        <v>7.2399300000000003E-4</v>
      </c>
      <c r="S211">
        <f t="shared" si="194"/>
        <v>8.3852700000000004E-4</v>
      </c>
      <c r="U211">
        <f t="shared" si="195"/>
        <v>7.3365600000000007E-4</v>
      </c>
      <c r="V211">
        <f t="shared" si="196"/>
        <v>8.3683800000000012E-4</v>
      </c>
      <c r="X211">
        <f>(0.3*0.7+0.3*0.7)*X46+0.3*0.3*AB46+(1-0.3*0.7-0.3*0.7-0.3*0.3)*T46</f>
        <v>7.9948499999999995E-4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6.8480433749999996E-4</v>
      </c>
      <c r="G218">
        <f t="shared" si="198"/>
        <v>7.9477296249999985E-4</v>
      </c>
      <c r="H218">
        <f t="shared" si="199"/>
        <v>4.1491290000000003</v>
      </c>
      <c r="I218">
        <f t="shared" si="200"/>
        <v>6.8754033749999989E-4</v>
      </c>
      <c r="J218">
        <f t="shared" si="201"/>
        <v>7.9305452499999992E-4</v>
      </c>
      <c r="K218">
        <f t="shared" si="202"/>
        <v>4.6564139999999998</v>
      </c>
      <c r="L218">
        <f>3*0.05*(1-0.05)*(1-0.05)*X46+3*0.05*0.05*(1-0.05)*AB46+0.05*0.05*0.05*AF46+(1-3*0.05*(1-0.05)*(1-0.05)-3*0.05*0.05*(1-0.05)-0.05*0.05*0.05)*T46</f>
        <v>7.5612098749999995E-4</v>
      </c>
      <c r="M218">
        <f>AI46+AE46+AA46+W46</f>
        <v>8.3491379999999999</v>
      </c>
      <c r="N218" s="24"/>
      <c r="O218" s="20"/>
      <c r="P218" s="21"/>
      <c r="Q218" t="s">
        <v>37</v>
      </c>
      <c r="R218">
        <f t="shared" si="203"/>
        <v>6.9785370000000004E-4</v>
      </c>
      <c r="S218">
        <f t="shared" si="204"/>
        <v>8.184647E-4</v>
      </c>
      <c r="U218">
        <f t="shared" si="205"/>
        <v>7.0301070000000003E-4</v>
      </c>
      <c r="V218">
        <f t="shared" si="206"/>
        <v>8.0766020000000004E-4</v>
      </c>
      <c r="X218">
        <f>3*0.1*(1-0.1)*(1-0.1)*X46+3*0.1*0.1*(1-0.1)*AB46+0.1*0.1*0.1*AF46+(1-3*0.1*(1-0.1)*(1-0.1)-3*0.1*0.1*(1-0.1)-0.1*0.1*0.1)*T46</f>
        <v>7.7057290000000006E-4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7.2370560000000004E-4</v>
      </c>
      <c r="G224">
        <f t="shared" si="208"/>
        <v>9.1788159999999994E-4</v>
      </c>
      <c r="I224">
        <f t="shared" si="209"/>
        <v>7.3277759999999998E-4</v>
      </c>
      <c r="J224">
        <f t="shared" si="210"/>
        <v>8.3709759999999996E-4</v>
      </c>
      <c r="L224">
        <f>3*0.2*(1-0.2)*(1-0.2)*X46+3*0.2*0.2*(1-0.2)*AB46+0.2*0.2*0.2*AF46+(1-3*0.2*(1-0.2)*(1-0.2)-3*0.2*0.2*(1-0.2)-0.2*0.2*0.2)*T46</f>
        <v>7.9920319999999992E-4</v>
      </c>
      <c r="N224" s="24"/>
      <c r="O224" s="20"/>
      <c r="P224" s="21"/>
      <c r="Q224" t="s">
        <v>37</v>
      </c>
      <c r="R224">
        <f t="shared" si="211"/>
        <v>7.490919E-4</v>
      </c>
      <c r="S224">
        <f t="shared" si="212"/>
        <v>1.1363049E-3</v>
      </c>
      <c r="U224">
        <f t="shared" si="213"/>
        <v>7.6087289999999998E-4</v>
      </c>
      <c r="V224">
        <f t="shared" si="214"/>
        <v>8.6695740000000015E-4</v>
      </c>
      <c r="X224">
        <f>3*0.3*(1-0.3)*(1-0.3)*X46+3*0.3*0.3*(1-0.3)*AB46+0.3*0.3*0.3*AF46+(1-3*0.3*(1-0.3)*(1-0.3)-3*0.3*0.3*(1-0.3)-0.3*0.3*0.3)*T46</f>
        <v>8.2735830000000015E-4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3.2436500000000002E-4</v>
      </c>
      <c r="G231">
        <f t="shared" si="216"/>
        <v>5.0994499999999993E-4</v>
      </c>
      <c r="H231">
        <f t="shared" si="217"/>
        <v>1.976156</v>
      </c>
      <c r="I231">
        <f t="shared" si="218"/>
        <v>3.2624500000000002E-4</v>
      </c>
      <c r="J231">
        <f t="shared" si="219"/>
        <v>5.0933999999999994E-4</v>
      </c>
      <c r="K231">
        <f t="shared" si="220"/>
        <v>2.4066169999999998</v>
      </c>
      <c r="L231">
        <f>0.05*F66+(1-0.05)*B66</f>
        <v>4.3848500000000001E-4</v>
      </c>
      <c r="M231">
        <f>I66+E66</f>
        <v>4.127777</v>
      </c>
      <c r="P231" s="21"/>
      <c r="Q231" t="s">
        <v>37</v>
      </c>
      <c r="R231">
        <f t="shared" si="221"/>
        <v>3.2673000000000007E-4</v>
      </c>
      <c r="S231">
        <f t="shared" si="222"/>
        <v>5.1359000000000008E-4</v>
      </c>
      <c r="U231">
        <f t="shared" si="223"/>
        <v>3.3049000000000007E-4</v>
      </c>
      <c r="V231">
        <f t="shared" si="224"/>
        <v>5.1197999999999999E-4</v>
      </c>
      <c r="X231">
        <f>0.1*F66+(1-0.1)*B66</f>
        <v>4.4107000000000006E-4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3.3146E-4</v>
      </c>
      <c r="G237">
        <f t="shared" si="226"/>
        <v>5.2088000000000004E-4</v>
      </c>
      <c r="I237">
        <f t="shared" si="227"/>
        <v>3.3898000000000001E-4</v>
      </c>
      <c r="J237">
        <f t="shared" si="228"/>
        <v>5.1726000000000007E-4</v>
      </c>
      <c r="L237">
        <f>0.2*F66+(1-0.2)*B66</f>
        <v>4.4624000000000009E-4</v>
      </c>
      <c r="P237" s="21"/>
      <c r="Q237" t="s">
        <v>37</v>
      </c>
      <c r="R237">
        <f t="shared" si="229"/>
        <v>3.3618999999999999E-4</v>
      </c>
      <c r="S237">
        <f t="shared" si="230"/>
        <v>5.2817000000000001E-4</v>
      </c>
      <c r="U237">
        <f t="shared" si="231"/>
        <v>3.4747000000000001E-4</v>
      </c>
      <c r="V237">
        <f t="shared" si="232"/>
        <v>5.2253999999999994E-4</v>
      </c>
      <c r="X237">
        <f>0.3*F66+(1-0.3)*B66</f>
        <v>4.5140999999999996E-4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3.2673375000000004E-4</v>
      </c>
      <c r="G244">
        <f t="shared" si="234"/>
        <v>5.1358050000000009E-4</v>
      </c>
      <c r="H244">
        <f t="shared" si="235"/>
        <v>2.9694570000000002</v>
      </c>
      <c r="I244">
        <f t="shared" si="236"/>
        <v>3.3040275000000002E-4</v>
      </c>
      <c r="J244">
        <f t="shared" si="237"/>
        <v>5.1194249999999999E-4</v>
      </c>
      <c r="K244">
        <f t="shared" si="238"/>
        <v>3.6059269999999999</v>
      </c>
      <c r="L244">
        <f>(0.05*(1-0.05)+0.05*(1-0.05))*F66+0.05*0.05*J66+(1-0.05*(1-0.05)-0.05*(1-0.05)-0.05*0.05)*B66</f>
        <v>4.4113875000000003E-4</v>
      </c>
      <c r="M244">
        <f>M66+I66+E66</f>
        <v>6.465357</v>
      </c>
      <c r="O244" s="20"/>
      <c r="P244" s="21"/>
      <c r="Q244" t="s">
        <v>37</v>
      </c>
      <c r="R244">
        <f t="shared" si="239"/>
        <v>3.3147500000000002E-4</v>
      </c>
      <c r="S244">
        <f t="shared" si="240"/>
        <v>5.2084200000000009E-4</v>
      </c>
      <c r="U244">
        <f t="shared" si="241"/>
        <v>3.3863100000000004E-4</v>
      </c>
      <c r="V244">
        <f t="shared" si="242"/>
        <v>5.171100000000001E-4</v>
      </c>
      <c r="X244">
        <f>(0.1*0.9+0.1*0.9)*F66+0.1*0.1*J66+(1-0.1*0.9-0.1*0.9-0.1*0.1)*B66</f>
        <v>4.4651500000000008E-4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3.4098E-4</v>
      </c>
      <c r="G250">
        <f t="shared" si="244"/>
        <v>5.3530799999999996E-4</v>
      </c>
      <c r="I250">
        <f t="shared" si="245"/>
        <v>3.5456400000000003E-4</v>
      </c>
      <c r="J250">
        <f t="shared" si="246"/>
        <v>5.272199999999999E-4</v>
      </c>
      <c r="L250">
        <f>(0.2*0.8+0.2*0.8)*F66+0.2*0.2*J66+(1-0.2*0.8-0.2*0.8-0.2*0.2)*B66</f>
        <v>4.5767999999999997E-4</v>
      </c>
      <c r="O250" s="20"/>
      <c r="P250" s="21"/>
      <c r="Q250" t="s">
        <v>37</v>
      </c>
      <c r="R250">
        <f t="shared" si="247"/>
        <v>3.5051500000000003E-4</v>
      </c>
      <c r="S250">
        <f t="shared" si="248"/>
        <v>5.4969799999999994E-4</v>
      </c>
      <c r="U250">
        <f t="shared" si="249"/>
        <v>3.6979900000000008E-4</v>
      </c>
      <c r="V250">
        <f t="shared" si="250"/>
        <v>5.3703000000000008E-4</v>
      </c>
      <c r="X250">
        <f>(0.3*0.7+0.3*0.7)*F66+0.3*0.3*J66+(1-0.3*0.7-0.3*0.7-0.3*0.3)*B66</f>
        <v>4.6939500000000006E-4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3.2910582500000001E-4</v>
      </c>
      <c r="G257">
        <f t="shared" si="252"/>
        <v>5.172065375E-4</v>
      </c>
      <c r="H257">
        <f t="shared" si="253"/>
        <v>4.1627879999999999</v>
      </c>
      <c r="I257">
        <f t="shared" si="254"/>
        <v>3.3447706249999998E-4</v>
      </c>
      <c r="J257">
        <f t="shared" si="255"/>
        <v>5.1451384999999994E-4</v>
      </c>
      <c r="K257">
        <f t="shared" si="256"/>
        <v>4.6027470000000008</v>
      </c>
      <c r="L257">
        <f>3*0.05*(1-0.05)*(1-0.05)*F66+3*0.05*0.05*(1-0.05)*J66+0.05*0.05*0.05*N66+(1-3*0.05*(1-0.05)*(1-0.05)-3*0.05*0.05*(1-0.05)-0.05*0.05*0.05)*B66</f>
        <v>4.4385358749999995E-4</v>
      </c>
      <c r="M257">
        <f>Q66+M66+I66+E66</f>
        <v>8.5155659999999997</v>
      </c>
      <c r="N257" s="24"/>
      <c r="O257" s="20"/>
      <c r="P257" s="21"/>
      <c r="Q257" t="s">
        <v>37</v>
      </c>
      <c r="R257">
        <f t="shared" si="257"/>
        <v>3.3623159999999997E-4</v>
      </c>
      <c r="S257">
        <f t="shared" si="258"/>
        <v>5.2805629999999994E-4</v>
      </c>
      <c r="U257">
        <f t="shared" si="259"/>
        <v>3.4645349999999999E-4</v>
      </c>
      <c r="V257">
        <f t="shared" si="260"/>
        <v>5.2214079999999999E-4</v>
      </c>
      <c r="X257">
        <f>3*0.1*(1-0.1)*(1-0.1)*F66+3*0.1*0.1*(1-0.1)*J66+0.1*0.1*0.1*N66+(1-3*0.1*(1-0.1)*(1-0.1)-3*0.1*0.1*(1-0.1)-0.1*0.1*0.1)*B66</f>
        <v>4.5217370000000002E-4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3.5053279999999997E-4</v>
      </c>
      <c r="G263">
        <f t="shared" si="262"/>
        <v>5.4958640000000005E-4</v>
      </c>
      <c r="I263">
        <f t="shared" si="263"/>
        <v>3.6899600000000002E-4</v>
      </c>
      <c r="J263">
        <f t="shared" si="264"/>
        <v>5.3698640000000007E-4</v>
      </c>
      <c r="L263">
        <f>3*0.2*(1-0.2)*(1-0.2)*F66+3*0.2*0.2*(1-0.2)*J66+0.2*0.2*0.2*N66+(1-3*0.2*(1-0.2)*(1-0.2)-3*0.2*0.2*(1-0.2)-0.2*0.2*0.2)*B66</f>
        <v>4.6972959999999999E-4</v>
      </c>
      <c r="N263" s="24"/>
      <c r="O263" s="20"/>
      <c r="P263" s="21"/>
      <c r="Q263" t="s">
        <v>37</v>
      </c>
      <c r="R263">
        <f t="shared" si="265"/>
        <v>3.6488320000000005E-4</v>
      </c>
      <c r="S263">
        <f t="shared" si="266"/>
        <v>5.7089209999999996E-4</v>
      </c>
      <c r="U263">
        <f t="shared" si="267"/>
        <v>3.8981050000000004E-4</v>
      </c>
      <c r="V263">
        <f t="shared" si="268"/>
        <v>5.515416E-4</v>
      </c>
      <c r="X263">
        <f>3*0.3*(1-0.3)*(1-0.3)*F66+3*0.3*0.3*(1-0.3)*J66+0.3*0.3*0.3*N66+(1-3*0.3*(1-0.3)*(1-0.3)-3*0.3*0.3*(1-0.3)-0.3*0.3*0.3)*B66</f>
        <v>4.8819990000000001E-4</v>
      </c>
    </row>
  </sheetData>
  <mergeCells count="349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N46:P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T25:V25"/>
    <mergeCell ref="X25:Z25"/>
    <mergeCell ref="AB25:AD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263"/>
  <sheetViews>
    <sheetView zoomScale="40" zoomScaleNormal="40" workbookViewId="0">
      <selection activeCell="T39" sqref="T39:AI40"/>
    </sheetView>
  </sheetViews>
  <sheetFormatPr defaultColWidth="9" defaultRowHeight="14.4" x14ac:dyDescent="0.25"/>
  <cols>
    <col min="3" max="3" width="9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139</v>
      </c>
      <c r="V1" s="15"/>
      <c r="W1" s="15"/>
      <c r="X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140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7" spans="1:35" x14ac:dyDescent="0.25">
      <c r="A7" s="1" t="s">
        <v>6</v>
      </c>
      <c r="S7" s="1" t="s">
        <v>7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120</v>
      </c>
      <c r="C9" s="16"/>
      <c r="D9" s="16"/>
      <c r="E9" s="16"/>
      <c r="F9" s="16" t="s">
        <v>121</v>
      </c>
      <c r="G9" s="16"/>
      <c r="H9" s="16"/>
      <c r="I9" s="16"/>
      <c r="J9" s="16" t="s">
        <v>122</v>
      </c>
      <c r="K9" s="16"/>
      <c r="L9" s="16"/>
      <c r="M9" s="16"/>
      <c r="N9" s="16" t="s">
        <v>123</v>
      </c>
      <c r="O9" s="16"/>
      <c r="P9" s="16"/>
      <c r="Q9" s="16"/>
      <c r="S9" s="22" t="s">
        <v>12</v>
      </c>
      <c r="T9" s="16" t="s">
        <v>120</v>
      </c>
      <c r="U9" s="16"/>
      <c r="V9" s="16"/>
      <c r="W9" s="16"/>
      <c r="X9" s="16" t="s">
        <v>121</v>
      </c>
      <c r="Y9" s="16"/>
      <c r="Z9" s="16"/>
      <c r="AA9" s="16"/>
      <c r="AB9" s="16" t="s">
        <v>122</v>
      </c>
      <c r="AC9" s="16"/>
      <c r="AD9" s="16"/>
      <c r="AE9" s="16"/>
      <c r="AF9" s="16" t="s">
        <v>123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2">
        <v>8.61E-4</v>
      </c>
      <c r="D13" s="2">
        <v>8.61E-4</v>
      </c>
      <c r="E13">
        <v>1.0164610000000001</v>
      </c>
      <c r="F13" t="s">
        <v>22</v>
      </c>
      <c r="G13" s="2">
        <v>9.8550000000000005E-4</v>
      </c>
      <c r="H13" s="2">
        <v>9.8550000000000005E-4</v>
      </c>
      <c r="I13">
        <v>1.168021</v>
      </c>
      <c r="J13" t="s">
        <v>22</v>
      </c>
      <c r="K13">
        <v>1.1000000000000001E-3</v>
      </c>
      <c r="L13">
        <v>1.1000000000000001E-3</v>
      </c>
      <c r="M13">
        <v>1.0140439999999999</v>
      </c>
      <c r="N13" t="s">
        <v>22</v>
      </c>
      <c r="O13">
        <v>1.1999999999999999E-3</v>
      </c>
      <c r="P13">
        <v>1.1999999999999999E-3</v>
      </c>
      <c r="Q13">
        <v>1.0984259999999999</v>
      </c>
      <c r="S13" s="22"/>
      <c r="T13" t="s">
        <v>22</v>
      </c>
      <c r="U13" s="2">
        <v>8.4979999999999995E-4</v>
      </c>
      <c r="V13" s="2">
        <v>8.5019999999999996E-4</v>
      </c>
      <c r="W13">
        <v>0.97292100000000004</v>
      </c>
      <c r="X13" t="s">
        <v>22</v>
      </c>
      <c r="Y13" s="2">
        <v>9.7210000000000005E-4</v>
      </c>
      <c r="Z13" s="2">
        <v>9.7260000000000001E-4</v>
      </c>
      <c r="AA13">
        <v>0.97948199999999996</v>
      </c>
      <c r="AB13" t="s">
        <v>22</v>
      </c>
      <c r="AC13">
        <v>1.1000000000000001E-3</v>
      </c>
      <c r="AD13">
        <v>1.1000000000000001E-3</v>
      </c>
      <c r="AE13">
        <v>0.99208399999999997</v>
      </c>
      <c r="AF13" t="s">
        <v>22</v>
      </c>
      <c r="AG13">
        <v>1.1999999999999999E-3</v>
      </c>
      <c r="AH13">
        <v>1.1999999999999999E-3</v>
      </c>
      <c r="AI13">
        <v>0.92033100000000001</v>
      </c>
    </row>
    <row r="16" spans="1:35" x14ac:dyDescent="0.25">
      <c r="A16" s="18" t="s">
        <v>23</v>
      </c>
      <c r="B16" s="16" t="s">
        <v>120</v>
      </c>
      <c r="C16" s="16"/>
      <c r="D16" s="16"/>
      <c r="E16" s="16"/>
      <c r="F16" s="16" t="s">
        <v>121</v>
      </c>
      <c r="G16" s="16"/>
      <c r="H16" s="16"/>
      <c r="I16" s="16"/>
      <c r="J16" s="16" t="s">
        <v>122</v>
      </c>
      <c r="K16" s="16"/>
      <c r="L16" s="16"/>
      <c r="M16" s="16"/>
      <c r="N16" s="16" t="s">
        <v>123</v>
      </c>
      <c r="O16" s="16"/>
      <c r="P16" s="16"/>
      <c r="Q16" s="16"/>
      <c r="S16" s="18" t="s">
        <v>23</v>
      </c>
      <c r="T16" s="16" t="s">
        <v>120</v>
      </c>
      <c r="U16" s="16"/>
      <c r="V16" s="16"/>
      <c r="W16" s="16"/>
      <c r="X16" s="16" t="s">
        <v>121</v>
      </c>
      <c r="Y16" s="16"/>
      <c r="Z16" s="16"/>
      <c r="AA16" s="16"/>
      <c r="AB16" s="16" t="s">
        <v>122</v>
      </c>
      <c r="AC16" s="16"/>
      <c r="AD16" s="16"/>
      <c r="AE16" s="16"/>
      <c r="AF16" s="16" t="s">
        <v>123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 s="2">
        <v>8.61E-4</v>
      </c>
      <c r="D20" s="2">
        <v>8.61E-4</v>
      </c>
      <c r="E20">
        <v>1.1552089999999999</v>
      </c>
      <c r="F20" t="s">
        <v>22</v>
      </c>
      <c r="G20" s="2">
        <v>9.8550000000000005E-4</v>
      </c>
      <c r="H20" s="2">
        <v>9.8550000000000005E-4</v>
      </c>
      <c r="I20">
        <v>0.98989499999999997</v>
      </c>
      <c r="J20" t="s">
        <v>22</v>
      </c>
      <c r="K20">
        <v>1.1000000000000001E-3</v>
      </c>
      <c r="L20">
        <v>1.1000000000000001E-3</v>
      </c>
      <c r="M20">
        <v>1.1051569999999999</v>
      </c>
      <c r="N20" t="s">
        <v>22</v>
      </c>
      <c r="O20">
        <v>1.1999999999999999E-3</v>
      </c>
      <c r="P20">
        <v>1.1999999999999999E-3</v>
      </c>
      <c r="Q20">
        <v>0.98780999999999997</v>
      </c>
      <c r="S20" s="18"/>
      <c r="T20" t="s">
        <v>22</v>
      </c>
      <c r="U20" s="2">
        <v>8.4940000000000005E-4</v>
      </c>
      <c r="V20" s="2">
        <v>8.6240000000000004E-4</v>
      </c>
      <c r="W20">
        <v>0.954766</v>
      </c>
      <c r="X20" t="s">
        <v>22</v>
      </c>
      <c r="Y20" s="2">
        <v>9.7210000000000005E-4</v>
      </c>
      <c r="Z20" s="2">
        <v>9.8719999999999993E-4</v>
      </c>
      <c r="AA20">
        <v>0.89610100000000004</v>
      </c>
      <c r="AB20" t="s">
        <v>22</v>
      </c>
      <c r="AC20">
        <v>1.1000000000000001E-3</v>
      </c>
      <c r="AD20">
        <v>1.1000000000000001E-3</v>
      </c>
      <c r="AE20">
        <v>0.95605799999999996</v>
      </c>
      <c r="AF20" t="s">
        <v>22</v>
      </c>
      <c r="AG20">
        <v>1.1999999999999999E-3</v>
      </c>
      <c r="AH20">
        <v>1.1999999999999999E-3</v>
      </c>
      <c r="AI20">
        <v>0.89225200000000005</v>
      </c>
    </row>
    <row r="23" spans="1:35" x14ac:dyDescent="0.25">
      <c r="A23" s="23" t="s">
        <v>24</v>
      </c>
      <c r="B23" s="16" t="s">
        <v>120</v>
      </c>
      <c r="C23" s="16"/>
      <c r="D23" s="16"/>
      <c r="E23" s="16"/>
      <c r="F23" s="16" t="s">
        <v>121</v>
      </c>
      <c r="G23" s="16"/>
      <c r="H23" s="16"/>
      <c r="I23" s="16"/>
      <c r="J23" s="16" t="s">
        <v>122</v>
      </c>
      <c r="K23" s="16"/>
      <c r="L23" s="16"/>
      <c r="M23" s="16"/>
      <c r="N23" s="16" t="s">
        <v>123</v>
      </c>
      <c r="O23" s="16"/>
      <c r="P23" s="16"/>
      <c r="Q23" s="16"/>
      <c r="S23" s="23" t="s">
        <v>24</v>
      </c>
      <c r="T23" s="16" t="s">
        <v>120</v>
      </c>
      <c r="U23" s="16"/>
      <c r="V23" s="16"/>
      <c r="W23" s="16"/>
      <c r="X23" s="16" t="s">
        <v>121</v>
      </c>
      <c r="Y23" s="16"/>
      <c r="Z23" s="16"/>
      <c r="AA23" s="16"/>
      <c r="AB23" s="16" t="s">
        <v>122</v>
      </c>
      <c r="AC23" s="16"/>
      <c r="AD23" s="16"/>
      <c r="AE23" s="16"/>
      <c r="AF23" s="16" t="s">
        <v>123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26">
        <v>8.5249999999999996E-4</v>
      </c>
      <c r="C25" s="16"/>
      <c r="D25" s="16"/>
      <c r="E25">
        <v>1.881688</v>
      </c>
      <c r="F25" s="26">
        <v>9.8839999999999996E-4</v>
      </c>
      <c r="G25" s="16"/>
      <c r="H25" s="16"/>
      <c r="I25">
        <v>1.8333299999999999</v>
      </c>
      <c r="J25" s="16">
        <v>1.1000000000000001E-3</v>
      </c>
      <c r="K25" s="16"/>
      <c r="L25" s="16"/>
      <c r="M25">
        <v>1.900447</v>
      </c>
      <c r="N25" s="16">
        <v>1.1999999999999999E-3</v>
      </c>
      <c r="O25" s="16"/>
      <c r="P25" s="16"/>
      <c r="Q25">
        <v>1.9116759999999999</v>
      </c>
      <c r="S25" s="23"/>
      <c r="T25" s="26">
        <v>8.4769999999999995E-4</v>
      </c>
      <c r="U25" s="16"/>
      <c r="V25" s="16"/>
      <c r="W25">
        <v>1.845688</v>
      </c>
      <c r="X25" s="26">
        <v>9.7190000000000004E-4</v>
      </c>
      <c r="Y25" s="16"/>
      <c r="Z25" s="16"/>
      <c r="AA25">
        <v>1.8690089999999999</v>
      </c>
      <c r="AB25" s="16">
        <v>1.1000000000000001E-3</v>
      </c>
      <c r="AC25" s="16"/>
      <c r="AD25" s="16"/>
      <c r="AE25">
        <v>2.1430790000000002</v>
      </c>
      <c r="AF25" s="6">
        <v>1.1999999999999999E-3</v>
      </c>
      <c r="AG25" s="6"/>
      <c r="AH25" s="6"/>
      <c r="AI25">
        <v>1.8193589999999999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S28" s="1" t="s">
        <v>27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120</v>
      </c>
      <c r="C30" s="16"/>
      <c r="D30" s="16"/>
      <c r="E30" s="16"/>
      <c r="F30" s="16" t="s">
        <v>121</v>
      </c>
      <c r="G30" s="16"/>
      <c r="H30" s="16"/>
      <c r="I30" s="16"/>
      <c r="J30" s="16" t="s">
        <v>122</v>
      </c>
      <c r="K30" s="16"/>
      <c r="L30" s="16"/>
      <c r="M30" s="16"/>
      <c r="N30" s="16" t="s">
        <v>123</v>
      </c>
      <c r="O30" s="16"/>
      <c r="P30" s="16"/>
      <c r="Q30" s="16"/>
      <c r="S30" s="22" t="s">
        <v>12</v>
      </c>
      <c r="T30" s="16" t="s">
        <v>120</v>
      </c>
      <c r="U30" s="16"/>
      <c r="V30" s="16"/>
      <c r="W30" s="16"/>
      <c r="X30" s="16" t="s">
        <v>121</v>
      </c>
      <c r="Y30" s="16"/>
      <c r="Z30" s="16"/>
      <c r="AA30" s="16"/>
      <c r="AB30" s="16" t="s">
        <v>122</v>
      </c>
      <c r="AC30" s="16"/>
      <c r="AD30" s="16"/>
      <c r="AE30" s="16"/>
      <c r="AF30" s="16" t="s">
        <v>123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 s="2">
        <v>7.963E-4</v>
      </c>
      <c r="D34" s="2">
        <v>8.0599999999999997E-4</v>
      </c>
      <c r="E34">
        <v>0.95886499999999997</v>
      </c>
      <c r="F34" t="s">
        <v>22</v>
      </c>
      <c r="G34" s="2">
        <v>9.1009999999999995E-4</v>
      </c>
      <c r="H34" s="2">
        <v>9.2150000000000001E-4</v>
      </c>
      <c r="I34">
        <v>1.1943250000000001</v>
      </c>
      <c r="J34" t="s">
        <v>22</v>
      </c>
      <c r="K34">
        <v>1E-3</v>
      </c>
      <c r="L34">
        <v>1E-3</v>
      </c>
      <c r="M34">
        <v>1.0259499999999999</v>
      </c>
      <c r="N34" t="s">
        <v>22</v>
      </c>
      <c r="O34">
        <v>1.1000000000000001E-3</v>
      </c>
      <c r="P34">
        <v>1.1000000000000001E-3</v>
      </c>
      <c r="Q34">
        <v>1.027366</v>
      </c>
      <c r="S34" s="22"/>
      <c r="T34" t="s">
        <v>22</v>
      </c>
      <c r="U34" s="2">
        <v>6.2779999999999997E-4</v>
      </c>
      <c r="V34" s="2">
        <v>6.9919999999999997E-4</v>
      </c>
      <c r="W34">
        <v>0.99625900000000001</v>
      </c>
      <c r="X34" t="s">
        <v>22</v>
      </c>
      <c r="Y34" s="2">
        <v>7.1969999999999998E-4</v>
      </c>
      <c r="Z34" s="2">
        <v>8.0040000000000005E-4</v>
      </c>
      <c r="AA34">
        <v>1.016014</v>
      </c>
      <c r="AB34" t="s">
        <v>22</v>
      </c>
      <c r="AC34" s="2">
        <v>8.0920000000000005E-4</v>
      </c>
      <c r="AD34" s="2">
        <v>8.9979999999999997E-4</v>
      </c>
      <c r="AE34">
        <v>1.0143880000000001</v>
      </c>
      <c r="AF34" t="s">
        <v>22</v>
      </c>
      <c r="AG34" s="2">
        <v>9.0370000000000001E-4</v>
      </c>
      <c r="AH34" s="2">
        <v>9.9749999999999991E-4</v>
      </c>
      <c r="AI34">
        <v>1.0069539999999999</v>
      </c>
    </row>
    <row r="37" spans="1:35" x14ac:dyDescent="0.25">
      <c r="A37" s="18" t="s">
        <v>23</v>
      </c>
      <c r="B37" s="16" t="s">
        <v>120</v>
      </c>
      <c r="C37" s="16"/>
      <c r="D37" s="16"/>
      <c r="E37" s="16"/>
      <c r="F37" s="16" t="s">
        <v>121</v>
      </c>
      <c r="G37" s="16"/>
      <c r="H37" s="16"/>
      <c r="I37" s="16"/>
      <c r="J37" s="16" t="s">
        <v>122</v>
      </c>
      <c r="K37" s="16"/>
      <c r="L37" s="16"/>
      <c r="M37" s="16"/>
      <c r="N37" s="16" t="s">
        <v>123</v>
      </c>
      <c r="O37" s="16"/>
      <c r="P37" s="16"/>
      <c r="Q37" s="16"/>
      <c r="S37" s="18" t="s">
        <v>23</v>
      </c>
      <c r="T37" s="16" t="s">
        <v>120</v>
      </c>
      <c r="U37" s="16"/>
      <c r="V37" s="16"/>
      <c r="W37" s="16"/>
      <c r="X37" s="16" t="s">
        <v>121</v>
      </c>
      <c r="Y37" s="16"/>
      <c r="Z37" s="16"/>
      <c r="AA37" s="16"/>
      <c r="AB37" s="16" t="s">
        <v>122</v>
      </c>
      <c r="AC37" s="16"/>
      <c r="AD37" s="16"/>
      <c r="AE37" s="16"/>
      <c r="AF37" s="16" t="s">
        <v>123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 s="2">
        <v>7.963E-4</v>
      </c>
      <c r="D41" s="2">
        <v>8.0979999999999995E-4</v>
      </c>
      <c r="E41">
        <v>1.154987</v>
      </c>
      <c r="F41" t="s">
        <v>22</v>
      </c>
      <c r="G41" s="2">
        <v>9.1060000000000002E-4</v>
      </c>
      <c r="H41" s="2">
        <v>9.2369999999999996E-4</v>
      </c>
      <c r="I41">
        <v>0.98668</v>
      </c>
      <c r="J41" t="s">
        <v>22</v>
      </c>
      <c r="K41">
        <v>1E-3</v>
      </c>
      <c r="L41">
        <v>1E-3</v>
      </c>
      <c r="M41">
        <v>0.97688200000000003</v>
      </c>
      <c r="N41" t="s">
        <v>22</v>
      </c>
      <c r="O41">
        <v>1.17E-2</v>
      </c>
      <c r="P41">
        <v>1.23E-2</v>
      </c>
      <c r="Q41">
        <v>0.90688400000000002</v>
      </c>
      <c r="S41" s="18"/>
      <c r="T41" t="s">
        <v>22</v>
      </c>
      <c r="U41" s="2">
        <v>6.2779999999999997E-4</v>
      </c>
      <c r="V41" s="2">
        <v>6.9919999999999997E-4</v>
      </c>
      <c r="W41">
        <v>0.97519400000000001</v>
      </c>
      <c r="X41" t="s">
        <v>22</v>
      </c>
      <c r="Y41" s="2">
        <v>7.3320000000000004E-4</v>
      </c>
      <c r="Z41" s="2">
        <v>8.0099999999999995E-4</v>
      </c>
      <c r="AA41">
        <v>0.969302</v>
      </c>
      <c r="AB41" t="s">
        <v>22</v>
      </c>
      <c r="AC41" s="2">
        <v>8.2140000000000002E-4</v>
      </c>
      <c r="AD41" s="2">
        <v>8.9919999999999996E-4</v>
      </c>
      <c r="AE41">
        <v>1.137006</v>
      </c>
      <c r="AF41" t="s">
        <v>22</v>
      </c>
      <c r="AG41" s="2">
        <v>9.0680000000000003E-4</v>
      </c>
      <c r="AH41" s="2">
        <v>9.9719999999999995E-4</v>
      </c>
      <c r="AI41">
        <v>0.96892299999999998</v>
      </c>
    </row>
    <row r="44" spans="1:35" x14ac:dyDescent="0.25">
      <c r="A44" s="23" t="s">
        <v>24</v>
      </c>
      <c r="B44" s="16" t="s">
        <v>120</v>
      </c>
      <c r="C44" s="16"/>
      <c r="D44" s="16"/>
      <c r="E44" s="16"/>
      <c r="F44" s="16" t="s">
        <v>121</v>
      </c>
      <c r="G44" s="16"/>
      <c r="H44" s="16"/>
      <c r="I44" s="16"/>
      <c r="J44" s="16" t="s">
        <v>122</v>
      </c>
      <c r="K44" s="16"/>
      <c r="L44" s="16"/>
      <c r="M44" s="16"/>
      <c r="N44" s="16" t="s">
        <v>123</v>
      </c>
      <c r="O44" s="16"/>
      <c r="P44" s="16"/>
      <c r="Q44" s="16"/>
      <c r="S44" s="23" t="s">
        <v>24</v>
      </c>
      <c r="T44" s="16" t="s">
        <v>120</v>
      </c>
      <c r="U44" s="16"/>
      <c r="V44" s="16"/>
      <c r="W44" s="16"/>
      <c r="X44" s="16" t="s">
        <v>121</v>
      </c>
      <c r="Y44" s="16"/>
      <c r="Z44" s="16"/>
      <c r="AA44" s="16"/>
      <c r="AB44" s="16" t="s">
        <v>122</v>
      </c>
      <c r="AC44" s="16"/>
      <c r="AD44" s="16"/>
      <c r="AE44" s="16"/>
      <c r="AF44" s="16" t="s">
        <v>123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26">
        <v>8.0869999999999998E-4</v>
      </c>
      <c r="C46" s="16"/>
      <c r="D46" s="16"/>
      <c r="E46">
        <v>1.8970990000000001</v>
      </c>
      <c r="F46" s="26">
        <v>9.2159999999999996E-4</v>
      </c>
      <c r="G46" s="16"/>
      <c r="H46" s="16"/>
      <c r="I46">
        <v>1.850177</v>
      </c>
      <c r="J46" s="6">
        <v>1E-3</v>
      </c>
      <c r="K46" s="6"/>
      <c r="L46" s="6"/>
      <c r="M46">
        <v>1.8952690000000001</v>
      </c>
      <c r="N46" s="6">
        <v>1.2E-2</v>
      </c>
      <c r="O46" s="6"/>
      <c r="P46" s="6"/>
      <c r="Q46">
        <v>1.835583</v>
      </c>
      <c r="S46" s="23"/>
      <c r="T46" s="26">
        <v>6.8820000000000003E-4</v>
      </c>
      <c r="U46" s="16"/>
      <c r="V46" s="16"/>
      <c r="W46">
        <v>1.835423</v>
      </c>
      <c r="X46" s="26">
        <v>7.649E-4</v>
      </c>
      <c r="Y46" s="16"/>
      <c r="Z46" s="16"/>
      <c r="AA46">
        <v>1.838851</v>
      </c>
      <c r="AB46" s="26">
        <v>8.7250000000000001E-4</v>
      </c>
      <c r="AC46" s="16"/>
      <c r="AD46" s="16"/>
      <c r="AE46">
        <v>2.0720960000000002</v>
      </c>
      <c r="AF46" s="26">
        <v>9.4649999999999997E-4</v>
      </c>
      <c r="AG46" s="16"/>
      <c r="AH46" s="16"/>
      <c r="AI46">
        <v>1.9872110000000001</v>
      </c>
    </row>
    <row r="48" spans="1:35" x14ac:dyDescent="0.25">
      <c r="A48" s="1" t="s">
        <v>28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120</v>
      </c>
      <c r="C50" s="16"/>
      <c r="D50" s="16"/>
      <c r="E50" s="16"/>
      <c r="F50" s="16" t="s">
        <v>121</v>
      </c>
      <c r="G50" s="16"/>
      <c r="H50" s="16"/>
      <c r="I50" s="16"/>
      <c r="J50" s="16" t="s">
        <v>122</v>
      </c>
      <c r="K50" s="16"/>
      <c r="L50" s="16"/>
      <c r="M50" s="16"/>
      <c r="N50" s="16" t="s">
        <v>123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3.1330000000000003E-4</v>
      </c>
      <c r="D54" s="2">
        <v>4.618E-4</v>
      </c>
      <c r="E54">
        <v>1.012645</v>
      </c>
      <c r="F54" t="s">
        <v>22</v>
      </c>
      <c r="G54" s="2">
        <v>3.6460000000000003E-4</v>
      </c>
      <c r="H54" s="2">
        <v>5.3569999999999996E-4</v>
      </c>
      <c r="I54">
        <v>1.2635890000000001</v>
      </c>
      <c r="J54" t="s">
        <v>22</v>
      </c>
      <c r="K54" s="2">
        <v>4.1770000000000002E-4</v>
      </c>
      <c r="L54" s="2">
        <v>6.0559999999999998E-4</v>
      </c>
      <c r="M54">
        <v>1.177667</v>
      </c>
      <c r="N54" t="s">
        <v>22</v>
      </c>
      <c r="O54" s="2">
        <v>4.6789999999999999E-4</v>
      </c>
      <c r="P54" s="2">
        <v>6.7179999999999996E-4</v>
      </c>
      <c r="Q54">
        <v>1.1842280000000001</v>
      </c>
    </row>
    <row r="57" spans="1:17" x14ac:dyDescent="0.25">
      <c r="A57" s="18" t="s">
        <v>23</v>
      </c>
      <c r="B57" s="16" t="s">
        <v>120</v>
      </c>
      <c r="C57" s="16"/>
      <c r="D57" s="16"/>
      <c r="E57" s="16"/>
      <c r="F57" s="16" t="s">
        <v>121</v>
      </c>
      <c r="G57" s="16"/>
      <c r="H57" s="16"/>
      <c r="I57" s="16"/>
      <c r="J57" s="16" t="s">
        <v>122</v>
      </c>
      <c r="K57" s="16"/>
      <c r="L57" s="16"/>
      <c r="M57" s="16"/>
      <c r="N57" s="16" t="s">
        <v>123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3.1330000000000003E-4</v>
      </c>
      <c r="D61" s="2">
        <v>4.6240000000000002E-4</v>
      </c>
      <c r="E61">
        <v>1.155761</v>
      </c>
      <c r="F61" t="s">
        <v>22</v>
      </c>
      <c r="G61" s="2">
        <v>3.9599999999999998E-4</v>
      </c>
      <c r="H61" s="2">
        <v>5.1979999999999995E-4</v>
      </c>
      <c r="I61">
        <v>1.150774</v>
      </c>
      <c r="J61" t="s">
        <v>22</v>
      </c>
      <c r="K61" s="2">
        <v>4.5419999999999998E-4</v>
      </c>
      <c r="L61" s="2">
        <v>5.6519999999999997E-4</v>
      </c>
      <c r="M61">
        <v>1.1416500000000001</v>
      </c>
      <c r="N61" t="s">
        <v>22</v>
      </c>
      <c r="O61" s="2">
        <v>5.0100000000000003E-4</v>
      </c>
      <c r="P61" s="2">
        <v>6.3880000000000002E-4</v>
      </c>
      <c r="Q61">
        <v>0.91507899999999998</v>
      </c>
    </row>
    <row r="64" spans="1:17" x14ac:dyDescent="0.25">
      <c r="A64" s="23" t="s">
        <v>24</v>
      </c>
      <c r="B64" s="16" t="s">
        <v>120</v>
      </c>
      <c r="C64" s="16"/>
      <c r="D64" s="16"/>
      <c r="E64" s="16"/>
      <c r="F64" s="16" t="s">
        <v>121</v>
      </c>
      <c r="G64" s="16"/>
      <c r="H64" s="16"/>
      <c r="I64" s="16"/>
      <c r="J64" s="16" t="s">
        <v>122</v>
      </c>
      <c r="K64" s="16"/>
      <c r="L64" s="16"/>
      <c r="M64" s="16"/>
      <c r="N64" s="16" t="s">
        <v>123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26">
        <v>3.9889999999999999E-4</v>
      </c>
      <c r="C66" s="16"/>
      <c r="D66" s="16"/>
      <c r="E66">
        <v>2.142271</v>
      </c>
      <c r="F66" s="26">
        <v>4.7249999999999999E-4</v>
      </c>
      <c r="G66" s="16"/>
      <c r="H66" s="16"/>
      <c r="I66">
        <v>2.1423510000000001</v>
      </c>
      <c r="J66" s="26">
        <v>5.2939999999999997E-4</v>
      </c>
      <c r="K66" s="16"/>
      <c r="L66" s="16"/>
      <c r="M66">
        <v>2.1157539999999999</v>
      </c>
      <c r="N66" s="26">
        <v>5.8799999999999998E-4</v>
      </c>
      <c r="O66" s="16"/>
      <c r="P66" s="16"/>
      <c r="Q66">
        <v>2.1130949999999999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P73" s="21" t="s">
        <v>35</v>
      </c>
      <c r="Q73" t="s">
        <v>34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21"/>
      <c r="Q74" t="s">
        <v>36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 x14ac:dyDescent="0.25">
      <c r="C75" s="22"/>
      <c r="D75" s="21"/>
      <c r="E75" t="s">
        <v>37</v>
      </c>
      <c r="F75">
        <f t="shared" si="0"/>
        <v>8.6722500000000001E-4</v>
      </c>
      <c r="G75">
        <f t="shared" si="1"/>
        <v>8.6722500000000001E-4</v>
      </c>
      <c r="H75">
        <f t="shared" si="2"/>
        <v>2.184482</v>
      </c>
      <c r="I75">
        <f t="shared" si="3"/>
        <v>8.6722500000000001E-4</v>
      </c>
      <c r="J75">
        <f t="shared" si="4"/>
        <v>8.6722500000000001E-4</v>
      </c>
      <c r="K75">
        <f t="shared" si="5"/>
        <v>2.1451039999999999</v>
      </c>
      <c r="L75">
        <f>0.05*F25+(1-0.05)*B25</f>
        <v>8.5929499999999994E-4</v>
      </c>
      <c r="M75">
        <f>I25+E25</f>
        <v>3.7150179999999997</v>
      </c>
      <c r="P75" s="21"/>
      <c r="Q75" t="s">
        <v>37</v>
      </c>
      <c r="R75">
        <f t="shared" si="6"/>
        <v>8.7345000000000001E-4</v>
      </c>
      <c r="S75">
        <f t="shared" si="7"/>
        <v>8.7345000000000001E-4</v>
      </c>
      <c r="U75">
        <f t="shared" si="8"/>
        <v>8.7345000000000001E-4</v>
      </c>
      <c r="V75">
        <f t="shared" si="9"/>
        <v>8.7345000000000001E-4</v>
      </c>
      <c r="X75">
        <f>0.1*F25+(1-0.1)*B25</f>
        <v>8.6609000000000002E-4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P79" s="21" t="s">
        <v>39</v>
      </c>
      <c r="Q79" t="s">
        <v>34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</row>
    <row r="80" spans="1:27" x14ac:dyDescent="0.25">
      <c r="C80" s="22"/>
      <c r="D80" s="21"/>
      <c r="E80" t="s">
        <v>36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21"/>
      <c r="Q80" t="s">
        <v>36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 x14ac:dyDescent="0.25">
      <c r="C81" s="22"/>
      <c r="D81" s="21"/>
      <c r="E81" t="s">
        <v>37</v>
      </c>
      <c r="F81">
        <f t="shared" si="10"/>
        <v>8.8590000000000001E-4</v>
      </c>
      <c r="G81">
        <f t="shared" si="11"/>
        <v>8.8590000000000001E-4</v>
      </c>
      <c r="I81">
        <f t="shared" si="12"/>
        <v>8.8590000000000001E-4</v>
      </c>
      <c r="J81">
        <f t="shared" si="13"/>
        <v>8.8590000000000001E-4</v>
      </c>
      <c r="L81">
        <f>0.2*F25+(1-0.2)*B25</f>
        <v>8.7967999999999998E-4</v>
      </c>
      <c r="P81" s="21"/>
      <c r="Q81" t="s">
        <v>37</v>
      </c>
      <c r="R81">
        <f t="shared" si="14"/>
        <v>8.9835000000000002E-4</v>
      </c>
      <c r="S81">
        <f t="shared" si="15"/>
        <v>8.9835000000000002E-4</v>
      </c>
      <c r="U81">
        <f t="shared" si="16"/>
        <v>8.9835000000000002E-4</v>
      </c>
      <c r="V81">
        <f t="shared" si="17"/>
        <v>8.9835000000000002E-4</v>
      </c>
      <c r="X81">
        <f>0.3*F25+(1-0.3)*B25</f>
        <v>8.9326999999999994E-4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O86" s="20" t="s">
        <v>41</v>
      </c>
      <c r="P86" s="21" t="s">
        <v>35</v>
      </c>
      <c r="Q86" t="s">
        <v>34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</row>
    <row r="87" spans="2:25" x14ac:dyDescent="0.25">
      <c r="B87" s="22"/>
      <c r="C87" s="20"/>
      <c r="D87" s="21"/>
      <c r="E87" t="s">
        <v>36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20"/>
      <c r="P87" s="21"/>
      <c r="Q87" t="s">
        <v>36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 x14ac:dyDescent="0.25">
      <c r="B88" s="22"/>
      <c r="C88" s="20"/>
      <c r="D88" s="21"/>
      <c r="E88" t="s">
        <v>37</v>
      </c>
      <c r="F88">
        <f t="shared" si="18"/>
        <v>8.7342500000000005E-4</v>
      </c>
      <c r="G88">
        <f t="shared" si="19"/>
        <v>8.7342500000000005E-4</v>
      </c>
      <c r="H88">
        <f t="shared" si="20"/>
        <v>3.1985259999999998</v>
      </c>
      <c r="I88">
        <f t="shared" si="21"/>
        <v>8.7342500000000005E-4</v>
      </c>
      <c r="J88">
        <f t="shared" si="22"/>
        <v>8.7342500000000005E-4</v>
      </c>
      <c r="K88">
        <f t="shared" si="23"/>
        <v>3.2502610000000001</v>
      </c>
      <c r="L88">
        <f>(0.05*(1-0.05)+0.05*(1-0.05))*F25+0.05*0.05*J25+(1-0.05*(1-0.05)-0.05*(1-0.05)-0.05*0.05)*B25</f>
        <v>8.6602925000000002E-4</v>
      </c>
      <c r="M88">
        <f>M25+I25+E25</f>
        <v>5.6154650000000004</v>
      </c>
      <c r="O88" s="20"/>
      <c r="P88" s="21"/>
      <c r="Q88" t="s">
        <v>37</v>
      </c>
      <c r="R88">
        <f t="shared" si="24"/>
        <v>8.8580000000000017E-4</v>
      </c>
      <c r="S88">
        <f t="shared" si="25"/>
        <v>8.8580000000000017E-4</v>
      </c>
      <c r="U88">
        <f t="shared" si="26"/>
        <v>8.8580000000000017E-4</v>
      </c>
      <c r="V88">
        <f t="shared" si="27"/>
        <v>8.8580000000000017E-4</v>
      </c>
      <c r="X88">
        <f>(0.1*0.9+0.1*0.9)*F25+0.1*0.1*J25+(1-0.1*0.9-0.1*0.9-0.1*0.1)*B25</f>
        <v>8.7943700000000006E-4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O92" s="20" t="s">
        <v>43</v>
      </c>
      <c r="P92" s="21" t="s">
        <v>39</v>
      </c>
      <c r="Q92" t="s">
        <v>34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</row>
    <row r="93" spans="2:25" x14ac:dyDescent="0.25">
      <c r="B93" s="22"/>
      <c r="C93" s="20"/>
      <c r="D93" s="21"/>
      <c r="E93" t="s">
        <v>36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20"/>
      <c r="P93" s="21"/>
      <c r="Q93" t="s">
        <v>36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 x14ac:dyDescent="0.25">
      <c r="B94" s="22"/>
      <c r="C94" s="20"/>
      <c r="D94" s="21"/>
      <c r="E94" t="s">
        <v>37</v>
      </c>
      <c r="F94">
        <f t="shared" si="28"/>
        <v>9.1040000000000001E-4</v>
      </c>
      <c r="G94">
        <f t="shared" si="29"/>
        <v>9.1040000000000001E-4</v>
      </c>
      <c r="I94">
        <f t="shared" si="30"/>
        <v>9.1040000000000001E-4</v>
      </c>
      <c r="J94">
        <f t="shared" si="31"/>
        <v>9.1040000000000001E-4</v>
      </c>
      <c r="L94">
        <f>(0.2*0.8+0.2*0.8)*F25+0.2*0.2*J25+(1-0.2*0.8-0.2*0.8-0.2*0.2)*B25</f>
        <v>9.0588799999999998E-4</v>
      </c>
      <c r="O94" s="20"/>
      <c r="P94" s="21"/>
      <c r="Q94" t="s">
        <v>37</v>
      </c>
      <c r="R94">
        <f t="shared" si="32"/>
        <v>9.3480000000000006E-4</v>
      </c>
      <c r="S94">
        <f t="shared" si="33"/>
        <v>9.3480000000000006E-4</v>
      </c>
      <c r="U94">
        <f t="shared" si="34"/>
        <v>9.3480000000000006E-4</v>
      </c>
      <c r="V94">
        <f t="shared" si="35"/>
        <v>9.3480000000000006E-4</v>
      </c>
      <c r="X94">
        <f>(0.3*0.7+0.3*0.7)*F25+0.3*0.3*J25+(1-0.3*0.7-0.3*0.7-0.3*0.3)*B25</f>
        <v>9.3185300000000006E-4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24"/>
      <c r="O100" s="20"/>
      <c r="P100" s="21"/>
      <c r="Q100" t="s">
        <v>36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36"/>
        <v>8.7959943749999988E-4</v>
      </c>
      <c r="G101">
        <f t="shared" si="37"/>
        <v>8.7959943749999988E-4</v>
      </c>
      <c r="H101">
        <f t="shared" si="38"/>
        <v>4.2969520000000001</v>
      </c>
      <c r="I101">
        <f t="shared" si="39"/>
        <v>8.7959943749999988E-4</v>
      </c>
      <c r="J101">
        <f t="shared" si="40"/>
        <v>8.7959943749999988E-4</v>
      </c>
      <c r="K101">
        <f t="shared" si="41"/>
        <v>4.2380709999999997</v>
      </c>
      <c r="L101">
        <f>3*0.05*(1-0.05)*(1-0.05)*F25+3*0.05*0.05*(1-0.05)*J25+0.05*0.05*0.05*N25+(1-3*0.05*(1-0.05)*(1-0.05)-3*0.05*0.05*(1-0.05)-0.05*0.05*0.05)*B25</f>
        <v>8.7270433749999992E-4</v>
      </c>
      <c r="M101">
        <f>Q25+M25+I25+E25</f>
        <v>7.5271410000000003</v>
      </c>
      <c r="N101" s="24"/>
      <c r="O101" s="20"/>
      <c r="P101" s="21"/>
      <c r="Q101" t="s">
        <v>37</v>
      </c>
      <c r="R101">
        <f t="shared" si="42"/>
        <v>8.9804549999999994E-4</v>
      </c>
      <c r="S101">
        <f t="shared" si="43"/>
        <v>8.9804549999999994E-4</v>
      </c>
      <c r="U101">
        <f t="shared" si="44"/>
        <v>8.9804549999999994E-4</v>
      </c>
      <c r="V101">
        <f t="shared" si="45"/>
        <v>8.9804549999999994E-4</v>
      </c>
      <c r="X101">
        <f>3*0.1*(1-0.1)*(1-0.1)*F25+3*0.1*0.1*(1-0.1)*J25+0.1*0.1*0.1*N25+(1-3*0.1*(1-0.1)*(1-0.1)-3*0.1*0.1*(1-0.1)-0.1*0.1*0.1)*B25</f>
        <v>8.9255369999999994E-4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24"/>
      <c r="O106" s="20"/>
      <c r="P106" s="21"/>
      <c r="Q106" t="s">
        <v>36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46"/>
        <v>9.3446399999999998E-4</v>
      </c>
      <c r="G107">
        <f t="shared" si="47"/>
        <v>9.3446399999999998E-4</v>
      </c>
      <c r="I107">
        <f t="shared" si="48"/>
        <v>9.3446399999999998E-4</v>
      </c>
      <c r="J107">
        <f t="shared" si="49"/>
        <v>9.3446399999999998E-4</v>
      </c>
      <c r="L107">
        <f>3*0.2*(1-0.2)*(1-0.2)*F25+3*0.2*0.2*(1-0.2)*J25+0.2*0.2*0.2*N25+(1-3*0.2*(1-0.2)*(1-0.2)-3*0.2*0.2*(1-0.2)-0.2*0.2*0.2)*B25</f>
        <v>9.3122559999999992E-4</v>
      </c>
      <c r="N107" s="24"/>
      <c r="O107" s="20"/>
      <c r="P107" s="21"/>
      <c r="Q107" t="s">
        <v>37</v>
      </c>
      <c r="R107">
        <f t="shared" si="50"/>
        <v>9.7022850000000002E-4</v>
      </c>
      <c r="S107">
        <f t="shared" si="51"/>
        <v>9.7022850000000002E-4</v>
      </c>
      <c r="U107">
        <f t="shared" si="52"/>
        <v>9.7022850000000002E-4</v>
      </c>
      <c r="V107">
        <f t="shared" si="53"/>
        <v>9.7022850000000002E-4</v>
      </c>
      <c r="X107">
        <f>3*0.3*(1-0.3)*(1-0.3)*F25+3*0.3*0.3*(1-0.3)*J25+0.3*0.3*0.3*N25+(1-3*0.3*(1-0.3)*(1-0.3)-3*0.3*0.3*(1-0.3)-0.3*0.3*0.3)*B25</f>
        <v>9.6859190000000007E-4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P112" s="21" t="s">
        <v>35</v>
      </c>
      <c r="Q112" t="s">
        <v>34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</row>
    <row r="113" spans="2:25" x14ac:dyDescent="0.25">
      <c r="C113" s="22"/>
      <c r="D113" s="21"/>
      <c r="E113" t="s">
        <v>36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21"/>
      <c r="Q113" t="s">
        <v>36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 x14ac:dyDescent="0.25">
      <c r="C114" s="22"/>
      <c r="D114" s="21"/>
      <c r="E114" t="s">
        <v>37</v>
      </c>
      <c r="F114">
        <f t="shared" si="54"/>
        <v>8.5591499999999984E-4</v>
      </c>
      <c r="G114">
        <f t="shared" si="55"/>
        <v>8.5631999999999993E-4</v>
      </c>
      <c r="H114">
        <f t="shared" si="56"/>
        <v>1.9524029999999999</v>
      </c>
      <c r="I114">
        <f t="shared" si="57"/>
        <v>8.5553499999999993E-4</v>
      </c>
      <c r="J114">
        <f t="shared" si="58"/>
        <v>8.6864000000000006E-4</v>
      </c>
      <c r="K114">
        <f t="shared" si="59"/>
        <v>1.850867</v>
      </c>
      <c r="L114">
        <f>0.05*X25+(1-0.05)*T25</f>
        <v>8.5390999999999993E-4</v>
      </c>
      <c r="M114">
        <f>AA25+W25</f>
        <v>3.7146970000000001</v>
      </c>
      <c r="P114" s="21"/>
      <c r="Q114" t="s">
        <v>37</v>
      </c>
      <c r="R114">
        <f t="shared" si="60"/>
        <v>8.6202999999999996E-4</v>
      </c>
      <c r="S114">
        <f t="shared" si="61"/>
        <v>8.6243999999999991E-4</v>
      </c>
      <c r="U114">
        <f t="shared" si="62"/>
        <v>8.6167000000000004E-4</v>
      </c>
      <c r="V114">
        <f t="shared" si="63"/>
        <v>8.7487999999999997E-4</v>
      </c>
      <c r="X114">
        <f>0.1*X25+(1-0.1)*T25</f>
        <v>8.6012000000000003E-4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P118" s="21" t="s">
        <v>39</v>
      </c>
      <c r="Q118" t="s">
        <v>34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</row>
    <row r="119" spans="2:25" x14ac:dyDescent="0.25">
      <c r="C119" s="22"/>
      <c r="D119" s="21"/>
      <c r="E119" t="s">
        <v>36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21"/>
      <c r="Q119" t="s">
        <v>36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 x14ac:dyDescent="0.25">
      <c r="C120" s="22"/>
      <c r="D120" s="21"/>
      <c r="E120" t="s">
        <v>37</v>
      </c>
      <c r="F120">
        <f t="shared" si="64"/>
        <v>8.7426000000000008E-4</v>
      </c>
      <c r="G120">
        <f t="shared" si="65"/>
        <v>8.7467999999999997E-4</v>
      </c>
      <c r="I120">
        <f t="shared" si="66"/>
        <v>8.7394000000000013E-4</v>
      </c>
      <c r="J120">
        <f t="shared" si="67"/>
        <v>8.8736000000000012E-4</v>
      </c>
      <c r="L120">
        <f>0.2*X25+(1-0.2)*T25</f>
        <v>8.7253999999999999E-4</v>
      </c>
      <c r="P120" s="21"/>
      <c r="Q120" t="s">
        <v>37</v>
      </c>
      <c r="R120">
        <f t="shared" si="68"/>
        <v>8.8648999999999998E-4</v>
      </c>
      <c r="S120">
        <f t="shared" si="69"/>
        <v>8.8692000000000003E-4</v>
      </c>
      <c r="U120">
        <f t="shared" si="70"/>
        <v>8.8621000000000012E-4</v>
      </c>
      <c r="V120">
        <f t="shared" si="71"/>
        <v>8.9983999999999995E-4</v>
      </c>
      <c r="X120">
        <f>0.3*X25+(1-0.3)*T25</f>
        <v>8.8495999999999996E-4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O125" s="20" t="s">
        <v>41</v>
      </c>
      <c r="P125" s="21" t="s">
        <v>35</v>
      </c>
      <c r="Q125" t="s">
        <v>34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</row>
    <row r="126" spans="2:25" x14ac:dyDescent="0.25">
      <c r="B126" s="22"/>
      <c r="C126" s="20"/>
      <c r="D126" s="21"/>
      <c r="E126" t="s">
        <v>36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20"/>
      <c r="P126" s="21"/>
      <c r="Q126" t="s">
        <v>36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 x14ac:dyDescent="0.25">
      <c r="B127" s="22"/>
      <c r="C127" s="20"/>
      <c r="D127" s="21"/>
      <c r="E127" t="s">
        <v>37</v>
      </c>
      <c r="F127">
        <f t="shared" si="72"/>
        <v>8.6204400000000007E-4</v>
      </c>
      <c r="G127">
        <f t="shared" si="73"/>
        <v>8.6245249999999994E-4</v>
      </c>
      <c r="H127">
        <f t="shared" si="74"/>
        <v>2.9444870000000001</v>
      </c>
      <c r="I127">
        <f t="shared" si="75"/>
        <v>8.6168300000000013E-4</v>
      </c>
      <c r="J127">
        <f t="shared" si="76"/>
        <v>8.7485000000000015E-4</v>
      </c>
      <c r="K127">
        <f t="shared" si="77"/>
        <v>2.8069249999999997</v>
      </c>
      <c r="L127">
        <f>(0.05*(1-0.05)+0.05*(1-0.05))*X25+0.05*0.05*AB25+(1-0.05*(1-0.05)-0.05*(1-0.05)-0.05*0.05)*T25</f>
        <v>8.601297500000001E-4</v>
      </c>
      <c r="M127">
        <f>AE25+AA25+W25</f>
        <v>5.8577760000000003</v>
      </c>
      <c r="O127" s="20"/>
      <c r="P127" s="21"/>
      <c r="Q127" t="s">
        <v>37</v>
      </c>
      <c r="R127">
        <f t="shared" si="78"/>
        <v>8.7431600000000009E-4</v>
      </c>
      <c r="S127">
        <f t="shared" si="79"/>
        <v>8.7473E-4</v>
      </c>
      <c r="U127">
        <f t="shared" si="80"/>
        <v>8.7399200000000008E-4</v>
      </c>
      <c r="V127">
        <f t="shared" si="81"/>
        <v>8.8724000000000008E-4</v>
      </c>
      <c r="X127">
        <f>(0.1*0.9+0.1*0.9)*X25+0.1*0.1*AB25+(1-0.1*0.9-0.1*0.9-0.1*0.1)*T25</f>
        <v>8.7257900000000006E-4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O131" s="20" t="s">
        <v>43</v>
      </c>
      <c r="P131" s="21" t="s">
        <v>39</v>
      </c>
      <c r="Q131" t="s">
        <v>34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</row>
    <row r="132" spans="1:25" x14ac:dyDescent="0.25">
      <c r="B132" s="22"/>
      <c r="C132" s="20"/>
      <c r="D132" s="21"/>
      <c r="E132" t="s">
        <v>36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20"/>
      <c r="P132" s="21"/>
      <c r="Q132" t="s">
        <v>36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 x14ac:dyDescent="0.25">
      <c r="B133" s="22"/>
      <c r="C133" s="20"/>
      <c r="D133" s="21"/>
      <c r="E133" t="s">
        <v>37</v>
      </c>
      <c r="F133">
        <f t="shared" si="82"/>
        <v>8.9894400000000005E-4</v>
      </c>
      <c r="G133">
        <f t="shared" si="83"/>
        <v>8.9935999999999987E-4</v>
      </c>
      <c r="I133">
        <f t="shared" si="84"/>
        <v>8.9868800000000003E-4</v>
      </c>
      <c r="J133">
        <f t="shared" si="85"/>
        <v>9.1184000000000002E-4</v>
      </c>
      <c r="L133">
        <f>(0.2*0.8+0.2*0.8)*X25+0.2*0.2*AB25+(1-0.2*0.8-0.2*0.8-0.2*0.2)*T25</f>
        <v>8.9753599999999999E-4</v>
      </c>
      <c r="O133" s="20"/>
      <c r="P133" s="21"/>
      <c r="Q133" t="s">
        <v>37</v>
      </c>
      <c r="R133">
        <f t="shared" si="86"/>
        <v>9.2368400000000003E-4</v>
      </c>
      <c r="S133">
        <f t="shared" si="87"/>
        <v>9.2409000000000002E-4</v>
      </c>
      <c r="U133">
        <f t="shared" si="88"/>
        <v>9.2348800000000009E-4</v>
      </c>
      <c r="V133">
        <f t="shared" si="89"/>
        <v>9.362000000000001E-4</v>
      </c>
      <c r="X133">
        <f>(0.3*0.7+0.3*0.7)*X25+0.3*0.3*AB25+(1-0.3*0.7-0.3*0.7-0.3*0.3)*T25</f>
        <v>9.2257100000000007E-4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24"/>
      <c r="O139" s="20"/>
      <c r="P139" s="21"/>
      <c r="Q139" t="s">
        <v>36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90"/>
        <v>8.681828124999999E-4</v>
      </c>
      <c r="G140">
        <f t="shared" si="91"/>
        <v>8.685934499999998E-4</v>
      </c>
      <c r="H140">
        <f t="shared" si="92"/>
        <v>3.8648180000000001</v>
      </c>
      <c r="I140">
        <f t="shared" si="93"/>
        <v>8.6783986249999994E-4</v>
      </c>
      <c r="J140">
        <f t="shared" si="94"/>
        <v>8.8102989999999995E-4</v>
      </c>
      <c r="K140">
        <f t="shared" si="95"/>
        <v>3.6991770000000006</v>
      </c>
      <c r="L140">
        <f>3*0.05*(1-0.05)*(1-0.05)*X25+3*0.05*0.05*(1-0.05)*AB25+0.05*0.05*0.05*AF25+(1-3*0.05*(1-0.05)*(1-0.05)-3*0.05*0.05*(1-0.05)-0.05*0.05*0.05)*T25</f>
        <v>8.6635524999999984E-4</v>
      </c>
      <c r="M140">
        <f>AI25+AE25+AA25+W25</f>
        <v>7.6771349999999998</v>
      </c>
      <c r="N140" s="24"/>
      <c r="O140" s="20"/>
      <c r="P140" s="21"/>
      <c r="Q140" t="s">
        <v>37</v>
      </c>
      <c r="R140">
        <f t="shared" si="96"/>
        <v>8.8662449999999987E-4</v>
      </c>
      <c r="S140">
        <f t="shared" si="97"/>
        <v>8.870375999999999E-4</v>
      </c>
      <c r="U140">
        <f t="shared" si="98"/>
        <v>8.8633289999999997E-4</v>
      </c>
      <c r="V140">
        <f t="shared" si="99"/>
        <v>8.9947919999999997E-4</v>
      </c>
      <c r="X140">
        <f>3*0.1*(1-0.1)*(1-0.1)*X25+3*0.1*0.1*(1-0.1)*AB25+0.1*0.1*0.1*AF25+(1-3*0.1*(1-0.1)*(1-0.1)-3*0.1*0.1*(1-0.1)-0.1*0.1*0.1)*T25</f>
        <v>8.8504499999999989E-4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24"/>
      <c r="O145" s="20"/>
      <c r="P145" s="21"/>
      <c r="Q145" t="s">
        <v>36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100"/>
        <v>9.2358399999999986E-4</v>
      </c>
      <c r="G146">
        <f t="shared" si="101"/>
        <v>9.2398079999999987E-4</v>
      </c>
      <c r="I146">
        <f t="shared" si="102"/>
        <v>9.2337919999999996E-4</v>
      </c>
      <c r="J146">
        <f t="shared" si="103"/>
        <v>9.3583359999999984E-4</v>
      </c>
      <c r="L146">
        <f>3*0.2*(1-0.2)*(1-0.2)*X25+3*0.2*0.2*(1-0.2)*AB25+0.2*0.2*0.2*AF25+(1-3*0.2*(1-0.2)*(1-0.2)-3*0.2*0.2*(1-0.2)-0.2*0.2*0.2)*T25</f>
        <v>9.2243199999999994E-4</v>
      </c>
      <c r="N146" s="24"/>
      <c r="O146" s="20"/>
      <c r="P146" s="21"/>
      <c r="Q146" t="s">
        <v>37</v>
      </c>
      <c r="R146">
        <f t="shared" si="104"/>
        <v>9.6047750000000012E-4</v>
      </c>
      <c r="S146">
        <f t="shared" si="105"/>
        <v>9.6083520000000001E-4</v>
      </c>
      <c r="U146">
        <f t="shared" si="106"/>
        <v>9.6034030000000017E-4</v>
      </c>
      <c r="V146">
        <f t="shared" si="107"/>
        <v>9.7145840000000005E-4</v>
      </c>
      <c r="X146">
        <f>3*0.3*(1-0.3)*(1-0.3)*X25+3*0.3*0.3*(1-0.3)*AB25+0.3*0.3*0.3*AF25+(1-3*0.3*(1-0.3)*(1-0.3)-3*0.3*0.3*(1-0.3)-0.3*0.3*0.3)*T25</f>
        <v>9.5966900000000002E-4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P151" s="21" t="s">
        <v>35</v>
      </c>
      <c r="Q151" t="s">
        <v>34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</row>
    <row r="152" spans="1:25" x14ac:dyDescent="0.25">
      <c r="C152" s="22"/>
      <c r="D152" s="21"/>
      <c r="E152" t="s">
        <v>36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21"/>
      <c r="Q152" t="s">
        <v>36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 x14ac:dyDescent="0.25">
      <c r="C153" s="22"/>
      <c r="D153" s="21"/>
      <c r="E153" t="s">
        <v>37</v>
      </c>
      <c r="F153">
        <f t="shared" si="108"/>
        <v>8.0199000000000004E-4</v>
      </c>
      <c r="G153">
        <f t="shared" si="109"/>
        <v>8.1177499999999993E-4</v>
      </c>
      <c r="H153">
        <f t="shared" si="110"/>
        <v>2.1531899999999999</v>
      </c>
      <c r="I153">
        <f t="shared" si="111"/>
        <v>8.02015E-4</v>
      </c>
      <c r="J153">
        <f t="shared" si="112"/>
        <v>8.1549499999999996E-4</v>
      </c>
      <c r="K153">
        <f t="shared" si="113"/>
        <v>2.141667</v>
      </c>
      <c r="L153">
        <f>0.05*F46+(1-0.05)*B46</f>
        <v>8.1434499999999996E-4</v>
      </c>
      <c r="M153">
        <f>I46+E46</f>
        <v>3.7472760000000003</v>
      </c>
      <c r="P153" s="21"/>
      <c r="Q153" t="s">
        <v>37</v>
      </c>
      <c r="R153">
        <f t="shared" si="114"/>
        <v>8.0767999999999996E-4</v>
      </c>
      <c r="S153">
        <f t="shared" si="115"/>
        <v>8.1755E-4</v>
      </c>
      <c r="U153">
        <f t="shared" si="116"/>
        <v>8.0772999999999999E-4</v>
      </c>
      <c r="V153">
        <f t="shared" si="117"/>
        <v>8.2118999999999996E-4</v>
      </c>
      <c r="X153">
        <f>0.1*F46+(1-0.1)*B46</f>
        <v>8.1998999999999993E-4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P157" s="21" t="s">
        <v>39</v>
      </c>
      <c r="Q157" t="s">
        <v>34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</row>
    <row r="158" spans="1:25" x14ac:dyDescent="0.25">
      <c r="C158" s="22"/>
      <c r="D158" s="21"/>
      <c r="E158" t="s">
        <v>36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21"/>
      <c r="Q158" t="s">
        <v>36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 x14ac:dyDescent="0.25">
      <c r="C159" s="22"/>
      <c r="D159" s="21"/>
      <c r="E159" t="s">
        <v>37</v>
      </c>
      <c r="F159">
        <f t="shared" si="118"/>
        <v>8.1906000000000004E-4</v>
      </c>
      <c r="G159">
        <f t="shared" si="119"/>
        <v>8.2910000000000004E-4</v>
      </c>
      <c r="I159">
        <f t="shared" si="120"/>
        <v>8.1916000000000009E-4</v>
      </c>
      <c r="J159">
        <f t="shared" si="121"/>
        <v>8.3257999999999997E-4</v>
      </c>
      <c r="L159">
        <f>0.2*F46+(1-0.2)*B46</f>
        <v>8.3128E-4</v>
      </c>
      <c r="P159" s="21"/>
      <c r="Q159" t="s">
        <v>37</v>
      </c>
      <c r="R159">
        <f t="shared" si="122"/>
        <v>8.3043999999999989E-4</v>
      </c>
      <c r="S159">
        <f t="shared" si="123"/>
        <v>8.4064999999999986E-4</v>
      </c>
      <c r="U159">
        <f t="shared" si="124"/>
        <v>8.3058999999999997E-4</v>
      </c>
      <c r="V159">
        <f t="shared" si="125"/>
        <v>8.4396999999999988E-4</v>
      </c>
      <c r="X159">
        <f>0.3*F46+(1-0.3)*B46</f>
        <v>8.4256999999999995E-4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O164" s="20" t="s">
        <v>41</v>
      </c>
      <c r="P164" s="21" t="s">
        <v>35</v>
      </c>
      <c r="Q164" t="s">
        <v>34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</row>
    <row r="165" spans="2:25" x14ac:dyDescent="0.25">
      <c r="B165" s="22"/>
      <c r="C165" s="20"/>
      <c r="D165" s="21"/>
      <c r="E165" t="s">
        <v>36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20"/>
      <c r="P165" s="21"/>
      <c r="Q165" t="s">
        <v>36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 x14ac:dyDescent="0.25">
      <c r="B166" s="22"/>
      <c r="C166" s="20"/>
      <c r="D166" s="21"/>
      <c r="E166" t="s">
        <v>37</v>
      </c>
      <c r="F166">
        <f t="shared" si="126"/>
        <v>8.0762025000000008E-4</v>
      </c>
      <c r="G166">
        <f t="shared" si="127"/>
        <v>8.1745750000000001E-4</v>
      </c>
      <c r="H166">
        <f t="shared" si="128"/>
        <v>3.1791399999999999</v>
      </c>
      <c r="I166">
        <f t="shared" si="129"/>
        <v>8.0766775000000002E-4</v>
      </c>
      <c r="J166">
        <f t="shared" si="130"/>
        <v>8.21096E-4</v>
      </c>
      <c r="K166">
        <f t="shared" si="131"/>
        <v>3.1185489999999998</v>
      </c>
      <c r="L166">
        <f>(0.05*(1-0.05)+0.05*(1-0.05))*F46+0.05*0.05*J46+(1-0.05*(1-0.05)-0.05*(1-0.05)-0.05*0.05)*B46</f>
        <v>8.1990375000000001E-4</v>
      </c>
      <c r="M166">
        <f>M46+I46+E46</f>
        <v>5.6425450000000001</v>
      </c>
      <c r="O166" s="20"/>
      <c r="P166" s="21"/>
      <c r="Q166" t="s">
        <v>37</v>
      </c>
      <c r="R166">
        <f t="shared" si="132"/>
        <v>8.1882099999999996E-4</v>
      </c>
      <c r="S166">
        <f t="shared" si="133"/>
        <v>8.2872999999999996E-4</v>
      </c>
      <c r="U166">
        <f t="shared" si="134"/>
        <v>8.1891100000000007E-4</v>
      </c>
      <c r="V166">
        <f t="shared" si="135"/>
        <v>8.3220400000000002E-4</v>
      </c>
      <c r="X166">
        <f>(0.1*0.9+0.1*0.9)*F46+0.1*0.1*J46+(1-0.1*0.9-0.1*0.9-0.1*0.1)*B46</f>
        <v>8.3093500000000009E-4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O170" s="20" t="s">
        <v>43</v>
      </c>
      <c r="P170" s="21" t="s">
        <v>39</v>
      </c>
      <c r="Q170" t="s">
        <v>34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</row>
    <row r="171" spans="2:25" x14ac:dyDescent="0.25">
      <c r="B171" s="22"/>
      <c r="C171" s="20"/>
      <c r="D171" s="21"/>
      <c r="E171" t="s">
        <v>36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20"/>
      <c r="P171" s="21"/>
      <c r="Q171" t="s">
        <v>36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 x14ac:dyDescent="0.25">
      <c r="B172" s="22"/>
      <c r="C172" s="20"/>
      <c r="D172" s="21"/>
      <c r="E172" t="s">
        <v>37</v>
      </c>
      <c r="F172">
        <f t="shared" si="136"/>
        <v>8.4086399999999998E-4</v>
      </c>
      <c r="G172">
        <f t="shared" si="137"/>
        <v>8.5072000000000001E-4</v>
      </c>
      <c r="I172">
        <f t="shared" si="138"/>
        <v>8.4102399999999989E-4</v>
      </c>
      <c r="J172">
        <f t="shared" si="139"/>
        <v>8.5385599999999984E-4</v>
      </c>
      <c r="L172">
        <f>(0.2*0.8+0.2*0.8)*F46+0.2*0.2*J46+(1-0.2*0.8-0.2*0.8-0.2*0.2)*B46</f>
        <v>8.5247999999999997E-4</v>
      </c>
      <c r="O172" s="20"/>
      <c r="P172" s="21"/>
      <c r="Q172" t="s">
        <v>37</v>
      </c>
      <c r="R172">
        <f t="shared" si="140"/>
        <v>8.6242900000000006E-4</v>
      </c>
      <c r="S172">
        <f t="shared" si="141"/>
        <v>8.7197000000000012E-4</v>
      </c>
      <c r="U172">
        <f t="shared" si="142"/>
        <v>8.6263900000000001E-4</v>
      </c>
      <c r="V172">
        <f t="shared" si="143"/>
        <v>8.7475599999999997E-4</v>
      </c>
      <c r="X172">
        <f>(0.3*0.7+0.3*0.7)*F46+0.3*0.3*J46+(1-0.3*0.7-0.3*0.7-0.3*0.3)*B46</f>
        <v>8.7333500000000004E-4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24"/>
      <c r="O178" s="20"/>
      <c r="P178" s="21"/>
      <c r="Q178" t="s">
        <v>36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144"/>
        <v>8.1319499999999985E-4</v>
      </c>
      <c r="G179">
        <f t="shared" si="145"/>
        <v>8.2305481249999994E-4</v>
      </c>
      <c r="H179">
        <f t="shared" si="146"/>
        <v>4.2065060000000001</v>
      </c>
      <c r="I179">
        <f t="shared" si="147"/>
        <v>8.1458768749999994E-4</v>
      </c>
      <c r="J179">
        <f t="shared" si="148"/>
        <v>8.2801066249999986E-4</v>
      </c>
      <c r="K179">
        <f t="shared" si="149"/>
        <v>4.0254330000000005</v>
      </c>
      <c r="L179">
        <f>3*0.05*(1-0.05)*(1-0.05)*F46+3*0.05*0.05*(1-0.05)*J46+0.05*0.05*0.05*N46+(1-3*0.05*(1-0.05)*(1-0.05)-3*0.05*0.05*(1-0.05)-0.05*0.05*0.05)*B46</f>
        <v>8.2674576249999981E-4</v>
      </c>
      <c r="M179">
        <f>Q46+M46+I46+E46</f>
        <v>7.4781279999999999</v>
      </c>
      <c r="N179" s="24"/>
      <c r="O179" s="20"/>
      <c r="P179" s="21"/>
      <c r="Q179" t="s">
        <v>37</v>
      </c>
      <c r="R179">
        <f t="shared" si="150"/>
        <v>8.2975699999999998E-4</v>
      </c>
      <c r="S179">
        <f t="shared" si="151"/>
        <v>8.3959849999999995E-4</v>
      </c>
      <c r="U179">
        <f t="shared" si="152"/>
        <v>8.4047850000000003E-4</v>
      </c>
      <c r="V179">
        <f t="shared" si="153"/>
        <v>8.5410329999999993E-4</v>
      </c>
      <c r="X179">
        <f>3*0.1*(1-0.1)*(1-0.1)*F46+3*0.1*0.1*(1-0.1)*J46+0.1*0.1*0.1*N46+(1-3*0.1*(1-0.1)*(1-0.1)-3*0.1*0.1*(1-0.1)-0.1*0.1*0.1)*B46</f>
        <v>8.5249109999999996E-4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24"/>
      <c r="O184" s="20"/>
      <c r="P184" s="21"/>
      <c r="Q184" t="s">
        <v>36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154"/>
        <v>8.6198399999999999E-4</v>
      </c>
      <c r="G185">
        <f t="shared" si="155"/>
        <v>8.7132799999999999E-4</v>
      </c>
      <c r="I185">
        <f t="shared" si="156"/>
        <v>9.4697599999999998E-4</v>
      </c>
      <c r="J185">
        <f t="shared" si="157"/>
        <v>9.6371839999999994E-4</v>
      </c>
      <c r="L185">
        <f>3*0.2*(1-0.2)*(1-0.2)*F46+3*0.2*0.2*(1-0.2)*J46+0.2*0.2*0.2*N46+(1-3*0.2*(1-0.2)*(1-0.2)-3*0.2*0.2*(1-0.2)-0.2*0.2*0.2)*B46</f>
        <v>9.5994880000000002E-4</v>
      </c>
      <c r="N185" s="24"/>
      <c r="O185" s="20"/>
      <c r="P185" s="21"/>
      <c r="Q185" t="s">
        <v>37</v>
      </c>
      <c r="R185">
        <f t="shared" si="158"/>
        <v>8.9318500000000012E-4</v>
      </c>
      <c r="S185">
        <f t="shared" si="159"/>
        <v>9.0153949999999998E-4</v>
      </c>
      <c r="U185">
        <f t="shared" si="160"/>
        <v>1.1796055000000002E-3</v>
      </c>
      <c r="V185">
        <f t="shared" si="161"/>
        <v>1.2062131000000001E-3</v>
      </c>
      <c r="X185">
        <f>3*0.3*(1-0.3)*(1-0.3)*F46+3*0.3*0.3*(1-0.3)*J46+0.3*0.3*0.3*N46+(1-3*0.3*(1-0.3)*(1-0.3)-3*0.3*0.3*(1-0.3)-0.3*0.3*0.3)*B46</f>
        <v>1.1968097000000001E-3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P190" s="21" t="s">
        <v>35</v>
      </c>
      <c r="Q190" t="s">
        <v>34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</row>
    <row r="191" spans="1:25" x14ac:dyDescent="0.25">
      <c r="C191" s="22"/>
      <c r="D191" s="21"/>
      <c r="E191" t="s">
        <v>36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21"/>
      <c r="Q191" t="s">
        <v>36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 x14ac:dyDescent="0.25">
      <c r="C192" s="22"/>
      <c r="D192" s="21"/>
      <c r="E192" t="s">
        <v>37</v>
      </c>
      <c r="F192">
        <f t="shared" si="162"/>
        <v>6.323949999999999E-4</v>
      </c>
      <c r="G192">
        <f t="shared" si="163"/>
        <v>7.0425999999999996E-4</v>
      </c>
      <c r="H192">
        <f t="shared" si="164"/>
        <v>2.012273</v>
      </c>
      <c r="I192">
        <f t="shared" si="165"/>
        <v>6.330699999999999E-4</v>
      </c>
      <c r="J192">
        <f t="shared" si="166"/>
        <v>7.0428999999999999E-4</v>
      </c>
      <c r="K192">
        <f t="shared" si="167"/>
        <v>1.944496</v>
      </c>
      <c r="L192">
        <f>0.05*X46+(1-0.05)*T46</f>
        <v>6.9203500000000002E-4</v>
      </c>
      <c r="M192">
        <f>AA46+W46</f>
        <v>3.674274</v>
      </c>
      <c r="P192" s="21"/>
      <c r="Q192" t="s">
        <v>37</v>
      </c>
      <c r="R192">
        <f t="shared" si="168"/>
        <v>6.3698999999999993E-4</v>
      </c>
      <c r="S192">
        <f t="shared" si="169"/>
        <v>7.0931999999999994E-4</v>
      </c>
      <c r="U192">
        <f t="shared" si="170"/>
        <v>6.3833999999999994E-4</v>
      </c>
      <c r="V192">
        <f t="shared" si="171"/>
        <v>7.0937999999999991E-4</v>
      </c>
      <c r="X192">
        <f>0.1*X46+(1-0.1)*T46</f>
        <v>6.9587000000000002E-4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P196" s="21" t="s">
        <v>39</v>
      </c>
      <c r="Q196" t="s">
        <v>34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</row>
    <row r="197" spans="2:25" x14ac:dyDescent="0.25">
      <c r="C197" s="22"/>
      <c r="D197" s="21"/>
      <c r="E197" t="s">
        <v>36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21"/>
      <c r="Q197" t="s">
        <v>36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 x14ac:dyDescent="0.25">
      <c r="C198" s="22"/>
      <c r="D198" s="21"/>
      <c r="E198" t="s">
        <v>37</v>
      </c>
      <c r="F198">
        <f t="shared" si="172"/>
        <v>6.461800000000001E-4</v>
      </c>
      <c r="G198">
        <f t="shared" si="173"/>
        <v>7.1944000000000001E-4</v>
      </c>
      <c r="I198">
        <f t="shared" si="174"/>
        <v>6.4888000000000012E-4</v>
      </c>
      <c r="J198">
        <f t="shared" si="175"/>
        <v>7.1955999999999995E-4</v>
      </c>
      <c r="L198">
        <f>0.2*X46+(1-0.2)*T46</f>
        <v>7.0354000000000011E-4</v>
      </c>
      <c r="P198" s="21"/>
      <c r="Q198" t="s">
        <v>37</v>
      </c>
      <c r="R198">
        <f t="shared" si="176"/>
        <v>6.5536999999999995E-4</v>
      </c>
      <c r="S198">
        <f t="shared" si="177"/>
        <v>7.2955999999999997E-4</v>
      </c>
      <c r="U198">
        <f t="shared" si="178"/>
        <v>6.5941999999999997E-4</v>
      </c>
      <c r="V198">
        <f t="shared" si="179"/>
        <v>7.2973999999999999E-4</v>
      </c>
      <c r="X198">
        <f>0.3*X46+(1-0.3)*T46</f>
        <v>7.1120999999999999E-4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0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0</v>
      </c>
    </row>
    <row r="204" spans="2:25" x14ac:dyDescent="0.25">
      <c r="B204" s="22"/>
      <c r="C204" s="20"/>
      <c r="D204" s="21"/>
      <c r="E204" t="s">
        <v>36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>AE40+AA40+W40</f>
        <v>0</v>
      </c>
      <c r="O204" s="20"/>
      <c r="P204" s="21"/>
      <c r="Q204" t="s">
        <v>36</v>
      </c>
      <c r="R204">
        <f t="shared" si="185"/>
        <v>0</v>
      </c>
      <c r="S204">
        <f t="shared" si="186"/>
        <v>0</v>
      </c>
      <c r="U204">
        <f t="shared" si="187"/>
        <v>0</v>
      </c>
      <c r="V204">
        <f t="shared" si="188"/>
        <v>0</v>
      </c>
    </row>
    <row r="205" spans="2:25" x14ac:dyDescent="0.25">
      <c r="B205" s="22"/>
      <c r="C205" s="20"/>
      <c r="D205" s="21"/>
      <c r="E205" t="s">
        <v>37</v>
      </c>
      <c r="F205">
        <f t="shared" si="180"/>
        <v>6.3698399999999994E-4</v>
      </c>
      <c r="G205">
        <f t="shared" si="181"/>
        <v>7.0931550000000003E-4</v>
      </c>
      <c r="H205">
        <f t="shared" si="182"/>
        <v>3.0266609999999998</v>
      </c>
      <c r="I205">
        <f t="shared" si="183"/>
        <v>6.3829700000000002E-4</v>
      </c>
      <c r="J205">
        <f t="shared" si="184"/>
        <v>7.0937100000000009E-4</v>
      </c>
      <c r="K205">
        <f>AE41+AA41+W41</f>
        <v>3.081502</v>
      </c>
      <c r="L205">
        <f>(0.05*(1-0.05)+0.05*(1-0.05))*X46+0.05*0.05*AB46+(1-0.05*(1-0.05)-0.05*(1-0.05)-0.05*0.05)*T46</f>
        <v>6.9594725000000001E-4</v>
      </c>
      <c r="M205">
        <f>AE46+AA46+W46</f>
        <v>5.7463700000000006</v>
      </c>
      <c r="O205" s="20"/>
      <c r="P205" s="21"/>
      <c r="Q205" t="s">
        <v>37</v>
      </c>
      <c r="R205">
        <f t="shared" si="185"/>
        <v>6.4615600000000005E-4</v>
      </c>
      <c r="S205">
        <f t="shared" si="186"/>
        <v>7.1942200000000005E-4</v>
      </c>
      <c r="U205">
        <f t="shared" si="187"/>
        <v>6.4870800000000001E-4</v>
      </c>
      <c r="V205">
        <f t="shared" si="188"/>
        <v>7.1952400000000003E-4</v>
      </c>
      <c r="X205">
        <f>(0.1*0.9+0.1*0.9)*X46+0.1*0.1*AB46+(1-0.1*0.9-0.1*0.9-0.1*0.1)*T46</f>
        <v>7.038490000000001E-4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0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0</v>
      </c>
      <c r="O209" s="20" t="s">
        <v>43</v>
      </c>
      <c r="P209" s="21" t="s">
        <v>39</v>
      </c>
      <c r="Q209" t="s">
        <v>34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0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0</v>
      </c>
    </row>
    <row r="210" spans="1:25" x14ac:dyDescent="0.25">
      <c r="B210" s="22"/>
      <c r="C210" s="20"/>
      <c r="D210" s="21"/>
      <c r="E210" t="s">
        <v>36</v>
      </c>
      <c r="F210">
        <f t="shared" si="189"/>
        <v>0</v>
      </c>
      <c r="G210">
        <f t="shared" si="190"/>
        <v>0</v>
      </c>
      <c r="I210">
        <f t="shared" si="191"/>
        <v>0</v>
      </c>
      <c r="J210">
        <f t="shared" si="192"/>
        <v>0</v>
      </c>
      <c r="O210" s="20"/>
      <c r="P210" s="21"/>
      <c r="Q210" t="s">
        <v>36</v>
      </c>
      <c r="R210">
        <f t="shared" si="193"/>
        <v>0</v>
      </c>
      <c r="S210">
        <f t="shared" si="194"/>
        <v>0</v>
      </c>
      <c r="U210">
        <f t="shared" si="195"/>
        <v>0</v>
      </c>
      <c r="V210">
        <f t="shared" si="196"/>
        <v>0</v>
      </c>
    </row>
    <row r="211" spans="1:25" x14ac:dyDescent="0.25">
      <c r="B211" s="22"/>
      <c r="C211" s="20"/>
      <c r="D211" s="21"/>
      <c r="E211" t="s">
        <v>37</v>
      </c>
      <c r="F211">
        <f t="shared" si="189"/>
        <v>6.6446400000000003E-4</v>
      </c>
      <c r="G211">
        <f t="shared" si="190"/>
        <v>7.3960799999999989E-4</v>
      </c>
      <c r="I211">
        <f t="shared" si="191"/>
        <v>6.6927200000000005E-4</v>
      </c>
      <c r="J211">
        <f t="shared" si="192"/>
        <v>7.3977599999999993E-4</v>
      </c>
      <c r="L211">
        <f>(0.2*0.8+0.2*0.8)*X46+0.2*0.2*AB46+(1-0.2*0.8-0.2*0.8-0.2*0.2)*T46</f>
        <v>7.2011600000000003E-4</v>
      </c>
      <c r="O211" s="20"/>
      <c r="P211" s="21"/>
      <c r="Q211" t="s">
        <v>37</v>
      </c>
      <c r="R211">
        <f t="shared" si="193"/>
        <v>6.82724E-4</v>
      </c>
      <c r="S211">
        <f t="shared" si="194"/>
        <v>7.5975800000000013E-4</v>
      </c>
      <c r="U211">
        <f t="shared" si="195"/>
        <v>6.894920000000001E-4</v>
      </c>
      <c r="V211">
        <f t="shared" si="196"/>
        <v>7.59956E-4</v>
      </c>
      <c r="X211">
        <f>(0.3*0.7+0.3*0.7)*X46+0.3*0.3*AB46+(1-0.3*0.7-0.3*0.7-0.3*0.3)*T46</f>
        <v>7.3700100000000015E-4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0</v>
      </c>
      <c r="H216">
        <f t="shared" ref="H216:H218" si="199">AI32+AE32+AA32+W32</f>
        <v>0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0</v>
      </c>
      <c r="K216">
        <f t="shared" ref="K216:K218" si="202"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0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197"/>
        <v>0</v>
      </c>
      <c r="G217">
        <f t="shared" si="198"/>
        <v>0</v>
      </c>
      <c r="H217">
        <f t="shared" si="199"/>
        <v>0</v>
      </c>
      <c r="I217">
        <f t="shared" si="200"/>
        <v>0</v>
      </c>
      <c r="J217">
        <f t="shared" si="201"/>
        <v>0</v>
      </c>
      <c r="K217">
        <f t="shared" si="202"/>
        <v>0</v>
      </c>
      <c r="N217" s="24"/>
      <c r="O217" s="20"/>
      <c r="P217" s="21"/>
      <c r="Q217" t="s">
        <v>36</v>
      </c>
      <c r="R217">
        <f t="shared" si="203"/>
        <v>0</v>
      </c>
      <c r="S217">
        <f t="shared" si="204"/>
        <v>0</v>
      </c>
      <c r="U217">
        <f t="shared" si="205"/>
        <v>0</v>
      </c>
      <c r="V217">
        <f t="shared" si="206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197"/>
        <v>6.41567925E-4</v>
      </c>
      <c r="G218">
        <f t="shared" si="198"/>
        <v>7.1436651249999993E-4</v>
      </c>
      <c r="H218">
        <f t="shared" si="199"/>
        <v>4.0336150000000002</v>
      </c>
      <c r="I218">
        <f t="shared" si="200"/>
        <v>6.4348279999999996E-4</v>
      </c>
      <c r="J218">
        <f t="shared" si="201"/>
        <v>7.1444342499999997E-4</v>
      </c>
      <c r="K218">
        <f t="shared" si="202"/>
        <v>4.0504249999999997</v>
      </c>
      <c r="L218">
        <f>3*0.05*(1-0.05)*(1-0.05)*X46+3*0.05*0.05*(1-0.05)*AB46+0.05*0.05*0.05*AF46+(1-3*0.05*(1-0.05)*(1-0.05)-3*0.05*0.05*(1-0.05)-0.05*0.05*0.05)*T46</f>
        <v>6.9992868749999991E-4</v>
      </c>
      <c r="M218">
        <f>AI46+AE46+AA46+W46</f>
        <v>7.7335810000000009</v>
      </c>
      <c r="N218" s="24"/>
      <c r="O218" s="20"/>
      <c r="P218" s="21"/>
      <c r="Q218" t="s">
        <v>37</v>
      </c>
      <c r="R218">
        <f t="shared" si="203"/>
        <v>6.5530540000000004E-4</v>
      </c>
      <c r="S218">
        <f t="shared" si="204"/>
        <v>7.2950609999999992E-4</v>
      </c>
      <c r="U218">
        <f t="shared" si="205"/>
        <v>6.5891840000000001E-4</v>
      </c>
      <c r="V218">
        <f t="shared" si="206"/>
        <v>7.2963539999999988E-4</v>
      </c>
      <c r="X218">
        <f>3*0.1*(1-0.1)*(1-0.1)*X46+3*0.1*0.1*(1-0.1)*AB46+0.1*0.1*0.1*AF46+(1-3*0.1*(1-0.1)*(1-0.1)-3*0.1*0.1*(1-0.1)-0.1*0.1*0.1)*T46</f>
        <v>7.1207249999999996E-4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0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0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207"/>
        <v>0</v>
      </c>
      <c r="G223">
        <f t="shared" si="208"/>
        <v>0</v>
      </c>
      <c r="I223">
        <f t="shared" si="209"/>
        <v>0</v>
      </c>
      <c r="J223">
        <f t="shared" si="210"/>
        <v>0</v>
      </c>
      <c r="N223" s="24"/>
      <c r="O223" s="20"/>
      <c r="P223" s="21"/>
      <c r="Q223" t="s">
        <v>36</v>
      </c>
      <c r="R223">
        <f t="shared" si="211"/>
        <v>0</v>
      </c>
      <c r="S223">
        <f t="shared" si="212"/>
        <v>0</v>
      </c>
      <c r="U223">
        <f t="shared" si="213"/>
        <v>0</v>
      </c>
      <c r="V223">
        <f t="shared" si="214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207"/>
        <v>6.8271119999999998E-4</v>
      </c>
      <c r="G224">
        <f t="shared" si="208"/>
        <v>7.5970479999999999E-4</v>
      </c>
      <c r="I224">
        <f t="shared" si="209"/>
        <v>6.8909120000000003E-4</v>
      </c>
      <c r="J224">
        <f t="shared" si="210"/>
        <v>7.5987519999999999E-4</v>
      </c>
      <c r="L224">
        <f>3*0.2*(1-0.2)*(1-0.2)*X46+3*0.2*0.2*(1-0.2)*AB46+0.2*0.2*0.2*AF46+(1-3*0.2*(1-0.2)*(1-0.2)-3*0.2*0.2*(1-0.2)-0.2*0.2*0.2)*T46</f>
        <v>7.3741200000000001E-4</v>
      </c>
      <c r="N224" s="24"/>
      <c r="O224" s="20"/>
      <c r="P224" s="21"/>
      <c r="Q224" t="s">
        <v>37</v>
      </c>
      <c r="R224">
        <f t="shared" si="211"/>
        <v>7.1006179999999995E-4</v>
      </c>
      <c r="S224">
        <f t="shared" si="212"/>
        <v>7.8979670000000007E-4</v>
      </c>
      <c r="U224">
        <f t="shared" si="213"/>
        <v>7.1840480000000013E-4</v>
      </c>
      <c r="V224">
        <f t="shared" si="214"/>
        <v>7.8993980000000008E-4</v>
      </c>
      <c r="X224">
        <f>3*0.3*(1-0.3)*(1-0.3)*X46+3*0.3*0.3*(1-0.3)*AB46+0.3*0.3*0.3*AF46+(1-3*0.3*(1-0.3)*(1-0.3)-3*0.3*0.3*(1-0.3)-0.3*0.3*0.3)*T46</f>
        <v>7.6383150000000003E-4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F231" si="215">0.05*G52+(1-0.05)*C52</f>
        <v>0</v>
      </c>
      <c r="G229">
        <f t="shared" ref="G229:G231" si="216">0.05*H52+(1-0.05)*D52</f>
        <v>0</v>
      </c>
      <c r="H229">
        <f t="shared" ref="H229:H231" si="217">I52+E52</f>
        <v>0</v>
      </c>
      <c r="I229">
        <f t="shared" ref="I229:I231" si="218">0.05*G59+(1-0.05)*C59</f>
        <v>0</v>
      </c>
      <c r="J229">
        <f t="shared" ref="J229:J231" si="219">0.05*H59+(1-0.05)*D59</f>
        <v>0</v>
      </c>
      <c r="K229">
        <f t="shared" ref="K229:K231" si="220">I59+E59</f>
        <v>0</v>
      </c>
      <c r="P229" s="21" t="s">
        <v>35</v>
      </c>
      <c r="Q229" t="s">
        <v>34</v>
      </c>
      <c r="R229">
        <f t="shared" ref="R229:R231" si="221">0.1*G52+(1-0.1)*C52</f>
        <v>0</v>
      </c>
      <c r="S229">
        <f t="shared" ref="S229:S231" si="222">0.1*H52+(1-0.1)*D52</f>
        <v>0</v>
      </c>
      <c r="U229">
        <f t="shared" ref="U229:U231" si="223">0.1*G59+(1-0.1)*C59</f>
        <v>0</v>
      </c>
      <c r="V229">
        <f t="shared" ref="V229:V231" si="224">0.1*H59+(1-0.1)*D59</f>
        <v>0</v>
      </c>
    </row>
    <row r="230" spans="1:25" x14ac:dyDescent="0.25">
      <c r="C230" s="22"/>
      <c r="D230" s="21"/>
      <c r="E230" t="s">
        <v>36</v>
      </c>
      <c r="F230">
        <f t="shared" si="215"/>
        <v>0</v>
      </c>
      <c r="G230">
        <f t="shared" si="216"/>
        <v>0</v>
      </c>
      <c r="H230">
        <f t="shared" si="217"/>
        <v>0</v>
      </c>
      <c r="I230">
        <f t="shared" si="218"/>
        <v>0</v>
      </c>
      <c r="J230">
        <f t="shared" si="219"/>
        <v>0</v>
      </c>
      <c r="K230">
        <f t="shared" si="220"/>
        <v>0</v>
      </c>
      <c r="P230" s="21"/>
      <c r="Q230" t="s">
        <v>36</v>
      </c>
      <c r="R230">
        <f t="shared" si="221"/>
        <v>0</v>
      </c>
      <c r="S230">
        <f t="shared" si="222"/>
        <v>0</v>
      </c>
      <c r="U230">
        <f t="shared" si="223"/>
        <v>0</v>
      </c>
      <c r="V230">
        <f t="shared" si="224"/>
        <v>0</v>
      </c>
    </row>
    <row r="231" spans="1:25" x14ac:dyDescent="0.25">
      <c r="C231" s="22"/>
      <c r="D231" s="21"/>
      <c r="E231" t="s">
        <v>37</v>
      </c>
      <c r="F231">
        <f t="shared" si="215"/>
        <v>3.1586500000000003E-4</v>
      </c>
      <c r="G231">
        <f t="shared" si="216"/>
        <v>4.6549499999999996E-4</v>
      </c>
      <c r="H231">
        <f t="shared" si="217"/>
        <v>2.2762340000000001</v>
      </c>
      <c r="I231">
        <f t="shared" si="218"/>
        <v>3.1743500000000003E-4</v>
      </c>
      <c r="J231">
        <f t="shared" si="219"/>
        <v>4.6527E-4</v>
      </c>
      <c r="K231">
        <f t="shared" si="220"/>
        <v>2.3065350000000002</v>
      </c>
      <c r="L231">
        <f>0.05*F66+(1-0.05)*B66</f>
        <v>4.0257999999999998E-4</v>
      </c>
      <c r="M231">
        <f>I66+E66</f>
        <v>4.2846220000000006</v>
      </c>
      <c r="P231" s="21"/>
      <c r="Q231" t="s">
        <v>37</v>
      </c>
      <c r="R231">
        <f t="shared" si="221"/>
        <v>3.1843000000000003E-4</v>
      </c>
      <c r="S231">
        <f t="shared" si="222"/>
        <v>4.6919000000000003E-4</v>
      </c>
      <c r="U231">
        <f t="shared" si="223"/>
        <v>3.2157000000000003E-4</v>
      </c>
      <c r="V231">
        <f t="shared" si="224"/>
        <v>4.6814000000000003E-4</v>
      </c>
      <c r="X231">
        <f>0.1*F66+(1-0.1)*B66</f>
        <v>4.0625999999999998E-4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F237" si="225">0.2*G52+(1-0.2)*C52</f>
        <v>0</v>
      </c>
      <c r="G235">
        <f t="shared" ref="G235:G237" si="226">0.2*H52+(1-0.2)*D52</f>
        <v>0</v>
      </c>
      <c r="I235">
        <f t="shared" ref="I235:I237" si="227">0.2*G59+(1-0.2)*C59</f>
        <v>0</v>
      </c>
      <c r="J235">
        <f t="shared" ref="J235:J237" si="228">0.2*H59+(1-0.2)*D59</f>
        <v>0</v>
      </c>
      <c r="P235" s="21" t="s">
        <v>39</v>
      </c>
      <c r="Q235" t="s">
        <v>34</v>
      </c>
      <c r="R235">
        <f t="shared" ref="R235:R237" si="229">0.3*G52+(1-0.3)*C52</f>
        <v>0</v>
      </c>
      <c r="S235">
        <f t="shared" ref="S235:S237" si="230">0.3*H52+(1-0.3)*D52</f>
        <v>0</v>
      </c>
      <c r="U235">
        <f t="shared" ref="U235:U237" si="231">0.3*G59+(1-0.3)*C59</f>
        <v>0</v>
      </c>
      <c r="V235">
        <f t="shared" ref="V235:V237" si="232">0.3*H59+(1-0.3)*D59</f>
        <v>0</v>
      </c>
    </row>
    <row r="236" spans="1:25" x14ac:dyDescent="0.25">
      <c r="C236" s="22"/>
      <c r="D236" s="21"/>
      <c r="E236" t="s">
        <v>36</v>
      </c>
      <c r="F236">
        <f t="shared" si="225"/>
        <v>0</v>
      </c>
      <c r="G236">
        <f t="shared" si="226"/>
        <v>0</v>
      </c>
      <c r="I236">
        <f t="shared" si="227"/>
        <v>0</v>
      </c>
      <c r="J236">
        <f t="shared" si="228"/>
        <v>0</v>
      </c>
      <c r="P236" s="21"/>
      <c r="Q236" t="s">
        <v>36</v>
      </c>
      <c r="R236">
        <f t="shared" si="229"/>
        <v>0</v>
      </c>
      <c r="S236">
        <f t="shared" si="230"/>
        <v>0</v>
      </c>
      <c r="U236">
        <f t="shared" si="231"/>
        <v>0</v>
      </c>
      <c r="V236">
        <f t="shared" si="232"/>
        <v>0</v>
      </c>
    </row>
    <row r="237" spans="1:25" x14ac:dyDescent="0.25">
      <c r="C237" s="22"/>
      <c r="D237" s="21"/>
      <c r="E237" t="s">
        <v>37</v>
      </c>
      <c r="F237">
        <f t="shared" si="225"/>
        <v>3.2356000000000008E-4</v>
      </c>
      <c r="G237">
        <f t="shared" si="226"/>
        <v>4.7657999999999999E-4</v>
      </c>
      <c r="I237">
        <f t="shared" si="227"/>
        <v>3.2984000000000008E-4</v>
      </c>
      <c r="J237">
        <f t="shared" si="228"/>
        <v>4.7388000000000004E-4</v>
      </c>
      <c r="L237">
        <f>0.2*F66+(1-0.2)*B66</f>
        <v>4.1362000000000001E-4</v>
      </c>
      <c r="P237" s="21"/>
      <c r="Q237" t="s">
        <v>37</v>
      </c>
      <c r="R237">
        <f t="shared" si="229"/>
        <v>3.2869000000000003E-4</v>
      </c>
      <c r="S237">
        <f t="shared" si="230"/>
        <v>4.8396999999999991E-4</v>
      </c>
      <c r="U237">
        <f t="shared" si="231"/>
        <v>3.3810999999999997E-4</v>
      </c>
      <c r="V237">
        <f t="shared" si="232"/>
        <v>4.7961999999999999E-4</v>
      </c>
      <c r="X237">
        <f>0.3*F66+(1-0.3)*B66</f>
        <v>4.2098E-4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0</v>
      </c>
      <c r="H242">
        <f t="shared" ref="H242:H244" si="235">M52+I52+E52</f>
        <v>0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0</v>
      </c>
      <c r="K242">
        <f t="shared" ref="K242:K244" si="238">M59+I59+E59</f>
        <v>0</v>
      </c>
      <c r="O242" s="20" t="s">
        <v>41</v>
      </c>
      <c r="P242" s="21" t="s">
        <v>35</v>
      </c>
      <c r="Q242" t="s">
        <v>34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0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0</v>
      </c>
    </row>
    <row r="243" spans="1:25" x14ac:dyDescent="0.25">
      <c r="B243" s="22"/>
      <c r="C243" s="20"/>
      <c r="D243" s="21"/>
      <c r="E243" t="s">
        <v>36</v>
      </c>
      <c r="F243">
        <f t="shared" si="233"/>
        <v>0</v>
      </c>
      <c r="G243">
        <f t="shared" si="234"/>
        <v>0</v>
      </c>
      <c r="H243">
        <f t="shared" si="235"/>
        <v>0</v>
      </c>
      <c r="I243">
        <f t="shared" si="236"/>
        <v>0</v>
      </c>
      <c r="J243">
        <f t="shared" si="237"/>
        <v>0</v>
      </c>
      <c r="K243">
        <f t="shared" si="238"/>
        <v>0</v>
      </c>
      <c r="O243" s="20"/>
      <c r="P243" s="21"/>
      <c r="Q243" t="s">
        <v>36</v>
      </c>
      <c r="R243">
        <f t="shared" si="239"/>
        <v>0</v>
      </c>
      <c r="S243">
        <f t="shared" si="240"/>
        <v>0</v>
      </c>
      <c r="U243">
        <f t="shared" si="241"/>
        <v>0</v>
      </c>
      <c r="V243">
        <f t="shared" si="242"/>
        <v>0</v>
      </c>
    </row>
    <row r="244" spans="1:25" x14ac:dyDescent="0.25">
      <c r="B244" s="22"/>
      <c r="C244" s="20"/>
      <c r="D244" s="21"/>
      <c r="E244" t="s">
        <v>37</v>
      </c>
      <c r="F244">
        <f t="shared" si="233"/>
        <v>3.1843450000000004E-4</v>
      </c>
      <c r="G244">
        <f t="shared" si="234"/>
        <v>4.6918000000000003E-4</v>
      </c>
      <c r="H244">
        <f t="shared" si="235"/>
        <v>3.4539010000000001</v>
      </c>
      <c r="I244">
        <f t="shared" si="236"/>
        <v>3.2150875000000001E-4</v>
      </c>
      <c r="J244">
        <f t="shared" si="237"/>
        <v>4.6811000000000004E-4</v>
      </c>
      <c r="K244">
        <f t="shared" si="238"/>
        <v>3.4481850000000001</v>
      </c>
      <c r="L244">
        <f>(0.05*(1-0.05)+0.05*(1-0.05))*F66+0.05*0.05*J66+(1-0.05*(1-0.05)-0.05*(1-0.05)-0.05*0.05)*B66</f>
        <v>4.0621825E-4</v>
      </c>
      <c r="M244">
        <f>M66+I66+E66</f>
        <v>6.4003760000000005</v>
      </c>
      <c r="O244" s="20"/>
      <c r="P244" s="21"/>
      <c r="Q244" t="s">
        <v>37</v>
      </c>
      <c r="R244">
        <f t="shared" si="239"/>
        <v>3.2357800000000004E-4</v>
      </c>
      <c r="S244">
        <f t="shared" si="240"/>
        <v>4.7654000000000001E-4</v>
      </c>
      <c r="U244">
        <f t="shared" si="241"/>
        <v>3.2959500000000007E-4</v>
      </c>
      <c r="V244">
        <f t="shared" si="242"/>
        <v>4.7376000000000004E-4</v>
      </c>
      <c r="X244">
        <f>(0.1*0.9+0.1*0.9)*F66+0.1*0.1*J66+(1-0.1*0.9-0.1*0.9-0.1*0.1)*B66</f>
        <v>4.1345300000000004E-4</v>
      </c>
    </row>
    <row r="245" spans="1:25" x14ac:dyDescent="0.25">
      <c r="B245" s="22"/>
      <c r="C245" s="4"/>
    </row>
    <row r="246" spans="1:25" x14ac:dyDescent="0.25">
      <c r="B246" s="22"/>
      <c r="C246" s="4"/>
      <c r="X246" s="8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0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0</v>
      </c>
      <c r="O248" s="20" t="s">
        <v>43</v>
      </c>
      <c r="P248" s="21" t="s">
        <v>39</v>
      </c>
      <c r="Q248" t="s">
        <v>34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0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0</v>
      </c>
    </row>
    <row r="249" spans="1:25" x14ac:dyDescent="0.25">
      <c r="B249" s="22"/>
      <c r="C249" s="20"/>
      <c r="D249" s="21"/>
      <c r="E249" t="s">
        <v>36</v>
      </c>
      <c r="F249">
        <f t="shared" si="243"/>
        <v>0</v>
      </c>
      <c r="G249">
        <f t="shared" si="244"/>
        <v>0</v>
      </c>
      <c r="I249">
        <f t="shared" si="245"/>
        <v>0</v>
      </c>
      <c r="J249">
        <f t="shared" si="246"/>
        <v>0</v>
      </c>
      <c r="O249" s="20"/>
      <c r="P249" s="21"/>
      <c r="Q249" t="s">
        <v>36</v>
      </c>
      <c r="R249">
        <f t="shared" si="247"/>
        <v>0</v>
      </c>
      <c r="S249">
        <f t="shared" si="248"/>
        <v>0</v>
      </c>
      <c r="U249">
        <f t="shared" si="249"/>
        <v>0</v>
      </c>
      <c r="V249">
        <f t="shared" si="250"/>
        <v>0</v>
      </c>
    </row>
    <row r="250" spans="1:25" x14ac:dyDescent="0.25">
      <c r="B250" s="22"/>
      <c r="C250" s="20"/>
      <c r="D250" s="21"/>
      <c r="E250" t="s">
        <v>37</v>
      </c>
      <c r="F250">
        <f t="shared" si="243"/>
        <v>3.3389200000000002E-4</v>
      </c>
      <c r="G250">
        <f t="shared" si="244"/>
        <v>4.9120000000000001E-4</v>
      </c>
      <c r="I250">
        <f t="shared" si="245"/>
        <v>3.4539999999999999E-4</v>
      </c>
      <c r="J250">
        <f t="shared" si="246"/>
        <v>4.8487999999999998E-4</v>
      </c>
      <c r="L250">
        <f>(0.2*0.8+0.2*0.8)*F66+0.2*0.2*J66+(1-0.2*0.8-0.2*0.8-0.2*0.2)*B66</f>
        <v>4.2767199999999998E-4</v>
      </c>
      <c r="O250" s="20"/>
      <c r="P250" s="21"/>
      <c r="Q250" t="s">
        <v>37</v>
      </c>
      <c r="R250">
        <f t="shared" si="247"/>
        <v>3.4424200000000003E-4</v>
      </c>
      <c r="S250">
        <f t="shared" si="248"/>
        <v>5.0578000000000005E-4</v>
      </c>
      <c r="U250">
        <f t="shared" si="249"/>
        <v>3.6071500000000006E-4</v>
      </c>
      <c r="V250">
        <f t="shared" si="250"/>
        <v>4.9576000000000004E-4</v>
      </c>
      <c r="X250">
        <f>(0.3*0.7+0.3*0.7)*F66+0.3*0.3*J66+(1-0.3*0.7-0.3*0.7-0.3*0.3)*B66</f>
        <v>4.4155700000000008E-4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0</v>
      </c>
      <c r="H255">
        <f t="shared" ref="H255:H257" si="253">Q52+M52+I52+E52</f>
        <v>0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0</v>
      </c>
      <c r="K255">
        <f t="shared" ref="K255:K257" si="256"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0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251"/>
        <v>0</v>
      </c>
      <c r="G256">
        <f t="shared" si="252"/>
        <v>0</v>
      </c>
      <c r="H256">
        <f t="shared" si="253"/>
        <v>0</v>
      </c>
      <c r="I256">
        <f t="shared" si="254"/>
        <v>0</v>
      </c>
      <c r="J256">
        <f t="shared" si="255"/>
        <v>0</v>
      </c>
      <c r="K256">
        <f t="shared" si="256"/>
        <v>0</v>
      </c>
      <c r="N256" s="24"/>
      <c r="O256" s="20"/>
      <c r="P256" s="21"/>
      <c r="Q256" t="s">
        <v>36</v>
      </c>
      <c r="R256">
        <f t="shared" si="257"/>
        <v>0</v>
      </c>
      <c r="S256">
        <f t="shared" si="258"/>
        <v>0</v>
      </c>
      <c r="U256">
        <f t="shared" si="259"/>
        <v>0</v>
      </c>
      <c r="V256">
        <f t="shared" si="260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251"/>
        <v>3.2100791249999998E-4</v>
      </c>
      <c r="G257">
        <f t="shared" si="252"/>
        <v>4.7285503749999996E-4</v>
      </c>
      <c r="H257">
        <f t="shared" si="253"/>
        <v>4.6381290000000002</v>
      </c>
      <c r="I257">
        <f t="shared" si="254"/>
        <v>3.2552288749999994E-4</v>
      </c>
      <c r="J257">
        <f t="shared" si="255"/>
        <v>4.7092502499999998E-4</v>
      </c>
      <c r="K257">
        <f t="shared" si="256"/>
        <v>4.363264</v>
      </c>
      <c r="L257">
        <f>3*0.05*(1-0.05)*(1-0.05)*F66+3*0.05*0.05*(1-0.05)*J66+0.05*0.05*0.05*N66+(1-3*0.05*(1-0.05)*(1-0.05)-3*0.05*0.05*(1-0.05)-0.05*0.05*0.05)*B66</f>
        <v>4.0981704999999995E-4</v>
      </c>
      <c r="M257">
        <f>Q66+M66+I66+E66</f>
        <v>8.5134709999999991</v>
      </c>
      <c r="N257" s="24"/>
      <c r="O257" s="20"/>
      <c r="P257" s="21"/>
      <c r="Q257" t="s">
        <v>37</v>
      </c>
      <c r="R257">
        <f t="shared" si="257"/>
        <v>3.2873929999999998E-4</v>
      </c>
      <c r="S257">
        <f t="shared" si="258"/>
        <v>4.8385029999999996E-4</v>
      </c>
      <c r="U257">
        <f t="shared" si="259"/>
        <v>3.3738810000000002E-4</v>
      </c>
      <c r="V257">
        <f t="shared" si="260"/>
        <v>4.7930019999999995E-4</v>
      </c>
      <c r="X257">
        <f>3*0.1*(1-0.1)*(1-0.1)*F66+3*0.1*0.1*(1-0.1)*J66+0.1*0.1*0.1*N66+(1-3*0.1*(1-0.1)*(1-0.1)-3*0.1*0.1*(1-0.1)-0.1*0.1*0.1)*B66</f>
        <v>4.2049739999999996E-4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0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0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261"/>
        <v>0</v>
      </c>
      <c r="G262">
        <f t="shared" si="262"/>
        <v>0</v>
      </c>
      <c r="I262">
        <f t="shared" si="263"/>
        <v>0</v>
      </c>
      <c r="J262">
        <f t="shared" si="264"/>
        <v>0</v>
      </c>
      <c r="N262" s="24"/>
      <c r="O262" s="20"/>
      <c r="P262" s="21"/>
      <c r="Q262" t="s">
        <v>36</v>
      </c>
      <c r="R262">
        <f t="shared" si="265"/>
        <v>0</v>
      </c>
      <c r="S262">
        <f t="shared" si="266"/>
        <v>0</v>
      </c>
      <c r="U262">
        <f t="shared" si="267"/>
        <v>0</v>
      </c>
      <c r="V262">
        <f t="shared" si="268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261"/>
        <v>3.4425839999999998E-4</v>
      </c>
      <c r="G263">
        <f t="shared" si="262"/>
        <v>5.0566239999999996E-4</v>
      </c>
      <c r="I263">
        <f t="shared" si="263"/>
        <v>3.6008479999999999E-4</v>
      </c>
      <c r="J263">
        <f t="shared" si="264"/>
        <v>4.9572159999999995E-4</v>
      </c>
      <c r="L263">
        <f>3*0.2*(1-0.2)*(1-0.2)*F66+3*0.2*0.2*(1-0.2)*J66+0.2*0.2*0.2*N66+(1-3*0.2*(1-0.2)*(1-0.2)-3*0.2*0.2*(1-0.2)-0.2*0.2*0.2)*B66</f>
        <v>4.412032E-4</v>
      </c>
      <c r="N263" s="24"/>
      <c r="O263" s="20"/>
      <c r="P263" s="21"/>
      <c r="Q263" t="s">
        <v>37</v>
      </c>
      <c r="R263">
        <f t="shared" si="265"/>
        <v>3.5982910000000002E-4</v>
      </c>
      <c r="S263">
        <f t="shared" si="266"/>
        <v>5.272381E-4</v>
      </c>
      <c r="U263">
        <f t="shared" si="267"/>
        <v>3.8146870000000001E-4</v>
      </c>
      <c r="V263">
        <f t="shared" si="268"/>
        <v>5.1190540000000003E-4</v>
      </c>
      <c r="X263">
        <f>3*0.3*(1-0.3)*(1-0.3)*F66+3*0.3*0.3*(1-0.3)*J66+0.3*0.3*0.3*N66+(1-3*0.3*(1-0.3)*(1-0.3)-3*0.3*0.3*(1-0.3)-0.3*0.3*0.3)*B66</f>
        <v>4.6112779999999998E-4</v>
      </c>
    </row>
  </sheetData>
  <mergeCells count="358"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203:P205"/>
    <mergeCell ref="P209:P211"/>
    <mergeCell ref="O170:O172"/>
    <mergeCell ref="O177:O179"/>
    <mergeCell ref="O183:O185"/>
    <mergeCell ref="O203:O205"/>
    <mergeCell ref="O209:O211"/>
    <mergeCell ref="P201:T201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O216:O218"/>
    <mergeCell ref="O222:O224"/>
    <mergeCell ref="O242:O244"/>
    <mergeCell ref="O248:O250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253:H253"/>
    <mergeCell ref="I253:K253"/>
    <mergeCell ref="L253:M253"/>
    <mergeCell ref="D201:H201"/>
    <mergeCell ref="I201:K201"/>
    <mergeCell ref="L201:M201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C73:C81"/>
    <mergeCell ref="C86:C88"/>
    <mergeCell ref="C92:C94"/>
    <mergeCell ref="C99:C101"/>
    <mergeCell ref="C105:C107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P177:P179"/>
    <mergeCell ref="P183:P185"/>
    <mergeCell ref="P190:P192"/>
    <mergeCell ref="P196:P198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B64:E64"/>
    <mergeCell ref="F64:I64"/>
    <mergeCell ref="J64:M64"/>
    <mergeCell ref="N64:Q64"/>
    <mergeCell ref="B65:D65"/>
    <mergeCell ref="F65:H65"/>
    <mergeCell ref="J65:L65"/>
    <mergeCell ref="N65:P65"/>
    <mergeCell ref="B66:D66"/>
    <mergeCell ref="F66:H66"/>
    <mergeCell ref="J66:L66"/>
    <mergeCell ref="N66:P66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5:D45"/>
    <mergeCell ref="F45:H45"/>
    <mergeCell ref="J45:L45"/>
    <mergeCell ref="N45:P45"/>
    <mergeCell ref="T45:V45"/>
    <mergeCell ref="X45:Z45"/>
    <mergeCell ref="AB45:AD45"/>
    <mergeCell ref="AF45:AH45"/>
    <mergeCell ref="B46:D46"/>
    <mergeCell ref="F46:H46"/>
    <mergeCell ref="T46:V46"/>
    <mergeCell ref="X46:Z46"/>
    <mergeCell ref="AB46:AD46"/>
    <mergeCell ref="AF46:AH46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T25:V25"/>
    <mergeCell ref="X25:Z25"/>
    <mergeCell ref="AB25:AD25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topLeftCell="D1" zoomScale="55" zoomScaleNormal="55" workbookViewId="0">
      <selection activeCell="P1" sqref="P1:X5"/>
    </sheetView>
  </sheetViews>
  <sheetFormatPr defaultColWidth="9" defaultRowHeight="14.4" x14ac:dyDescent="0.25"/>
  <cols>
    <col min="3" max="3" width="13.332031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 customWidth="1"/>
    <col min="18" max="18" width="12.88671875" customWidth="1"/>
    <col min="19" max="19" width="12.21875" customWidth="1"/>
    <col min="20" max="20" width="9.6640625" customWidth="1"/>
    <col min="21" max="22" width="11.77734375" customWidth="1"/>
    <col min="23" max="23" width="13.33203125" customWidth="1"/>
    <col min="24" max="24" width="12.8867187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5" t="s">
        <v>136</v>
      </c>
      <c r="Q1" s="15"/>
      <c r="R1" s="15"/>
      <c r="S1" s="15"/>
      <c r="T1" s="15"/>
      <c r="U1" s="15" t="s">
        <v>141</v>
      </c>
      <c r="V1" s="15"/>
      <c r="W1" s="15"/>
      <c r="X1" s="15"/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5" t="s">
        <v>130</v>
      </c>
      <c r="Q2" s="15"/>
      <c r="R2" s="15"/>
      <c r="S2" s="15"/>
      <c r="T2" s="15"/>
      <c r="U2" s="15" t="s">
        <v>142</v>
      </c>
      <c r="V2" s="15"/>
      <c r="W2" s="15"/>
      <c r="X2" s="15"/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5" t="s">
        <v>131</v>
      </c>
      <c r="Q3" s="15"/>
      <c r="R3" s="15"/>
      <c r="S3" s="15"/>
      <c r="T3" s="15"/>
      <c r="U3" s="15" t="s">
        <v>132</v>
      </c>
      <c r="V3" s="15"/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5" t="s">
        <v>133</v>
      </c>
      <c r="Q4" s="15"/>
      <c r="R4" s="15"/>
      <c r="S4" s="15"/>
      <c r="T4" s="15"/>
      <c r="U4" s="15" t="s">
        <v>137</v>
      </c>
      <c r="V4" s="15"/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5" t="s">
        <v>134</v>
      </c>
      <c r="Q5" s="15"/>
      <c r="R5" s="15"/>
      <c r="S5" s="15"/>
      <c r="T5" s="15"/>
      <c r="U5" s="15" t="s">
        <v>138</v>
      </c>
      <c r="V5" s="15"/>
      <c r="W5" s="15" t="s">
        <v>135</v>
      </c>
    </row>
    <row r="6" spans="1:35" x14ac:dyDescent="0.25">
      <c r="P6" s="15"/>
      <c r="Q6" s="15"/>
      <c r="R6" s="15"/>
      <c r="S6" s="15"/>
      <c r="T6" s="15"/>
      <c r="V6" s="15"/>
    </row>
    <row r="7" spans="1:35" x14ac:dyDescent="0.25">
      <c r="A7" s="1" t="s">
        <v>6</v>
      </c>
      <c r="S7" s="1" t="s">
        <v>7</v>
      </c>
      <c r="U7" t="s">
        <v>124</v>
      </c>
      <c r="V7" t="s">
        <v>125</v>
      </c>
    </row>
    <row r="8" spans="1:35" x14ac:dyDescent="0.25">
      <c r="B8" s="16" t="s">
        <v>8</v>
      </c>
      <c r="C8" s="16"/>
      <c r="D8" s="16"/>
      <c r="E8" s="16"/>
      <c r="F8" s="16" t="s">
        <v>9</v>
      </c>
      <c r="G8" s="16"/>
      <c r="H8" s="16"/>
      <c r="I8" s="16"/>
      <c r="J8" s="16" t="s">
        <v>10</v>
      </c>
      <c r="K8" s="16"/>
      <c r="L8" s="16"/>
      <c r="M8" s="16"/>
      <c r="N8" s="16" t="s">
        <v>11</v>
      </c>
      <c r="O8" s="16"/>
      <c r="P8" s="16"/>
      <c r="Q8" s="16"/>
      <c r="T8" s="16" t="s">
        <v>8</v>
      </c>
      <c r="U8" s="16"/>
      <c r="V8" s="16"/>
      <c r="W8" s="16"/>
      <c r="X8" s="16" t="s">
        <v>9</v>
      </c>
      <c r="Y8" s="16"/>
      <c r="Z8" s="16"/>
      <c r="AA8" s="16"/>
      <c r="AB8" s="16" t="s">
        <v>10</v>
      </c>
      <c r="AC8" s="16"/>
      <c r="AD8" s="16"/>
      <c r="AE8" s="16"/>
      <c r="AF8" s="16" t="s">
        <v>11</v>
      </c>
      <c r="AG8" s="16"/>
      <c r="AH8" s="16"/>
      <c r="AI8" s="16"/>
    </row>
    <row r="9" spans="1:35" x14ac:dyDescent="0.25">
      <c r="A9" s="22" t="s">
        <v>12</v>
      </c>
      <c r="B9" s="16" t="s">
        <v>126</v>
      </c>
      <c r="C9" s="16"/>
      <c r="D9" s="16"/>
      <c r="E9" s="16"/>
      <c r="F9" s="16" t="s">
        <v>127</v>
      </c>
      <c r="G9" s="16"/>
      <c r="H9" s="16"/>
      <c r="I9" s="16"/>
      <c r="J9" s="16" t="s">
        <v>128</v>
      </c>
      <c r="K9" s="16"/>
      <c r="L9" s="16"/>
      <c r="M9" s="16"/>
      <c r="N9" s="16" t="s">
        <v>129</v>
      </c>
      <c r="O9" s="16"/>
      <c r="P9" s="16"/>
      <c r="Q9" s="16"/>
      <c r="S9" s="22" t="s">
        <v>12</v>
      </c>
      <c r="T9" s="16" t="s">
        <v>126</v>
      </c>
      <c r="U9" s="16"/>
      <c r="V9" s="16"/>
      <c r="W9" s="16"/>
      <c r="X9" s="16" t="s">
        <v>127</v>
      </c>
      <c r="Y9" s="16"/>
      <c r="Z9" s="16"/>
      <c r="AA9" s="16"/>
      <c r="AB9" s="16" t="s">
        <v>128</v>
      </c>
      <c r="AC9" s="16"/>
      <c r="AD9" s="16"/>
      <c r="AE9" s="16"/>
      <c r="AF9" s="16" t="s">
        <v>129</v>
      </c>
      <c r="AG9" s="16"/>
      <c r="AH9" s="16"/>
      <c r="AI9" s="16"/>
    </row>
    <row r="10" spans="1:35" x14ac:dyDescent="0.25">
      <c r="A10" s="22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O10" t="s">
        <v>17</v>
      </c>
      <c r="P10" t="s">
        <v>18</v>
      </c>
      <c r="Q10" t="s">
        <v>19</v>
      </c>
      <c r="S10" s="22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G10" t="s">
        <v>17</v>
      </c>
      <c r="AH10" t="s">
        <v>18</v>
      </c>
      <c r="AI10" t="s">
        <v>19</v>
      </c>
    </row>
    <row r="11" spans="1:35" x14ac:dyDescent="0.25">
      <c r="A11" s="22"/>
      <c r="B11" t="s">
        <v>20</v>
      </c>
      <c r="C11" s="2"/>
      <c r="D11" s="2"/>
      <c r="F11" t="s">
        <v>20</v>
      </c>
      <c r="G11" s="2"/>
      <c r="H11" s="2"/>
      <c r="J11" t="s">
        <v>20</v>
      </c>
      <c r="N11" t="s">
        <v>20</v>
      </c>
      <c r="S11" s="22"/>
      <c r="T11" t="s">
        <v>20</v>
      </c>
      <c r="U11" s="2"/>
      <c r="V11" s="2"/>
      <c r="X11" t="s">
        <v>20</v>
      </c>
      <c r="Y11" s="2"/>
      <c r="Z11" s="2"/>
      <c r="AB11" t="s">
        <v>20</v>
      </c>
      <c r="AF11" t="s">
        <v>20</v>
      </c>
    </row>
    <row r="12" spans="1:35" x14ac:dyDescent="0.25">
      <c r="A12" s="22"/>
      <c r="B12" t="s">
        <v>21</v>
      </c>
      <c r="C12" s="2"/>
      <c r="D12" s="2"/>
      <c r="F12" t="s">
        <v>21</v>
      </c>
      <c r="G12" s="2"/>
      <c r="H12" s="2"/>
      <c r="J12" t="s">
        <v>21</v>
      </c>
      <c r="N12" t="s">
        <v>21</v>
      </c>
      <c r="S12" s="22"/>
      <c r="T12" t="s">
        <v>21</v>
      </c>
      <c r="U12" s="2"/>
      <c r="V12" s="2"/>
      <c r="X12" t="s">
        <v>21</v>
      </c>
      <c r="Y12" s="2"/>
      <c r="Z12" s="2"/>
      <c r="AB12" t="s">
        <v>21</v>
      </c>
      <c r="AF12" t="s">
        <v>21</v>
      </c>
    </row>
    <row r="13" spans="1:35" x14ac:dyDescent="0.25">
      <c r="A13" s="22"/>
      <c r="B13" t="s">
        <v>22</v>
      </c>
      <c r="C13" s="2">
        <v>7.5359999999999999E-4</v>
      </c>
      <c r="D13" s="2">
        <v>7.5359999999999999E-4</v>
      </c>
      <c r="E13">
        <v>1.0246519999999999</v>
      </c>
      <c r="F13" t="s">
        <v>22</v>
      </c>
      <c r="G13" s="2">
        <v>8.7810000000000004E-4</v>
      </c>
      <c r="H13" s="2">
        <v>8.7810000000000004E-4</v>
      </c>
      <c r="I13">
        <v>1.0098370000000001</v>
      </c>
      <c r="J13" t="s">
        <v>22</v>
      </c>
      <c r="K13">
        <v>1E-3</v>
      </c>
      <c r="L13">
        <v>1E-3</v>
      </c>
      <c r="M13">
        <v>0.97527699999999995</v>
      </c>
      <c r="N13" t="s">
        <v>22</v>
      </c>
      <c r="O13">
        <v>1.1000000000000001E-3</v>
      </c>
      <c r="P13">
        <v>1.1000000000000001E-3</v>
      </c>
      <c r="Q13">
        <v>0.97198200000000001</v>
      </c>
      <c r="S13" s="22"/>
      <c r="T13" t="s">
        <v>22</v>
      </c>
      <c r="U13" s="2">
        <v>7.4520000000000001E-4</v>
      </c>
      <c r="V13" s="2">
        <v>7.4540000000000001E-4</v>
      </c>
      <c r="W13">
        <v>1.18886</v>
      </c>
      <c r="X13" t="s">
        <v>22</v>
      </c>
      <c r="Y13" s="2">
        <v>8.6779999999999995E-4</v>
      </c>
      <c r="Z13" s="2">
        <v>8.6810000000000001E-4</v>
      </c>
      <c r="AA13">
        <v>1.1950050000000001</v>
      </c>
      <c r="AB13" t="s">
        <v>22</v>
      </c>
      <c r="AC13" s="2">
        <v>9.9010000000000005E-4</v>
      </c>
      <c r="AD13" s="2">
        <v>9.9050000000000006E-4</v>
      </c>
      <c r="AE13">
        <v>1.030081</v>
      </c>
      <c r="AF13" t="s">
        <v>22</v>
      </c>
      <c r="AG13">
        <v>1.1000000000000001E-3</v>
      </c>
      <c r="AH13">
        <v>1.1000000000000001E-3</v>
      </c>
      <c r="AI13">
        <v>1.1810700000000001</v>
      </c>
    </row>
    <row r="16" spans="1:35" x14ac:dyDescent="0.25">
      <c r="A16" s="18" t="s">
        <v>23</v>
      </c>
      <c r="B16" s="16" t="s">
        <v>126</v>
      </c>
      <c r="C16" s="16"/>
      <c r="D16" s="16"/>
      <c r="E16" s="16"/>
      <c r="F16" s="16" t="s">
        <v>127</v>
      </c>
      <c r="G16" s="16"/>
      <c r="H16" s="16"/>
      <c r="I16" s="16"/>
      <c r="J16" s="16" t="s">
        <v>128</v>
      </c>
      <c r="K16" s="16"/>
      <c r="L16" s="16"/>
      <c r="M16" s="16"/>
      <c r="N16" s="16" t="s">
        <v>129</v>
      </c>
      <c r="O16" s="16"/>
      <c r="P16" s="16"/>
      <c r="Q16" s="16"/>
      <c r="S16" s="18" t="s">
        <v>23</v>
      </c>
      <c r="T16" s="16" t="s">
        <v>126</v>
      </c>
      <c r="U16" s="16"/>
      <c r="V16" s="16"/>
      <c r="W16" s="16"/>
      <c r="X16" s="16" t="s">
        <v>127</v>
      </c>
      <c r="Y16" s="16"/>
      <c r="Z16" s="16"/>
      <c r="AA16" s="16"/>
      <c r="AB16" s="16" t="s">
        <v>128</v>
      </c>
      <c r="AC16" s="16"/>
      <c r="AD16" s="16"/>
      <c r="AE16" s="16"/>
      <c r="AF16" s="16" t="s">
        <v>129</v>
      </c>
      <c r="AG16" s="16"/>
      <c r="AH16" s="16"/>
      <c r="AI16" s="16"/>
    </row>
    <row r="17" spans="1:35" x14ac:dyDescent="0.25">
      <c r="A17" s="1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O17" t="s">
        <v>17</v>
      </c>
      <c r="P17" t="s">
        <v>18</v>
      </c>
      <c r="Q17" t="s">
        <v>19</v>
      </c>
      <c r="S17" s="1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G17" t="s">
        <v>17</v>
      </c>
      <c r="AH17" t="s">
        <v>18</v>
      </c>
      <c r="AI17" t="s">
        <v>19</v>
      </c>
    </row>
    <row r="18" spans="1:35" x14ac:dyDescent="0.25">
      <c r="A18" s="18"/>
      <c r="B18" t="s">
        <v>20</v>
      </c>
      <c r="C18" s="2"/>
      <c r="D18" s="2"/>
      <c r="F18" t="s">
        <v>20</v>
      </c>
      <c r="G18" s="2"/>
      <c r="H18" s="2"/>
      <c r="J18" t="s">
        <v>20</v>
      </c>
      <c r="N18" t="s">
        <v>20</v>
      </c>
      <c r="S18" s="18"/>
      <c r="T18" t="s">
        <v>20</v>
      </c>
      <c r="U18" s="2"/>
      <c r="V18" s="2"/>
      <c r="X18" t="s">
        <v>20</v>
      </c>
      <c r="Y18" s="2"/>
      <c r="Z18" s="2"/>
      <c r="AB18" t="s">
        <v>20</v>
      </c>
      <c r="AF18" t="s">
        <v>20</v>
      </c>
    </row>
    <row r="19" spans="1:35" x14ac:dyDescent="0.25">
      <c r="A19" s="18"/>
      <c r="B19" t="s">
        <v>21</v>
      </c>
      <c r="C19" s="2"/>
      <c r="D19" s="2"/>
      <c r="F19" t="s">
        <v>21</v>
      </c>
      <c r="G19" s="2"/>
      <c r="H19" s="2"/>
      <c r="J19" t="s">
        <v>21</v>
      </c>
      <c r="N19" t="s">
        <v>21</v>
      </c>
      <c r="S19" s="18"/>
      <c r="T19" t="s">
        <v>21</v>
      </c>
      <c r="U19" s="2"/>
      <c r="V19" s="2"/>
      <c r="X19" t="s">
        <v>21</v>
      </c>
      <c r="Y19" s="2"/>
      <c r="Z19" s="2"/>
      <c r="AB19" t="s">
        <v>21</v>
      </c>
      <c r="AF19" t="s">
        <v>21</v>
      </c>
    </row>
    <row r="20" spans="1:35" x14ac:dyDescent="0.25">
      <c r="A20" s="18"/>
      <c r="B20" t="s">
        <v>22</v>
      </c>
      <c r="C20" s="2">
        <v>7.5359999999999999E-4</v>
      </c>
      <c r="D20" s="2">
        <v>7.5359999999999999E-4</v>
      </c>
      <c r="E20">
        <v>0.956816</v>
      </c>
      <c r="F20" t="s">
        <v>22</v>
      </c>
      <c r="G20" s="2">
        <v>8.6779999999999995E-4</v>
      </c>
      <c r="H20" s="2">
        <v>8.6779999999999995E-4</v>
      </c>
      <c r="I20">
        <v>1.034689</v>
      </c>
      <c r="J20" t="s">
        <v>22</v>
      </c>
      <c r="K20">
        <v>1E-3</v>
      </c>
      <c r="L20">
        <v>1E-3</v>
      </c>
      <c r="M20">
        <v>1.1391450000000001</v>
      </c>
      <c r="N20" t="s">
        <v>22</v>
      </c>
      <c r="O20">
        <v>1.1000000000000001E-3</v>
      </c>
      <c r="P20">
        <v>1.1000000000000001E-3</v>
      </c>
      <c r="Q20">
        <v>1.1371929999999999</v>
      </c>
      <c r="S20" s="18"/>
      <c r="T20" t="s">
        <v>22</v>
      </c>
      <c r="U20" s="2">
        <v>7.4520000000000001E-4</v>
      </c>
      <c r="V20" s="2">
        <v>7.5460000000000002E-4</v>
      </c>
      <c r="W20">
        <v>1.0932770000000001</v>
      </c>
      <c r="X20" t="s">
        <v>22</v>
      </c>
      <c r="Y20" s="2">
        <v>8.6779999999999995E-4</v>
      </c>
      <c r="Z20" s="2">
        <v>8.7940000000000002E-4</v>
      </c>
      <c r="AA20">
        <v>0.98430600000000001</v>
      </c>
      <c r="AB20" t="s">
        <v>22</v>
      </c>
      <c r="AC20">
        <v>1E-3</v>
      </c>
      <c r="AD20">
        <v>1E-3</v>
      </c>
      <c r="AE20">
        <v>0.96641299999999997</v>
      </c>
      <c r="AF20" t="s">
        <v>22</v>
      </c>
      <c r="AG20">
        <v>1.1000000000000001E-3</v>
      </c>
      <c r="AH20">
        <v>1.1000000000000001E-3</v>
      </c>
      <c r="AI20">
        <v>1.1200909999999999</v>
      </c>
    </row>
    <row r="23" spans="1:35" x14ac:dyDescent="0.25">
      <c r="A23" s="23" t="s">
        <v>24</v>
      </c>
      <c r="B23" s="16" t="s">
        <v>126</v>
      </c>
      <c r="C23" s="16"/>
      <c r="D23" s="16"/>
      <c r="E23" s="16"/>
      <c r="F23" s="16" t="s">
        <v>127</v>
      </c>
      <c r="G23" s="16"/>
      <c r="H23" s="16"/>
      <c r="I23" s="16"/>
      <c r="J23" s="16" t="s">
        <v>128</v>
      </c>
      <c r="K23" s="16"/>
      <c r="L23" s="16"/>
      <c r="M23" s="16"/>
      <c r="N23" s="16" t="s">
        <v>129</v>
      </c>
      <c r="O23" s="16"/>
      <c r="P23" s="16"/>
      <c r="Q23" s="16"/>
      <c r="S23" s="23" t="s">
        <v>24</v>
      </c>
      <c r="T23" s="16" t="s">
        <v>126</v>
      </c>
      <c r="U23" s="16"/>
      <c r="V23" s="16"/>
      <c r="W23" s="16"/>
      <c r="X23" s="16" t="s">
        <v>127</v>
      </c>
      <c r="Y23" s="16"/>
      <c r="Z23" s="16"/>
      <c r="AA23" s="16"/>
      <c r="AB23" s="16" t="s">
        <v>128</v>
      </c>
      <c r="AC23" s="16"/>
      <c r="AD23" s="16"/>
      <c r="AE23" s="16"/>
      <c r="AF23" s="16" t="s">
        <v>129</v>
      </c>
      <c r="AG23" s="16"/>
      <c r="AH23" s="16"/>
      <c r="AI23" s="16"/>
    </row>
    <row r="24" spans="1:35" x14ac:dyDescent="0.25">
      <c r="A24" s="23"/>
      <c r="B24" s="16" t="s">
        <v>25</v>
      </c>
      <c r="C24" s="16"/>
      <c r="D24" s="16"/>
      <c r="E24" t="s">
        <v>19</v>
      </c>
      <c r="F24" s="16" t="s">
        <v>25</v>
      </c>
      <c r="G24" s="16"/>
      <c r="H24" s="16"/>
      <c r="I24" t="s">
        <v>19</v>
      </c>
      <c r="J24" s="16" t="s">
        <v>25</v>
      </c>
      <c r="K24" s="16"/>
      <c r="L24" s="16"/>
      <c r="M24" t="s">
        <v>19</v>
      </c>
      <c r="N24" s="16" t="s">
        <v>25</v>
      </c>
      <c r="O24" s="16"/>
      <c r="P24" s="16"/>
      <c r="Q24" t="s">
        <v>19</v>
      </c>
      <c r="S24" s="23"/>
      <c r="T24" s="16" t="s">
        <v>25</v>
      </c>
      <c r="U24" s="16"/>
      <c r="V24" s="16"/>
      <c r="W24" t="s">
        <v>19</v>
      </c>
      <c r="X24" s="16" t="s">
        <v>25</v>
      </c>
      <c r="Y24" s="16"/>
      <c r="Z24" s="16"/>
      <c r="AA24" t="s">
        <v>19</v>
      </c>
      <c r="AB24" s="16" t="s">
        <v>25</v>
      </c>
      <c r="AC24" s="16"/>
      <c r="AD24" s="16"/>
      <c r="AE24" t="s">
        <v>19</v>
      </c>
      <c r="AF24" s="16" t="s">
        <v>25</v>
      </c>
      <c r="AG24" s="16"/>
      <c r="AH24" s="16"/>
      <c r="AI24" t="s">
        <v>19</v>
      </c>
    </row>
    <row r="25" spans="1:35" x14ac:dyDescent="0.25">
      <c r="A25" s="23"/>
      <c r="B25" s="3">
        <v>7.5270000000000003E-4</v>
      </c>
      <c r="C25" s="3"/>
      <c r="D25" s="3"/>
      <c r="E25">
        <v>1.980982</v>
      </c>
      <c r="F25" s="3">
        <v>8.6600000000000002E-4</v>
      </c>
      <c r="G25" s="3"/>
      <c r="H25" s="3"/>
      <c r="I25">
        <v>1.817507</v>
      </c>
      <c r="J25" s="3">
        <v>1E-3</v>
      </c>
      <c r="K25" s="3"/>
      <c r="L25" s="3"/>
      <c r="M25">
        <v>2.0608179999999998</v>
      </c>
      <c r="N25" s="6">
        <v>1.1000000000000001E-3</v>
      </c>
      <c r="O25" s="6"/>
      <c r="P25" s="6"/>
      <c r="Q25">
        <v>2.0734439999999998</v>
      </c>
      <c r="S25" s="23"/>
      <c r="T25" s="3">
        <v>7.5270000000000003E-4</v>
      </c>
      <c r="U25" s="3"/>
      <c r="V25" s="3"/>
      <c r="W25">
        <v>1.8291710000000001</v>
      </c>
      <c r="X25" s="3">
        <v>8.7259999999999996E-4</v>
      </c>
      <c r="Y25" s="3"/>
      <c r="Z25" s="3"/>
      <c r="AA25">
        <v>2.0380400000000001</v>
      </c>
      <c r="AB25" s="3">
        <v>9.8200000000000002E-4</v>
      </c>
      <c r="AC25" s="3"/>
      <c r="AD25" s="3"/>
      <c r="AE25">
        <v>1.8162210000000001</v>
      </c>
      <c r="AF25" s="3">
        <v>1.1000000000000001E-3</v>
      </c>
      <c r="AG25" s="3"/>
      <c r="AH25" s="3"/>
      <c r="AI25">
        <v>1.8208390000000001</v>
      </c>
    </row>
    <row r="27" spans="1:3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35" x14ac:dyDescent="0.25">
      <c r="A28" s="1" t="s">
        <v>26</v>
      </c>
      <c r="C28" t="s">
        <v>124</v>
      </c>
      <c r="D28" t="s">
        <v>125</v>
      </c>
      <c r="G28" t="s">
        <v>124</v>
      </c>
      <c r="H28" t="s">
        <v>125</v>
      </c>
      <c r="S28" s="1" t="s">
        <v>27</v>
      </c>
      <c r="U28" t="s">
        <v>124</v>
      </c>
      <c r="V28" t="s">
        <v>125</v>
      </c>
      <c r="Y28" t="s">
        <v>124</v>
      </c>
      <c r="Z28" t="s">
        <v>125</v>
      </c>
    </row>
    <row r="29" spans="1:35" x14ac:dyDescent="0.25">
      <c r="B29" s="16" t="s">
        <v>8</v>
      </c>
      <c r="C29" s="16"/>
      <c r="D29" s="16"/>
      <c r="E29" s="16"/>
      <c r="F29" s="16" t="s">
        <v>9</v>
      </c>
      <c r="G29" s="16"/>
      <c r="H29" s="16"/>
      <c r="I29" s="16"/>
      <c r="J29" s="16" t="s">
        <v>10</v>
      </c>
      <c r="K29" s="16"/>
      <c r="L29" s="16"/>
      <c r="M29" s="16"/>
      <c r="N29" s="16" t="s">
        <v>11</v>
      </c>
      <c r="O29" s="16"/>
      <c r="P29" s="16"/>
      <c r="Q29" s="16"/>
      <c r="T29" s="16" t="s">
        <v>8</v>
      </c>
      <c r="U29" s="16"/>
      <c r="V29" s="16"/>
      <c r="W29" s="16"/>
      <c r="X29" s="16" t="s">
        <v>9</v>
      </c>
      <c r="Y29" s="16"/>
      <c r="Z29" s="16"/>
      <c r="AA29" s="16"/>
      <c r="AB29" s="16" t="s">
        <v>10</v>
      </c>
      <c r="AC29" s="16"/>
      <c r="AD29" s="16"/>
      <c r="AE29" s="16"/>
      <c r="AF29" s="16" t="s">
        <v>11</v>
      </c>
      <c r="AG29" s="16"/>
      <c r="AH29" s="16"/>
      <c r="AI29" s="16"/>
    </row>
    <row r="30" spans="1:35" x14ac:dyDescent="0.25">
      <c r="A30" s="22" t="s">
        <v>12</v>
      </c>
      <c r="B30" s="16" t="s">
        <v>126</v>
      </c>
      <c r="C30" s="16"/>
      <c r="D30" s="16"/>
      <c r="E30" s="16"/>
      <c r="F30" s="16" t="s">
        <v>127</v>
      </c>
      <c r="G30" s="16"/>
      <c r="H30" s="16"/>
      <c r="I30" s="16"/>
      <c r="J30" s="16" t="s">
        <v>128</v>
      </c>
      <c r="K30" s="16"/>
      <c r="L30" s="16"/>
      <c r="M30" s="16"/>
      <c r="N30" s="16" t="s">
        <v>129</v>
      </c>
      <c r="O30" s="16"/>
      <c r="P30" s="16"/>
      <c r="Q30" s="16"/>
      <c r="S30" s="22" t="s">
        <v>12</v>
      </c>
      <c r="T30" s="16" t="s">
        <v>126</v>
      </c>
      <c r="U30" s="16"/>
      <c r="V30" s="16"/>
      <c r="W30" s="16"/>
      <c r="X30" s="16" t="s">
        <v>127</v>
      </c>
      <c r="Y30" s="16"/>
      <c r="Z30" s="16"/>
      <c r="AA30" s="16"/>
      <c r="AB30" s="16" t="s">
        <v>128</v>
      </c>
      <c r="AC30" s="16"/>
      <c r="AD30" s="16"/>
      <c r="AE30" s="16"/>
      <c r="AF30" s="16" t="s">
        <v>129</v>
      </c>
      <c r="AG30" s="16"/>
      <c r="AH30" s="16"/>
      <c r="AI30" s="16"/>
    </row>
    <row r="31" spans="1:35" x14ac:dyDescent="0.25">
      <c r="A31" s="22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O31" t="s">
        <v>17</v>
      </c>
      <c r="P31" t="s">
        <v>18</v>
      </c>
      <c r="Q31" t="s">
        <v>19</v>
      </c>
      <c r="S31" s="22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G31" t="s">
        <v>17</v>
      </c>
      <c r="AH31" t="s">
        <v>18</v>
      </c>
      <c r="AI31" t="s">
        <v>19</v>
      </c>
    </row>
    <row r="32" spans="1:35" x14ac:dyDescent="0.25">
      <c r="A32" s="22"/>
      <c r="B32" t="s">
        <v>20</v>
      </c>
      <c r="C32" s="2"/>
      <c r="D32" s="2"/>
      <c r="F32" t="s">
        <v>20</v>
      </c>
      <c r="G32" s="2"/>
      <c r="H32" s="2"/>
      <c r="J32" t="s">
        <v>20</v>
      </c>
      <c r="N32" t="s">
        <v>20</v>
      </c>
      <c r="S32" s="22"/>
      <c r="T32" t="s">
        <v>20</v>
      </c>
      <c r="U32" s="2"/>
      <c r="V32" s="2"/>
      <c r="X32" t="s">
        <v>20</v>
      </c>
      <c r="Y32" s="2"/>
      <c r="Z32" s="2"/>
      <c r="AB32" t="s">
        <v>20</v>
      </c>
      <c r="AF32" t="s">
        <v>20</v>
      </c>
    </row>
    <row r="33" spans="1:35" x14ac:dyDescent="0.25">
      <c r="A33" s="22"/>
      <c r="B33" t="s">
        <v>21</v>
      </c>
      <c r="C33" s="2"/>
      <c r="D33" s="2"/>
      <c r="F33" t="s">
        <v>21</v>
      </c>
      <c r="G33" s="2"/>
      <c r="H33" s="2"/>
      <c r="J33" t="s">
        <v>21</v>
      </c>
      <c r="N33" t="s">
        <v>21</v>
      </c>
      <c r="S33" s="22"/>
      <c r="T33" t="s">
        <v>21</v>
      </c>
      <c r="U33" s="2"/>
      <c r="V33" s="2"/>
      <c r="X33" t="s">
        <v>21</v>
      </c>
      <c r="Y33" s="2"/>
      <c r="Z33" s="2"/>
      <c r="AB33" t="s">
        <v>21</v>
      </c>
      <c r="AF33" t="s">
        <v>21</v>
      </c>
    </row>
    <row r="34" spans="1:35" x14ac:dyDescent="0.25">
      <c r="A34" s="22"/>
      <c r="B34" t="s">
        <v>22</v>
      </c>
      <c r="C34" s="2">
        <v>7.048E-4</v>
      </c>
      <c r="D34" s="2">
        <v>7.1040000000000003E-4</v>
      </c>
      <c r="E34">
        <v>1.2211639999999999</v>
      </c>
      <c r="F34" t="s">
        <v>22</v>
      </c>
      <c r="G34" s="2">
        <v>8.2010000000000004E-4</v>
      </c>
      <c r="H34" s="2">
        <v>8.2680000000000004E-4</v>
      </c>
      <c r="I34">
        <v>1.04125</v>
      </c>
      <c r="J34" t="s">
        <v>22</v>
      </c>
      <c r="K34" s="2">
        <v>9.343E-4</v>
      </c>
      <c r="L34" s="2">
        <v>9.4229999999999997E-4</v>
      </c>
      <c r="M34">
        <v>1.196539</v>
      </c>
      <c r="N34" t="s">
        <v>22</v>
      </c>
      <c r="O34">
        <v>1E-3</v>
      </c>
      <c r="P34">
        <v>1.1000000000000001E-3</v>
      </c>
      <c r="Q34">
        <v>1.0278339999999999</v>
      </c>
      <c r="S34" s="22"/>
      <c r="T34" t="s">
        <v>22</v>
      </c>
      <c r="U34" s="2">
        <v>5.7640000000000002E-4</v>
      </c>
      <c r="V34" s="2">
        <v>6.2140000000000003E-4</v>
      </c>
      <c r="W34">
        <v>1.175128</v>
      </c>
      <c r="X34" t="s">
        <v>22</v>
      </c>
      <c r="Y34" s="2">
        <v>6.7259999999999998E-4</v>
      </c>
      <c r="Z34" s="2">
        <v>7.2440000000000004E-4</v>
      </c>
      <c r="AA34">
        <v>1.0765119999999999</v>
      </c>
      <c r="AB34" t="s">
        <v>22</v>
      </c>
      <c r="AC34" s="2">
        <v>7.6630000000000003E-4</v>
      </c>
      <c r="AD34" s="2">
        <v>8.2529999999999995E-4</v>
      </c>
      <c r="AE34">
        <v>1.183897</v>
      </c>
      <c r="AF34" t="s">
        <v>22</v>
      </c>
      <c r="AG34" s="2">
        <v>8.6280000000000005E-4</v>
      </c>
      <c r="AH34" s="2">
        <v>9.2409999999999996E-4</v>
      </c>
      <c r="AI34">
        <v>1.0187850000000001</v>
      </c>
    </row>
    <row r="37" spans="1:35" x14ac:dyDescent="0.25">
      <c r="A37" s="18" t="s">
        <v>23</v>
      </c>
      <c r="B37" s="16" t="s">
        <v>126</v>
      </c>
      <c r="C37" s="16"/>
      <c r="D37" s="16"/>
      <c r="E37" s="16"/>
      <c r="F37" s="16" t="s">
        <v>127</v>
      </c>
      <c r="G37" s="16"/>
      <c r="H37" s="16"/>
      <c r="I37" s="16"/>
      <c r="J37" s="16" t="s">
        <v>128</v>
      </c>
      <c r="K37" s="16"/>
      <c r="L37" s="16"/>
      <c r="M37" s="16"/>
      <c r="N37" s="16" t="s">
        <v>129</v>
      </c>
      <c r="O37" s="16"/>
      <c r="P37" s="16"/>
      <c r="Q37" s="16"/>
      <c r="S37" s="18" t="s">
        <v>23</v>
      </c>
      <c r="T37" s="16" t="s">
        <v>126</v>
      </c>
      <c r="U37" s="16"/>
      <c r="V37" s="16"/>
      <c r="W37" s="16"/>
      <c r="X37" s="16" t="s">
        <v>127</v>
      </c>
      <c r="Y37" s="16"/>
      <c r="Z37" s="16"/>
      <c r="AA37" s="16"/>
      <c r="AB37" s="16" t="s">
        <v>128</v>
      </c>
      <c r="AC37" s="16"/>
      <c r="AD37" s="16"/>
      <c r="AE37" s="16"/>
      <c r="AF37" s="16" t="s">
        <v>129</v>
      </c>
      <c r="AG37" s="16"/>
      <c r="AH37" s="16"/>
      <c r="AI37" s="16"/>
    </row>
    <row r="38" spans="1:35" x14ac:dyDescent="0.25">
      <c r="A38" s="1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O38" t="s">
        <v>17</v>
      </c>
      <c r="P38" t="s">
        <v>18</v>
      </c>
      <c r="Q38" t="s">
        <v>19</v>
      </c>
      <c r="S38" s="1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G38" t="s">
        <v>17</v>
      </c>
      <c r="AH38" t="s">
        <v>18</v>
      </c>
      <c r="AI38" t="s">
        <v>19</v>
      </c>
    </row>
    <row r="39" spans="1:35" x14ac:dyDescent="0.25">
      <c r="A39" s="18"/>
      <c r="B39" t="s">
        <v>20</v>
      </c>
      <c r="C39" s="2"/>
      <c r="D39" s="2"/>
      <c r="F39" t="s">
        <v>20</v>
      </c>
      <c r="G39" s="2"/>
      <c r="H39" s="2"/>
      <c r="J39" t="s">
        <v>20</v>
      </c>
      <c r="N39" t="s">
        <v>20</v>
      </c>
      <c r="S39" s="18"/>
      <c r="T39" t="s">
        <v>20</v>
      </c>
      <c r="U39" s="2"/>
      <c r="V39" s="2"/>
      <c r="X39" t="s">
        <v>20</v>
      </c>
      <c r="Y39" s="2"/>
      <c r="Z39" s="2"/>
      <c r="AB39" t="s">
        <v>20</v>
      </c>
      <c r="AF39" t="s">
        <v>20</v>
      </c>
    </row>
    <row r="40" spans="1:35" x14ac:dyDescent="0.25">
      <c r="A40" s="18"/>
      <c r="B40" t="s">
        <v>21</v>
      </c>
      <c r="C40" s="2"/>
      <c r="D40" s="2"/>
      <c r="F40" t="s">
        <v>21</v>
      </c>
      <c r="G40" s="2"/>
      <c r="H40" s="2"/>
      <c r="J40" t="s">
        <v>21</v>
      </c>
      <c r="N40" t="s">
        <v>21</v>
      </c>
      <c r="S40" s="18"/>
      <c r="T40" t="s">
        <v>21</v>
      </c>
      <c r="U40" s="2"/>
      <c r="V40" s="2"/>
      <c r="X40" t="s">
        <v>21</v>
      </c>
      <c r="Y40" s="2"/>
      <c r="Z40" s="2"/>
      <c r="AB40" t="s">
        <v>21</v>
      </c>
      <c r="AF40" t="s">
        <v>21</v>
      </c>
    </row>
    <row r="41" spans="1:35" x14ac:dyDescent="0.25">
      <c r="A41" s="18"/>
      <c r="B41" t="s">
        <v>22</v>
      </c>
      <c r="C41" s="2">
        <v>7.048E-4</v>
      </c>
      <c r="D41" s="2">
        <v>7.1310000000000004E-4</v>
      </c>
      <c r="E41">
        <v>0.98790199999999995</v>
      </c>
      <c r="F41" t="s">
        <v>22</v>
      </c>
      <c r="G41" s="2">
        <v>8.2010000000000004E-4</v>
      </c>
      <c r="H41" s="2">
        <v>8.2680000000000004E-4</v>
      </c>
      <c r="I41">
        <v>1.154399</v>
      </c>
      <c r="J41" t="s">
        <v>22</v>
      </c>
      <c r="K41" s="2">
        <v>9.3440000000000005E-4</v>
      </c>
      <c r="L41" s="2">
        <v>9.4359999999999995E-4</v>
      </c>
      <c r="M41">
        <v>0.98324599999999995</v>
      </c>
      <c r="N41" t="s">
        <v>22</v>
      </c>
      <c r="O41">
        <v>1E-3</v>
      </c>
      <c r="P41">
        <v>1.1000000000000001E-3</v>
      </c>
      <c r="Q41">
        <v>0.98981399999999997</v>
      </c>
      <c r="S41" s="18"/>
      <c r="T41" t="s">
        <v>22</v>
      </c>
      <c r="U41" s="2">
        <v>5.7640000000000002E-4</v>
      </c>
      <c r="V41" s="2">
        <v>6.2140000000000003E-4</v>
      </c>
      <c r="W41">
        <v>0.98113499999999998</v>
      </c>
      <c r="X41" t="s">
        <v>22</v>
      </c>
      <c r="Y41" s="2">
        <v>6.8130000000000003E-4</v>
      </c>
      <c r="Z41" s="2">
        <v>7.2440000000000004E-4</v>
      </c>
      <c r="AA41">
        <v>0.98704899999999995</v>
      </c>
      <c r="AB41" t="s">
        <v>22</v>
      </c>
      <c r="AC41" s="2">
        <v>7.7380000000000005E-4</v>
      </c>
      <c r="AD41" s="2">
        <v>8.2529999999999995E-4</v>
      </c>
      <c r="AE41">
        <v>0.97768299999999997</v>
      </c>
      <c r="AF41" t="s">
        <v>22</v>
      </c>
      <c r="AG41" s="2">
        <v>8.6370000000000001E-4</v>
      </c>
      <c r="AH41" s="2">
        <v>9.2409999999999996E-4</v>
      </c>
      <c r="AI41">
        <v>1.12697</v>
      </c>
    </row>
    <row r="44" spans="1:35" x14ac:dyDescent="0.25">
      <c r="A44" s="23" t="s">
        <v>24</v>
      </c>
      <c r="B44" s="16" t="s">
        <v>126</v>
      </c>
      <c r="C44" s="16"/>
      <c r="D44" s="16"/>
      <c r="E44" s="16"/>
      <c r="F44" s="16" t="s">
        <v>127</v>
      </c>
      <c r="G44" s="16"/>
      <c r="H44" s="16"/>
      <c r="I44" s="16"/>
      <c r="J44" s="16" t="s">
        <v>128</v>
      </c>
      <c r="K44" s="16"/>
      <c r="L44" s="16"/>
      <c r="M44" s="16"/>
      <c r="N44" s="16" t="s">
        <v>129</v>
      </c>
      <c r="O44" s="16"/>
      <c r="P44" s="16"/>
      <c r="Q44" s="16"/>
      <c r="S44" s="23" t="s">
        <v>24</v>
      </c>
      <c r="T44" s="16" t="s">
        <v>126</v>
      </c>
      <c r="U44" s="16"/>
      <c r="V44" s="16"/>
      <c r="W44" s="16"/>
      <c r="X44" s="16" t="s">
        <v>127</v>
      </c>
      <c r="Y44" s="16"/>
      <c r="Z44" s="16"/>
      <c r="AA44" s="16"/>
      <c r="AB44" s="16" t="s">
        <v>128</v>
      </c>
      <c r="AC44" s="16"/>
      <c r="AD44" s="16"/>
      <c r="AE44" s="16"/>
      <c r="AF44" s="16" t="s">
        <v>129</v>
      </c>
      <c r="AG44" s="16"/>
      <c r="AH44" s="16"/>
      <c r="AI44" s="16"/>
    </row>
    <row r="45" spans="1:35" x14ac:dyDescent="0.25">
      <c r="A45" s="23"/>
      <c r="B45" s="16" t="s">
        <v>25</v>
      </c>
      <c r="C45" s="16"/>
      <c r="D45" s="16"/>
      <c r="E45" t="s">
        <v>19</v>
      </c>
      <c r="F45" s="16" t="s">
        <v>25</v>
      </c>
      <c r="G45" s="16"/>
      <c r="H45" s="16"/>
      <c r="I45" t="s">
        <v>19</v>
      </c>
      <c r="J45" s="16" t="s">
        <v>25</v>
      </c>
      <c r="K45" s="16"/>
      <c r="L45" s="16"/>
      <c r="M45" t="s">
        <v>19</v>
      </c>
      <c r="N45" s="16" t="s">
        <v>25</v>
      </c>
      <c r="O45" s="16"/>
      <c r="P45" s="16"/>
      <c r="Q45" t="s">
        <v>19</v>
      </c>
      <c r="S45" s="23"/>
      <c r="T45" s="16" t="s">
        <v>25</v>
      </c>
      <c r="U45" s="16"/>
      <c r="V45" s="16"/>
      <c r="W45" t="s">
        <v>19</v>
      </c>
      <c r="X45" s="16" t="s">
        <v>25</v>
      </c>
      <c r="Y45" s="16"/>
      <c r="Z45" s="16"/>
      <c r="AA45" t="s">
        <v>19</v>
      </c>
      <c r="AB45" s="16" t="s">
        <v>25</v>
      </c>
      <c r="AC45" s="16"/>
      <c r="AD45" s="16"/>
      <c r="AE45" t="s">
        <v>19</v>
      </c>
      <c r="AF45" s="16" t="s">
        <v>25</v>
      </c>
      <c r="AG45" s="16"/>
      <c r="AH45" s="16"/>
      <c r="AI45" t="s">
        <v>19</v>
      </c>
    </row>
    <row r="46" spans="1:35" x14ac:dyDescent="0.25">
      <c r="A46" s="23"/>
      <c r="B46" s="2">
        <v>7.1500000000000003E-4</v>
      </c>
      <c r="C46" s="2"/>
      <c r="D46" s="2"/>
      <c r="E46">
        <v>1.66825</v>
      </c>
      <c r="F46" s="5">
        <v>8.2070000000000005E-4</v>
      </c>
      <c r="G46" s="2"/>
      <c r="H46" s="2"/>
      <c r="I46">
        <v>1.648431</v>
      </c>
      <c r="J46" s="3">
        <v>9.2299999999999999E-4</v>
      </c>
      <c r="K46" s="3"/>
      <c r="L46" s="3"/>
      <c r="M46">
        <v>1.6636629999999999</v>
      </c>
      <c r="N46" s="6">
        <v>1E-3</v>
      </c>
      <c r="O46" s="6"/>
      <c r="P46" s="6"/>
      <c r="Q46">
        <v>1.859548</v>
      </c>
      <c r="S46" s="23"/>
      <c r="T46" s="3">
        <v>5.953E-4</v>
      </c>
      <c r="U46" s="3"/>
      <c r="V46" s="3"/>
      <c r="W46">
        <v>2.0545550000000001</v>
      </c>
      <c r="X46" s="3">
        <v>7.0989999999999996E-4</v>
      </c>
      <c r="Y46" s="3"/>
      <c r="Z46" s="3"/>
      <c r="AA46">
        <v>2.0852889999999999</v>
      </c>
      <c r="AB46" s="3">
        <v>7.9799999999999999E-4</v>
      </c>
      <c r="AC46" s="3"/>
      <c r="AD46" s="3"/>
      <c r="AE46">
        <v>2.0501179999999999</v>
      </c>
      <c r="AF46" s="3">
        <v>9.0140000000000001E-4</v>
      </c>
      <c r="AG46" s="3"/>
      <c r="AH46" s="3"/>
      <c r="AI46">
        <v>1.8032079999999999</v>
      </c>
    </row>
    <row r="47" spans="1:35" x14ac:dyDescent="0.25">
      <c r="F47" s="2"/>
    </row>
    <row r="48" spans="1:35" x14ac:dyDescent="0.25">
      <c r="A48" s="1" t="s">
        <v>28</v>
      </c>
      <c r="C48" t="s">
        <v>124</v>
      </c>
      <c r="D48" t="s">
        <v>125</v>
      </c>
      <c r="G48" t="s">
        <v>124</v>
      </c>
      <c r="H48" t="s">
        <v>125</v>
      </c>
    </row>
    <row r="49" spans="1:17" x14ac:dyDescent="0.25">
      <c r="B49" s="16" t="s">
        <v>8</v>
      </c>
      <c r="C49" s="16"/>
      <c r="D49" s="16"/>
      <c r="E49" s="16"/>
      <c r="F49" s="16" t="s">
        <v>9</v>
      </c>
      <c r="G49" s="16"/>
      <c r="H49" s="16"/>
      <c r="I49" s="16"/>
      <c r="J49" s="16" t="s">
        <v>10</v>
      </c>
      <c r="K49" s="16"/>
      <c r="L49" s="16"/>
      <c r="M49" s="16"/>
      <c r="N49" s="16" t="s">
        <v>11</v>
      </c>
      <c r="O49" s="16"/>
      <c r="P49" s="16"/>
      <c r="Q49" s="16"/>
    </row>
    <row r="50" spans="1:17" x14ac:dyDescent="0.25">
      <c r="A50" s="22" t="s">
        <v>12</v>
      </c>
      <c r="B50" s="16" t="s">
        <v>126</v>
      </c>
      <c r="C50" s="16"/>
      <c r="D50" s="16"/>
      <c r="E50" s="16"/>
      <c r="F50" s="16" t="s">
        <v>127</v>
      </c>
      <c r="G50" s="16"/>
      <c r="H50" s="16"/>
      <c r="I50" s="16"/>
      <c r="J50" s="16" t="s">
        <v>128</v>
      </c>
      <c r="K50" s="16"/>
      <c r="L50" s="16"/>
      <c r="M50" s="16"/>
      <c r="N50" s="16" t="s">
        <v>129</v>
      </c>
      <c r="O50" s="16"/>
      <c r="P50" s="16"/>
      <c r="Q50" s="16"/>
    </row>
    <row r="51" spans="1:17" x14ac:dyDescent="0.25">
      <c r="A51" s="22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O51" t="s">
        <v>17</v>
      </c>
      <c r="P51" t="s">
        <v>18</v>
      </c>
      <c r="Q51" t="s">
        <v>19</v>
      </c>
    </row>
    <row r="52" spans="1:17" x14ac:dyDescent="0.25">
      <c r="A52" s="22"/>
      <c r="B52" t="s">
        <v>20</v>
      </c>
      <c r="C52" s="2"/>
      <c r="D52" s="2"/>
      <c r="F52" t="s">
        <v>20</v>
      </c>
      <c r="G52" s="2"/>
      <c r="H52" s="2"/>
      <c r="J52" t="s">
        <v>20</v>
      </c>
      <c r="N52" t="s">
        <v>20</v>
      </c>
    </row>
    <row r="53" spans="1:17" x14ac:dyDescent="0.25">
      <c r="A53" s="22"/>
      <c r="B53" t="s">
        <v>21</v>
      </c>
      <c r="C53" s="2"/>
      <c r="D53" s="2"/>
      <c r="F53" t="s">
        <v>21</v>
      </c>
      <c r="G53" s="2"/>
      <c r="H53" s="2"/>
      <c r="J53" t="s">
        <v>21</v>
      </c>
      <c r="N53" t="s">
        <v>21</v>
      </c>
    </row>
    <row r="54" spans="1:17" x14ac:dyDescent="0.25">
      <c r="A54" s="22"/>
      <c r="B54" t="s">
        <v>22</v>
      </c>
      <c r="C54" s="2">
        <v>2.9950000000000002E-4</v>
      </c>
      <c r="D54" s="2">
        <v>4.193E-4</v>
      </c>
      <c r="E54">
        <v>1.0139359999999999</v>
      </c>
      <c r="F54" t="s">
        <v>22</v>
      </c>
      <c r="G54" s="2">
        <v>3.57E-4</v>
      </c>
      <c r="H54" s="2">
        <v>4.9680000000000004E-4</v>
      </c>
      <c r="I54">
        <v>1.01275</v>
      </c>
      <c r="J54" t="s">
        <v>22</v>
      </c>
      <c r="K54" s="2">
        <v>4.1819999999999997E-4</v>
      </c>
      <c r="L54" s="2">
        <v>5.6930000000000001E-4</v>
      </c>
      <c r="M54">
        <v>1.0703</v>
      </c>
      <c r="N54" t="s">
        <v>22</v>
      </c>
      <c r="O54" s="2">
        <v>4.7689999999999999E-4</v>
      </c>
      <c r="P54" s="2">
        <v>6.3670000000000003E-4</v>
      </c>
      <c r="Q54">
        <v>1.0214259999999999</v>
      </c>
    </row>
    <row r="57" spans="1:17" x14ac:dyDescent="0.25">
      <c r="A57" s="18" t="s">
        <v>23</v>
      </c>
      <c r="B57" s="16" t="s">
        <v>126</v>
      </c>
      <c r="C57" s="16"/>
      <c r="D57" s="16"/>
      <c r="E57" s="16"/>
      <c r="F57" s="16" t="s">
        <v>127</v>
      </c>
      <c r="G57" s="16"/>
      <c r="H57" s="16"/>
      <c r="I57" s="16"/>
      <c r="J57" s="16" t="s">
        <v>128</v>
      </c>
      <c r="K57" s="16"/>
      <c r="L57" s="16"/>
      <c r="M57" s="16"/>
      <c r="N57" s="16" t="s">
        <v>129</v>
      </c>
      <c r="O57" s="16"/>
      <c r="P57" s="16"/>
      <c r="Q57" s="16"/>
    </row>
    <row r="58" spans="1:17" x14ac:dyDescent="0.25">
      <c r="A58" s="1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O58" t="s">
        <v>17</v>
      </c>
      <c r="P58" t="s">
        <v>18</v>
      </c>
      <c r="Q58" t="s">
        <v>19</v>
      </c>
    </row>
    <row r="59" spans="1:17" x14ac:dyDescent="0.25">
      <c r="A59" s="18"/>
      <c r="B59" t="s">
        <v>20</v>
      </c>
      <c r="C59" s="2"/>
      <c r="D59" s="2"/>
      <c r="F59" t="s">
        <v>20</v>
      </c>
      <c r="G59" s="2"/>
      <c r="H59" s="2"/>
      <c r="J59" t="s">
        <v>20</v>
      </c>
      <c r="N59" t="s">
        <v>20</v>
      </c>
    </row>
    <row r="60" spans="1:17" x14ac:dyDescent="0.25">
      <c r="A60" s="18"/>
      <c r="B60" t="s">
        <v>21</v>
      </c>
      <c r="C60" s="2"/>
      <c r="D60" s="2"/>
      <c r="F60" t="s">
        <v>21</v>
      </c>
      <c r="G60" s="2"/>
      <c r="H60" s="2"/>
      <c r="J60" t="s">
        <v>21</v>
      </c>
      <c r="N60" t="s">
        <v>21</v>
      </c>
    </row>
    <row r="61" spans="1:17" x14ac:dyDescent="0.25">
      <c r="A61" s="18"/>
      <c r="B61" t="s">
        <v>22</v>
      </c>
      <c r="C61" s="2">
        <v>2.9950000000000002E-4</v>
      </c>
      <c r="D61" s="2">
        <v>4.194E-4</v>
      </c>
      <c r="E61">
        <v>0.97898300000000005</v>
      </c>
      <c r="F61" t="s">
        <v>22</v>
      </c>
      <c r="G61" s="2">
        <v>3.836E-4</v>
      </c>
      <c r="H61" s="2">
        <v>4.8010000000000001E-4</v>
      </c>
      <c r="I61">
        <v>1.0274799999999999</v>
      </c>
      <c r="J61" t="s">
        <v>22</v>
      </c>
      <c r="K61" s="2">
        <v>4.483E-4</v>
      </c>
      <c r="L61" s="2">
        <v>5.3300000000000005E-4</v>
      </c>
      <c r="M61">
        <v>1.1286039999999999</v>
      </c>
      <c r="N61" t="s">
        <v>22</v>
      </c>
      <c r="O61" s="2">
        <v>4.9969999999999995E-4</v>
      </c>
      <c r="P61" s="2">
        <v>6.0669999999999995E-4</v>
      </c>
      <c r="Q61">
        <v>1.0130570000000001</v>
      </c>
    </row>
    <row r="64" spans="1:17" x14ac:dyDescent="0.25">
      <c r="A64" s="23" t="s">
        <v>24</v>
      </c>
      <c r="B64" s="16" t="s">
        <v>126</v>
      </c>
      <c r="C64" s="16"/>
      <c r="D64" s="16"/>
      <c r="E64" s="16"/>
      <c r="F64" s="16" t="s">
        <v>127</v>
      </c>
      <c r="G64" s="16"/>
      <c r="H64" s="16"/>
      <c r="I64" s="16"/>
      <c r="J64" s="16" t="s">
        <v>128</v>
      </c>
      <c r="K64" s="16"/>
      <c r="L64" s="16"/>
      <c r="M64" s="16"/>
      <c r="N64" s="16" t="s">
        <v>129</v>
      </c>
      <c r="O64" s="16"/>
      <c r="P64" s="16"/>
      <c r="Q64" s="16"/>
    </row>
    <row r="65" spans="1:27" x14ac:dyDescent="0.25">
      <c r="A65" s="23"/>
      <c r="B65" s="16" t="s">
        <v>25</v>
      </c>
      <c r="C65" s="16"/>
      <c r="D65" s="16"/>
      <c r="E65" t="s">
        <v>19</v>
      </c>
      <c r="F65" s="16" t="s">
        <v>25</v>
      </c>
      <c r="G65" s="16"/>
      <c r="H65" s="16"/>
      <c r="I65" t="s">
        <v>19</v>
      </c>
      <c r="J65" s="16" t="s">
        <v>25</v>
      </c>
      <c r="K65" s="16"/>
      <c r="L65" s="16"/>
      <c r="M65" t="s">
        <v>19</v>
      </c>
      <c r="N65" s="16" t="s">
        <v>25</v>
      </c>
      <c r="O65" s="16"/>
      <c r="P65" s="16"/>
      <c r="Q65" t="s">
        <v>19</v>
      </c>
    </row>
    <row r="66" spans="1:27" x14ac:dyDescent="0.25">
      <c r="A66" s="23"/>
      <c r="B66" s="3">
        <v>3.7330000000000002E-4</v>
      </c>
      <c r="C66" s="3"/>
      <c r="D66" s="3"/>
      <c r="E66">
        <v>1.669996</v>
      </c>
      <c r="F66" s="3">
        <v>4.481E-4</v>
      </c>
      <c r="G66" s="3"/>
      <c r="H66" s="3"/>
      <c r="I66">
        <v>1.6733579999999999</v>
      </c>
      <c r="J66" s="3">
        <v>5.1780000000000001E-4</v>
      </c>
      <c r="K66" s="3"/>
      <c r="L66" s="3"/>
      <c r="M66">
        <v>1.845655</v>
      </c>
      <c r="N66" s="3">
        <v>5.6959999999999997E-4</v>
      </c>
      <c r="O66" s="3"/>
      <c r="P66" s="3"/>
      <c r="Q66">
        <v>1.6630050000000001</v>
      </c>
    </row>
    <row r="68" spans="1:27" x14ac:dyDescent="0.25">
      <c r="A68" s="22" t="s">
        <v>30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1" t="s">
        <v>6</v>
      </c>
      <c r="D71" s="17" t="s">
        <v>12</v>
      </c>
      <c r="E71" s="17"/>
      <c r="F71" s="17"/>
      <c r="G71" s="17"/>
      <c r="H71" s="17"/>
      <c r="I71" s="18" t="s">
        <v>23</v>
      </c>
      <c r="J71" s="18"/>
      <c r="K71" s="18"/>
      <c r="L71" s="19" t="s">
        <v>24</v>
      </c>
      <c r="M71" s="19"/>
      <c r="N71" s="7"/>
      <c r="P71" s="17" t="s">
        <v>12</v>
      </c>
      <c r="Q71" s="17"/>
      <c r="R71" s="17"/>
      <c r="S71" s="17"/>
      <c r="T71" s="17"/>
      <c r="U71" s="18" t="s">
        <v>23</v>
      </c>
      <c r="V71" s="18"/>
      <c r="W71" s="18"/>
      <c r="X71" s="19" t="s">
        <v>24</v>
      </c>
      <c r="Y71" s="19"/>
    </row>
    <row r="72" spans="1:27" x14ac:dyDescent="0.25">
      <c r="F72" t="s">
        <v>17</v>
      </c>
      <c r="G72" t="s">
        <v>18</v>
      </c>
      <c r="H72" t="s">
        <v>31</v>
      </c>
      <c r="I72" t="s">
        <v>17</v>
      </c>
      <c r="J72" t="s">
        <v>18</v>
      </c>
      <c r="K72" t="s">
        <v>31</v>
      </c>
      <c r="L72" t="s">
        <v>25</v>
      </c>
      <c r="M72" t="s">
        <v>32</v>
      </c>
      <c r="R72" t="s">
        <v>17</v>
      </c>
      <c r="S72" t="s">
        <v>18</v>
      </c>
      <c r="T72" t="s">
        <v>31</v>
      </c>
      <c r="U72" t="s">
        <v>17</v>
      </c>
      <c r="V72" t="s">
        <v>18</v>
      </c>
      <c r="W72" t="s">
        <v>31</v>
      </c>
      <c r="X72" t="s">
        <v>25</v>
      </c>
      <c r="Y72" t="s">
        <v>32</v>
      </c>
    </row>
    <row r="73" spans="1:27" x14ac:dyDescent="0.25">
      <c r="C73" s="22" t="s">
        <v>9</v>
      </c>
      <c r="D73" s="21" t="s">
        <v>33</v>
      </c>
      <c r="E73" t="s">
        <v>34</v>
      </c>
      <c r="F73">
        <f t="shared" ref="F73:G75" si="0">0.05*G11+(1-0.05)*C11</f>
        <v>0</v>
      </c>
      <c r="G73">
        <f t="shared" si="0"/>
        <v>0</v>
      </c>
      <c r="H73">
        <f>E11+I11</f>
        <v>0</v>
      </c>
      <c r="I73">
        <f t="shared" ref="I73:J75" si="1">0.05*G18+(1-0.05)*C18</f>
        <v>0</v>
      </c>
      <c r="J73">
        <f t="shared" si="1"/>
        <v>0</v>
      </c>
      <c r="K73">
        <f>I18+E18</f>
        <v>0</v>
      </c>
      <c r="P73" s="21" t="s">
        <v>35</v>
      </c>
      <c r="Q73" t="s">
        <v>34</v>
      </c>
      <c r="R73">
        <f t="shared" ref="R73:S75" si="2">0.1*G11+(1-0.1)*C11</f>
        <v>0</v>
      </c>
      <c r="S73">
        <f t="shared" si="2"/>
        <v>0</v>
      </c>
      <c r="U73">
        <f t="shared" ref="U73:V75" si="3">0.1*G18+(1-0.1)*C18</f>
        <v>0</v>
      </c>
      <c r="V73">
        <f t="shared" si="3"/>
        <v>0</v>
      </c>
    </row>
    <row r="74" spans="1:27" x14ac:dyDescent="0.25">
      <c r="C74" s="22"/>
      <c r="D74" s="21"/>
      <c r="E74" t="s">
        <v>36</v>
      </c>
      <c r="F74">
        <f t="shared" si="0"/>
        <v>0</v>
      </c>
      <c r="G74">
        <f t="shared" si="0"/>
        <v>0</v>
      </c>
      <c r="H74">
        <f>E12+I12</f>
        <v>0</v>
      </c>
      <c r="I74">
        <f t="shared" si="1"/>
        <v>0</v>
      </c>
      <c r="J74">
        <f t="shared" si="1"/>
        <v>0</v>
      </c>
      <c r="K74">
        <f>I19+E19</f>
        <v>0</v>
      </c>
      <c r="P74" s="21"/>
      <c r="Q74" t="s">
        <v>36</v>
      </c>
      <c r="R74">
        <f t="shared" si="2"/>
        <v>0</v>
      </c>
      <c r="S74">
        <f t="shared" si="2"/>
        <v>0</v>
      </c>
      <c r="U74">
        <f t="shared" si="3"/>
        <v>0</v>
      </c>
      <c r="V74">
        <f t="shared" si="3"/>
        <v>0</v>
      </c>
    </row>
    <row r="75" spans="1:27" x14ac:dyDescent="0.25">
      <c r="C75" s="22"/>
      <c r="D75" s="21"/>
      <c r="E75" t="s">
        <v>37</v>
      </c>
      <c r="F75">
        <f t="shared" si="0"/>
        <v>7.59825E-4</v>
      </c>
      <c r="G75">
        <f t="shared" si="0"/>
        <v>7.59825E-4</v>
      </c>
      <c r="H75">
        <f>E13+I13</f>
        <v>2.0344889999999998</v>
      </c>
      <c r="I75">
        <f t="shared" si="1"/>
        <v>7.5931000000000002E-4</v>
      </c>
      <c r="J75">
        <f t="shared" si="1"/>
        <v>7.5931000000000002E-4</v>
      </c>
      <c r="K75">
        <f>I20+E20</f>
        <v>1.9915050000000001</v>
      </c>
      <c r="L75">
        <f>0.05*F25+(1-0.05)*B25</f>
        <v>7.5836499999999999E-4</v>
      </c>
      <c r="M75">
        <f>I25+E25</f>
        <v>3.798489</v>
      </c>
      <c r="P75" s="21"/>
      <c r="Q75" t="s">
        <v>37</v>
      </c>
      <c r="R75">
        <f t="shared" si="2"/>
        <v>7.6605E-4</v>
      </c>
      <c r="S75">
        <f t="shared" si="2"/>
        <v>7.6605E-4</v>
      </c>
      <c r="U75">
        <f t="shared" si="3"/>
        <v>7.6501999999999994E-4</v>
      </c>
      <c r="V75">
        <f t="shared" si="3"/>
        <v>7.6501999999999994E-4</v>
      </c>
      <c r="X75">
        <f>0.1*F25+(1-0.1)*B25</f>
        <v>7.6403000000000007E-4</v>
      </c>
    </row>
    <row r="76" spans="1:27" x14ac:dyDescent="0.25">
      <c r="C76" s="22"/>
    </row>
    <row r="77" spans="1:27" x14ac:dyDescent="0.25">
      <c r="C77" s="22"/>
    </row>
    <row r="78" spans="1:27" x14ac:dyDescent="0.25">
      <c r="C78" s="22"/>
    </row>
    <row r="79" spans="1:27" x14ac:dyDescent="0.25">
      <c r="C79" s="22"/>
      <c r="D79" s="21" t="s">
        <v>38</v>
      </c>
      <c r="E79" t="s">
        <v>34</v>
      </c>
      <c r="F79">
        <f t="shared" ref="F79:G81" si="4">0.2*G11+(1-0.2)*C11</f>
        <v>0</v>
      </c>
      <c r="G79">
        <f t="shared" si="4"/>
        <v>0</v>
      </c>
      <c r="I79">
        <f t="shared" ref="I79:J81" si="5">0.2*G18+(1-0.2)*C18</f>
        <v>0</v>
      </c>
      <c r="J79">
        <f t="shared" si="5"/>
        <v>0</v>
      </c>
      <c r="P79" s="21" t="s">
        <v>39</v>
      </c>
      <c r="Q79" t="s">
        <v>34</v>
      </c>
      <c r="R79">
        <f t="shared" ref="R79:S81" si="6">0.3*G11+(1-0.3)*C11</f>
        <v>0</v>
      </c>
      <c r="S79">
        <f t="shared" si="6"/>
        <v>0</v>
      </c>
      <c r="U79">
        <f t="shared" ref="U79:V81" si="7">0.3*G18+(1-0.3)*C18</f>
        <v>0</v>
      </c>
      <c r="V79">
        <f t="shared" si="7"/>
        <v>0</v>
      </c>
    </row>
    <row r="80" spans="1:27" x14ac:dyDescent="0.25">
      <c r="C80" s="22"/>
      <c r="D80" s="21"/>
      <c r="E80" t="s">
        <v>36</v>
      </c>
      <c r="F80">
        <f t="shared" si="4"/>
        <v>0</v>
      </c>
      <c r="G80">
        <f t="shared" si="4"/>
        <v>0</v>
      </c>
      <c r="I80">
        <f t="shared" si="5"/>
        <v>0</v>
      </c>
      <c r="J80">
        <f t="shared" si="5"/>
        <v>0</v>
      </c>
      <c r="P80" s="21"/>
      <c r="Q80" t="s">
        <v>36</v>
      </c>
      <c r="R80">
        <f t="shared" si="6"/>
        <v>0</v>
      </c>
      <c r="S80">
        <f t="shared" si="6"/>
        <v>0</v>
      </c>
      <c r="U80">
        <f t="shared" si="7"/>
        <v>0</v>
      </c>
      <c r="V80">
        <f t="shared" si="7"/>
        <v>0</v>
      </c>
    </row>
    <row r="81" spans="2:25" x14ac:dyDescent="0.25">
      <c r="C81" s="22"/>
      <c r="D81" s="21"/>
      <c r="E81" t="s">
        <v>37</v>
      </c>
      <c r="F81">
        <f t="shared" si="4"/>
        <v>7.7850000000000011E-4</v>
      </c>
      <c r="G81">
        <f t="shared" si="4"/>
        <v>7.7850000000000011E-4</v>
      </c>
      <c r="I81">
        <f t="shared" si="5"/>
        <v>7.7644000000000009E-4</v>
      </c>
      <c r="J81">
        <f t="shared" si="5"/>
        <v>7.7644000000000009E-4</v>
      </c>
      <c r="L81">
        <f>0.2*F25+(1-0.2)*B25</f>
        <v>7.7536E-4</v>
      </c>
      <c r="P81" s="21"/>
      <c r="Q81" t="s">
        <v>37</v>
      </c>
      <c r="R81">
        <f t="shared" si="6"/>
        <v>7.909499999999999E-4</v>
      </c>
      <c r="S81">
        <f t="shared" si="6"/>
        <v>7.909499999999999E-4</v>
      </c>
      <c r="U81">
        <f t="shared" si="7"/>
        <v>7.8785999999999993E-4</v>
      </c>
      <c r="V81">
        <f t="shared" si="7"/>
        <v>7.8785999999999993E-4</v>
      </c>
      <c r="X81">
        <f>0.3*F25+(1-0.3)*B25</f>
        <v>7.8669000000000005E-4</v>
      </c>
    </row>
    <row r="84" spans="2:25" x14ac:dyDescent="0.25">
      <c r="D84" s="17" t="s">
        <v>12</v>
      </c>
      <c r="E84" s="17"/>
      <c r="F84" s="17"/>
      <c r="G84" s="17"/>
      <c r="H84" s="17"/>
      <c r="I84" s="18" t="s">
        <v>23</v>
      </c>
      <c r="J84" s="18"/>
      <c r="K84" s="18"/>
      <c r="L84" s="19" t="s">
        <v>24</v>
      </c>
      <c r="M84" s="19"/>
      <c r="N84" s="4"/>
      <c r="P84" s="17" t="s">
        <v>12</v>
      </c>
      <c r="Q84" s="17"/>
      <c r="R84" s="17"/>
      <c r="S84" s="17"/>
      <c r="T84" s="17"/>
      <c r="U84" s="18" t="s">
        <v>23</v>
      </c>
      <c r="V84" s="18"/>
      <c r="W84" s="18"/>
      <c r="X84" s="19" t="s">
        <v>24</v>
      </c>
      <c r="Y84" s="19"/>
    </row>
    <row r="85" spans="2:25" x14ac:dyDescent="0.25">
      <c r="F85" t="s">
        <v>17</v>
      </c>
      <c r="G85" t="s">
        <v>18</v>
      </c>
      <c r="H85" t="s">
        <v>31</v>
      </c>
      <c r="I85" t="s">
        <v>17</v>
      </c>
      <c r="J85" t="s">
        <v>18</v>
      </c>
      <c r="K85" t="s">
        <v>31</v>
      </c>
      <c r="L85" t="s">
        <v>25</v>
      </c>
      <c r="M85" t="s">
        <v>32</v>
      </c>
      <c r="R85" t="s">
        <v>17</v>
      </c>
      <c r="S85" t="s">
        <v>18</v>
      </c>
      <c r="T85" t="s">
        <v>31</v>
      </c>
      <c r="U85" t="s">
        <v>17</v>
      </c>
      <c r="V85" t="s">
        <v>18</v>
      </c>
      <c r="W85" t="s">
        <v>31</v>
      </c>
      <c r="X85" t="s">
        <v>25</v>
      </c>
      <c r="Y85" t="s">
        <v>32</v>
      </c>
    </row>
    <row r="86" spans="2:25" x14ac:dyDescent="0.25">
      <c r="B86" s="22" t="s">
        <v>10</v>
      </c>
      <c r="C86" s="20" t="s">
        <v>40</v>
      </c>
      <c r="D86" s="21" t="s">
        <v>33</v>
      </c>
      <c r="E86" t="s">
        <v>34</v>
      </c>
      <c r="F86">
        <f t="shared" ref="F86:G88" si="8">(0.05*(1-0.05)+0.05*(1-0.05))*G11+0.05*0.05*K11+(1-0.05*(1-0.05)-0.05*(1-0.05)-0.05*0.05)*C11</f>
        <v>0</v>
      </c>
      <c r="G86">
        <f t="shared" si="8"/>
        <v>0</v>
      </c>
      <c r="H86">
        <f>M11+I11+E11</f>
        <v>0</v>
      </c>
      <c r="I86">
        <f t="shared" ref="I86:J88" si="9">(0.05*(1-0.05)+0.05*(1-0.05))*G18+0.05*0.05*K18+(1-0.05*(1-0.05)-0.05*(1-0.05)-0.05*0.05)*C18</f>
        <v>0</v>
      </c>
      <c r="J86">
        <f t="shared" si="9"/>
        <v>0</v>
      </c>
      <c r="K86">
        <f>M18+I18+E18</f>
        <v>0</v>
      </c>
      <c r="O86" s="20" t="s">
        <v>41</v>
      </c>
      <c r="P86" s="21" t="s">
        <v>35</v>
      </c>
      <c r="Q86" t="s">
        <v>34</v>
      </c>
      <c r="R86">
        <f t="shared" ref="R86:S88" si="10">(0.1*0.9+0.1*0.9)*G11+0.1*0.1*K11+(1-0.1*0.9-0.1*0.9-0.1*0.1)*C11</f>
        <v>0</v>
      </c>
      <c r="S86">
        <f t="shared" si="10"/>
        <v>0</v>
      </c>
      <c r="U86">
        <f t="shared" ref="U86:V88" si="11">(0.1*0.9+0.1*0.9)*G18+0.1*0.1*K18+(1-0.1*0.9-0.1*0.9-0.1*0.1)*C18</f>
        <v>0</v>
      </c>
      <c r="V86">
        <f t="shared" si="11"/>
        <v>0</v>
      </c>
    </row>
    <row r="87" spans="2:25" x14ac:dyDescent="0.25">
      <c r="B87" s="22"/>
      <c r="C87" s="20"/>
      <c r="D87" s="21"/>
      <c r="E87" t="s">
        <v>36</v>
      </c>
      <c r="F87">
        <f t="shared" si="8"/>
        <v>0</v>
      </c>
      <c r="G87">
        <f t="shared" si="8"/>
        <v>0</v>
      </c>
      <c r="H87">
        <f>M12+I12+E12</f>
        <v>0</v>
      </c>
      <c r="I87">
        <f t="shared" si="9"/>
        <v>0</v>
      </c>
      <c r="J87">
        <f t="shared" si="9"/>
        <v>0</v>
      </c>
      <c r="K87">
        <f>M19+I19+E19</f>
        <v>0</v>
      </c>
      <c r="O87" s="20"/>
      <c r="P87" s="21"/>
      <c r="Q87" t="s">
        <v>36</v>
      </c>
      <c r="R87">
        <f t="shared" si="10"/>
        <v>0</v>
      </c>
      <c r="S87">
        <f t="shared" si="10"/>
        <v>0</v>
      </c>
      <c r="U87">
        <f t="shared" si="11"/>
        <v>0</v>
      </c>
      <c r="V87">
        <f t="shared" si="11"/>
        <v>0</v>
      </c>
    </row>
    <row r="88" spans="2:25" x14ac:dyDescent="0.25">
      <c r="B88" s="22"/>
      <c r="C88" s="20"/>
      <c r="D88" s="21"/>
      <c r="E88" t="s">
        <v>37</v>
      </c>
      <c r="F88">
        <f t="shared" si="8"/>
        <v>7.6604350000000006E-4</v>
      </c>
      <c r="G88">
        <f t="shared" si="8"/>
        <v>7.6604350000000006E-4</v>
      </c>
      <c r="H88">
        <f>M13+I13+E13</f>
        <v>3.0097659999999999</v>
      </c>
      <c r="I88">
        <f t="shared" si="9"/>
        <v>7.650650000000001E-4</v>
      </c>
      <c r="J88">
        <f t="shared" si="9"/>
        <v>7.650650000000001E-4</v>
      </c>
      <c r="K88">
        <f>M20+I20+E20</f>
        <v>3.1306500000000002</v>
      </c>
      <c r="L88">
        <f>(0.05*(1-0.05)+0.05*(1-0.05))*F25+0.05*0.05*J25+(1-0.05*(1-0.05)-0.05*(1-0.05)-0.05*0.05)*B25</f>
        <v>7.6408175000000004E-4</v>
      </c>
      <c r="M88">
        <f>M25+I25+E25</f>
        <v>5.8593069999999994</v>
      </c>
      <c r="O88" s="20"/>
      <c r="P88" s="21"/>
      <c r="Q88" t="s">
        <v>37</v>
      </c>
      <c r="R88">
        <f t="shared" si="10"/>
        <v>7.7847400000000003E-4</v>
      </c>
      <c r="S88">
        <f t="shared" si="10"/>
        <v>7.7847400000000003E-4</v>
      </c>
      <c r="U88">
        <f t="shared" si="11"/>
        <v>7.7662E-4</v>
      </c>
      <c r="V88">
        <f t="shared" si="11"/>
        <v>7.7662E-4</v>
      </c>
      <c r="X88">
        <f>(0.1*0.9+0.1*0.9)*F25+0.1*0.1*J25+(1-0.1*0.9-0.1*0.9-0.1*0.1)*B25</f>
        <v>7.7556700000000001E-4</v>
      </c>
    </row>
    <row r="89" spans="2:25" x14ac:dyDescent="0.25">
      <c r="B89" s="22"/>
      <c r="C89" s="4"/>
    </row>
    <row r="90" spans="2:25" x14ac:dyDescent="0.25">
      <c r="B90" s="22"/>
      <c r="C90" s="4"/>
    </row>
    <row r="91" spans="2:25" x14ac:dyDescent="0.25">
      <c r="B91" s="22"/>
      <c r="C91" s="4"/>
    </row>
    <row r="92" spans="2:25" x14ac:dyDescent="0.25">
      <c r="B92" s="22"/>
      <c r="C92" s="20" t="s">
        <v>42</v>
      </c>
      <c r="D92" s="21" t="s">
        <v>38</v>
      </c>
      <c r="E92" t="s">
        <v>34</v>
      </c>
      <c r="F92">
        <f t="shared" ref="F92:G94" si="12">(0.2*0.8+0.2*0.8)*G11+0.2*0.2*K11+(1-0.2*0.8-0.2*0.8-0.2*0.2)*C11</f>
        <v>0</v>
      </c>
      <c r="G92">
        <f t="shared" si="12"/>
        <v>0</v>
      </c>
      <c r="I92">
        <f t="shared" ref="I92:J94" si="13">(0.2*0.8+0.2*0.8)*G18+0.2*0.2*K18+(1-0.2*0.8-0.2*0.8-0.2*0.2)*C18</f>
        <v>0</v>
      </c>
      <c r="J92">
        <f t="shared" si="13"/>
        <v>0</v>
      </c>
      <c r="O92" s="20" t="s">
        <v>43</v>
      </c>
      <c r="P92" s="21" t="s">
        <v>39</v>
      </c>
      <c r="Q92" t="s">
        <v>34</v>
      </c>
      <c r="R92">
        <f t="shared" ref="R92:S94" si="14">(0.3*0.7+0.3*0.7)*G11+0.3*0.3*K11+(1-0.3*0.7-0.3*0.7-0.3*0.3)*C11</f>
        <v>0</v>
      </c>
      <c r="S92">
        <f t="shared" si="14"/>
        <v>0</v>
      </c>
      <c r="U92">
        <f t="shared" ref="U92:V94" si="15">(0.3*0.7+0.3*0.7)*G18+0.3*0.3*K18+(1-0.3*0.7-0.3*0.7-0.3*0.3)*C18</f>
        <v>0</v>
      </c>
      <c r="V92">
        <f t="shared" si="15"/>
        <v>0</v>
      </c>
    </row>
    <row r="93" spans="2:25" x14ac:dyDescent="0.25">
      <c r="B93" s="22"/>
      <c r="C93" s="20"/>
      <c r="D93" s="21"/>
      <c r="E93" t="s">
        <v>36</v>
      </c>
      <c r="F93">
        <f t="shared" si="12"/>
        <v>0</v>
      </c>
      <c r="G93">
        <f t="shared" si="12"/>
        <v>0</v>
      </c>
      <c r="I93">
        <f t="shared" si="13"/>
        <v>0</v>
      </c>
      <c r="J93">
        <f t="shared" si="13"/>
        <v>0</v>
      </c>
      <c r="O93" s="20"/>
      <c r="P93" s="21"/>
      <c r="Q93" t="s">
        <v>36</v>
      </c>
      <c r="R93">
        <f t="shared" si="14"/>
        <v>0</v>
      </c>
      <c r="S93">
        <f t="shared" si="14"/>
        <v>0</v>
      </c>
      <c r="U93">
        <f t="shared" si="15"/>
        <v>0</v>
      </c>
      <c r="V93">
        <f t="shared" si="15"/>
        <v>0</v>
      </c>
    </row>
    <row r="94" spans="2:25" x14ac:dyDescent="0.25">
      <c r="B94" s="22"/>
      <c r="C94" s="20"/>
      <c r="D94" s="21"/>
      <c r="E94" t="s">
        <v>37</v>
      </c>
      <c r="F94">
        <f t="shared" si="12"/>
        <v>8.03296E-4</v>
      </c>
      <c r="G94">
        <f t="shared" si="12"/>
        <v>8.03296E-4</v>
      </c>
      <c r="I94">
        <f t="shared" si="13"/>
        <v>7.9999999999999993E-4</v>
      </c>
      <c r="J94">
        <f t="shared" si="13"/>
        <v>7.9999999999999993E-4</v>
      </c>
      <c r="L94">
        <f>(0.2*0.8+0.2*0.8)*F25+0.2*0.2*J25+(1-0.2*0.8-0.2*0.8-0.2*0.2)*B25</f>
        <v>7.9884800000000001E-4</v>
      </c>
      <c r="O94" s="20"/>
      <c r="P94" s="21"/>
      <c r="Q94" t="s">
        <v>37</v>
      </c>
      <c r="R94">
        <f t="shared" si="14"/>
        <v>8.2806600000000013E-4</v>
      </c>
      <c r="S94">
        <f t="shared" si="14"/>
        <v>8.2806600000000013E-4</v>
      </c>
      <c r="U94">
        <f t="shared" si="15"/>
        <v>8.2374000000000011E-4</v>
      </c>
      <c r="V94">
        <f t="shared" si="15"/>
        <v>8.2374000000000011E-4</v>
      </c>
      <c r="X94">
        <f>(0.3*0.7+0.3*0.7)*F25+0.3*0.3*J25+(1-0.3*0.7-0.3*0.7-0.3*0.3)*B25</f>
        <v>8.2254300000000012E-4</v>
      </c>
    </row>
    <row r="97" spans="1:25" x14ac:dyDescent="0.25">
      <c r="D97" s="17" t="s">
        <v>12</v>
      </c>
      <c r="E97" s="17"/>
      <c r="F97" s="17"/>
      <c r="G97" s="17"/>
      <c r="H97" s="17"/>
      <c r="I97" s="18" t="s">
        <v>23</v>
      </c>
      <c r="J97" s="18"/>
      <c r="K97" s="18"/>
      <c r="L97" s="19" t="s">
        <v>24</v>
      </c>
      <c r="M97" s="19"/>
      <c r="N97" s="4"/>
      <c r="P97" s="17" t="s">
        <v>12</v>
      </c>
      <c r="Q97" s="17"/>
      <c r="R97" s="17"/>
      <c r="S97" s="17"/>
      <c r="T97" s="17"/>
      <c r="U97" s="18" t="s">
        <v>23</v>
      </c>
      <c r="V97" s="18"/>
      <c r="W97" s="18"/>
      <c r="X97" s="19" t="s">
        <v>24</v>
      </c>
      <c r="Y97" s="19"/>
    </row>
    <row r="98" spans="1:25" x14ac:dyDescent="0.25">
      <c r="B98" s="4"/>
      <c r="F98" t="s">
        <v>17</v>
      </c>
      <c r="G98" t="s">
        <v>18</v>
      </c>
      <c r="H98" t="s">
        <v>31</v>
      </c>
      <c r="I98" t="s">
        <v>17</v>
      </c>
      <c r="J98" t="s">
        <v>18</v>
      </c>
      <c r="K98" t="s">
        <v>31</v>
      </c>
      <c r="L98" t="s">
        <v>25</v>
      </c>
      <c r="M98" t="s">
        <v>32</v>
      </c>
      <c r="R98" t="s">
        <v>17</v>
      </c>
      <c r="S98" t="s">
        <v>18</v>
      </c>
      <c r="T98" t="s">
        <v>31</v>
      </c>
      <c r="U98" t="s">
        <v>17</v>
      </c>
      <c r="V98" t="s">
        <v>18</v>
      </c>
      <c r="W98" t="s">
        <v>31</v>
      </c>
      <c r="X98" t="s">
        <v>25</v>
      </c>
      <c r="Y98" t="s">
        <v>32</v>
      </c>
    </row>
    <row r="99" spans="1:25" x14ac:dyDescent="0.25">
      <c r="A99" s="22" t="s">
        <v>11</v>
      </c>
      <c r="B99" s="24" t="s">
        <v>44</v>
      </c>
      <c r="C99" s="20" t="s">
        <v>40</v>
      </c>
      <c r="D99" s="21" t="s">
        <v>33</v>
      </c>
      <c r="E99" t="s">
        <v>34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0</v>
      </c>
      <c r="H99">
        <f>Q11+M11+I11+E11</f>
        <v>0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0</v>
      </c>
      <c r="K99">
        <f>Q18+M18+E18+I18</f>
        <v>0</v>
      </c>
      <c r="N99" s="24" t="s">
        <v>45</v>
      </c>
      <c r="O99" s="20" t="s">
        <v>41</v>
      </c>
      <c r="P99" s="21" t="s">
        <v>35</v>
      </c>
      <c r="Q99" t="s">
        <v>34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0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0</v>
      </c>
    </row>
    <row r="100" spans="1:25" x14ac:dyDescent="0.25">
      <c r="A100" s="22"/>
      <c r="B100" s="24"/>
      <c r="C100" s="20"/>
      <c r="D100" s="21"/>
      <c r="E100" t="s">
        <v>36</v>
      </c>
      <c r="F100">
        <f t="shared" si="16"/>
        <v>0</v>
      </c>
      <c r="G100">
        <f t="shared" si="16"/>
        <v>0</v>
      </c>
      <c r="H100">
        <f>Q12+M12+I12+E12</f>
        <v>0</v>
      </c>
      <c r="I100">
        <f t="shared" si="17"/>
        <v>0</v>
      </c>
      <c r="J100">
        <f t="shared" si="17"/>
        <v>0</v>
      </c>
      <c r="K100">
        <f>Q19+M19+E19+I19</f>
        <v>0</v>
      </c>
      <c r="N100" s="24"/>
      <c r="O100" s="20"/>
      <c r="P100" s="21"/>
      <c r="Q100" t="s">
        <v>36</v>
      </c>
      <c r="R100">
        <f t="shared" si="18"/>
        <v>0</v>
      </c>
      <c r="S100">
        <f t="shared" si="18"/>
        <v>0</v>
      </c>
      <c r="U100">
        <f t="shared" si="19"/>
        <v>0</v>
      </c>
      <c r="V100">
        <f t="shared" si="19"/>
        <v>0</v>
      </c>
    </row>
    <row r="101" spans="1:25" x14ac:dyDescent="0.25">
      <c r="A101" s="22"/>
      <c r="B101" s="24"/>
      <c r="C101" s="20"/>
      <c r="D101" s="21"/>
      <c r="E101" t="s">
        <v>37</v>
      </c>
      <c r="F101">
        <f t="shared" si="16"/>
        <v>7.7225308749999996E-4</v>
      </c>
      <c r="G101">
        <f t="shared" si="16"/>
        <v>7.7225308749999996E-4</v>
      </c>
      <c r="H101">
        <f>Q13+M13+I13+E13</f>
        <v>3.9817479999999996</v>
      </c>
      <c r="I101">
        <f t="shared" si="17"/>
        <v>7.7085872499999995E-4</v>
      </c>
      <c r="J101">
        <f t="shared" si="17"/>
        <v>7.7085872499999995E-4</v>
      </c>
      <c r="K101">
        <f>Q20+M20+E20+I20</f>
        <v>4.2678430000000001</v>
      </c>
      <c r="L101">
        <f>3*0.05*(1-0.05)*(1-0.05)*F25+3*0.05*0.05*(1-0.05)*J25+0.05*0.05*0.05*N25+(1-3*0.05*(1-0.05)*(1-0.05)-3*0.05*0.05*(1-0.05)-0.05*0.05*0.05)*B25</f>
        <v>7.6984341249999996E-4</v>
      </c>
      <c r="M101">
        <f>Q25+M25+I25+E25</f>
        <v>7.9327509999999997</v>
      </c>
      <c r="N101" s="24"/>
      <c r="O101" s="20"/>
      <c r="P101" s="21"/>
      <c r="Q101" t="s">
        <v>37</v>
      </c>
      <c r="R101">
        <f t="shared" si="18"/>
        <v>7.908526999999999E-4</v>
      </c>
      <c r="S101">
        <f t="shared" si="18"/>
        <v>7.908526999999999E-4</v>
      </c>
      <c r="U101">
        <f t="shared" si="19"/>
        <v>7.8834979999999988E-4</v>
      </c>
      <c r="V101">
        <f t="shared" si="19"/>
        <v>7.8834979999999988E-4</v>
      </c>
      <c r="X101">
        <f>3*0.1*(1-0.1)*(1-0.1)*F25+3*0.1*0.1*(1-0.1)*J25+0.1*0.1*0.1*N25+(1-3*0.1*(1-0.1)*(1-0.1)-3*0.1*0.1*(1-0.1)-0.1*0.1*0.1)*B25</f>
        <v>7.8725629999999995E-4</v>
      </c>
    </row>
    <row r="102" spans="1:25" x14ac:dyDescent="0.25">
      <c r="A102" s="22"/>
      <c r="C102" s="4"/>
    </row>
    <row r="103" spans="1:25" x14ac:dyDescent="0.25">
      <c r="A103" s="22"/>
      <c r="C103" s="4"/>
    </row>
    <row r="104" spans="1:25" x14ac:dyDescent="0.25">
      <c r="A104" s="22"/>
      <c r="C104" s="4"/>
    </row>
    <row r="105" spans="1:25" x14ac:dyDescent="0.25">
      <c r="A105" s="22"/>
      <c r="B105" s="24" t="s">
        <v>46</v>
      </c>
      <c r="C105" s="20" t="s">
        <v>42</v>
      </c>
      <c r="D105" s="21" t="s">
        <v>38</v>
      </c>
      <c r="E105" t="s">
        <v>34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0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0</v>
      </c>
      <c r="N105" s="24" t="s">
        <v>47</v>
      </c>
      <c r="O105" s="20" t="s">
        <v>43</v>
      </c>
      <c r="P105" s="21" t="s">
        <v>39</v>
      </c>
      <c r="Q105" t="s">
        <v>34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0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0</v>
      </c>
    </row>
    <row r="106" spans="1:25" x14ac:dyDescent="0.25">
      <c r="A106" s="22"/>
      <c r="B106" s="24"/>
      <c r="C106" s="20"/>
      <c r="D106" s="21"/>
      <c r="E106" t="s">
        <v>36</v>
      </c>
      <c r="F106">
        <f t="shared" si="20"/>
        <v>0</v>
      </c>
      <c r="G106">
        <f t="shared" si="20"/>
        <v>0</v>
      </c>
      <c r="I106">
        <f t="shared" si="21"/>
        <v>0</v>
      </c>
      <c r="J106">
        <f t="shared" si="21"/>
        <v>0</v>
      </c>
      <c r="N106" s="24"/>
      <c r="O106" s="20"/>
      <c r="P106" s="21"/>
      <c r="Q106" t="s">
        <v>36</v>
      </c>
      <c r="R106">
        <f t="shared" si="22"/>
        <v>0</v>
      </c>
      <c r="S106">
        <f t="shared" si="22"/>
        <v>0</v>
      </c>
      <c r="U106">
        <f t="shared" si="23"/>
        <v>0</v>
      </c>
      <c r="V106">
        <f t="shared" si="23"/>
        <v>0</v>
      </c>
    </row>
    <row r="107" spans="1:25" x14ac:dyDescent="0.25">
      <c r="A107" s="22"/>
      <c r="B107" s="24"/>
      <c r="C107" s="20"/>
      <c r="D107" s="21"/>
      <c r="E107" t="s">
        <v>37</v>
      </c>
      <c r="F107">
        <f t="shared" si="20"/>
        <v>8.2783359999999992E-4</v>
      </c>
      <c r="G107">
        <f t="shared" si="20"/>
        <v>8.2783359999999992E-4</v>
      </c>
      <c r="I107">
        <f t="shared" si="21"/>
        <v>8.2387839999999992E-4</v>
      </c>
      <c r="J107">
        <f t="shared" si="21"/>
        <v>8.2387839999999992E-4</v>
      </c>
      <c r="L107">
        <f>3*0.2*(1-0.2)*(1-0.2)*F25+3*0.2*0.2*(1-0.2)*J25+0.2*0.2*0.2*N25+(1-3*0.2*(1-0.2)*(1-0.2)-3*0.2*0.2*(1-0.2)-0.2*0.2*0.2)*B25</f>
        <v>8.2272639999999989E-4</v>
      </c>
      <c r="N107" s="24"/>
      <c r="O107" s="20"/>
      <c r="P107" s="21"/>
      <c r="Q107" t="s">
        <v>37</v>
      </c>
      <c r="R107">
        <f t="shared" si="22"/>
        <v>8.6442690000000004E-4</v>
      </c>
      <c r="S107">
        <f t="shared" si="22"/>
        <v>8.6442690000000004E-4</v>
      </c>
      <c r="U107">
        <f t="shared" si="23"/>
        <v>8.5988459999999998E-4</v>
      </c>
      <c r="V107">
        <f t="shared" si="23"/>
        <v>8.5988459999999998E-4</v>
      </c>
      <c r="X107">
        <f>3*0.3*(1-0.3)*(1-0.3)*F25+3*0.3*0.3*(1-0.3)*J25+0.3*0.3*0.3*N25+(1-3*0.3*(1-0.3)*(1-0.3)-3*0.3*0.3*(1-0.3)-0.3*0.3*0.3)*B25</f>
        <v>8.5878210000000003E-4</v>
      </c>
    </row>
    <row r="110" spans="1:25" x14ac:dyDescent="0.25">
      <c r="A110" s="1" t="s">
        <v>7</v>
      </c>
      <c r="D110" s="17" t="s">
        <v>12</v>
      </c>
      <c r="E110" s="17"/>
      <c r="F110" s="17"/>
      <c r="G110" s="17"/>
      <c r="H110" s="17"/>
      <c r="I110" s="18" t="s">
        <v>23</v>
      </c>
      <c r="J110" s="18"/>
      <c r="K110" s="18"/>
      <c r="L110" s="19" t="s">
        <v>24</v>
      </c>
      <c r="M110" s="19"/>
      <c r="N110" s="7"/>
      <c r="P110" s="17" t="s">
        <v>12</v>
      </c>
      <c r="Q110" s="17"/>
      <c r="R110" s="17"/>
      <c r="S110" s="17"/>
      <c r="T110" s="17"/>
      <c r="U110" s="18" t="s">
        <v>23</v>
      </c>
      <c r="V110" s="18"/>
      <c r="W110" s="18"/>
      <c r="X110" s="19" t="s">
        <v>24</v>
      </c>
      <c r="Y110" s="19"/>
    </row>
    <row r="111" spans="1:25" x14ac:dyDescent="0.25">
      <c r="F111" t="s">
        <v>17</v>
      </c>
      <c r="G111" t="s">
        <v>18</v>
      </c>
      <c r="H111" t="s">
        <v>31</v>
      </c>
      <c r="I111" t="s">
        <v>17</v>
      </c>
      <c r="J111" t="s">
        <v>18</v>
      </c>
      <c r="K111" t="s">
        <v>31</v>
      </c>
      <c r="L111" t="s">
        <v>25</v>
      </c>
      <c r="M111" t="s">
        <v>32</v>
      </c>
      <c r="R111" t="s">
        <v>17</v>
      </c>
      <c r="S111" t="s">
        <v>18</v>
      </c>
      <c r="T111" t="s">
        <v>31</v>
      </c>
      <c r="U111" t="s">
        <v>17</v>
      </c>
      <c r="V111" t="s">
        <v>18</v>
      </c>
      <c r="W111" t="s">
        <v>31</v>
      </c>
      <c r="X111" t="s">
        <v>25</v>
      </c>
      <c r="Y111" t="s">
        <v>32</v>
      </c>
    </row>
    <row r="112" spans="1:25" x14ac:dyDescent="0.25">
      <c r="C112" s="22" t="s">
        <v>9</v>
      </c>
      <c r="D112" s="21" t="s">
        <v>33</v>
      </c>
      <c r="E112" t="s">
        <v>34</v>
      </c>
      <c r="F112">
        <f t="shared" ref="F112:G114" si="24">0.05*Y11+(1-0.05)*U11</f>
        <v>0</v>
      </c>
      <c r="G112">
        <f t="shared" si="24"/>
        <v>0</v>
      </c>
      <c r="H112">
        <f>AA11+W11</f>
        <v>0</v>
      </c>
      <c r="I112">
        <f t="shared" ref="I112:J114" si="25">0.05*Y18+(1-0.05)*U18</f>
        <v>0</v>
      </c>
      <c r="J112">
        <f t="shared" si="25"/>
        <v>0</v>
      </c>
      <c r="K112">
        <f>AA18+W18</f>
        <v>0</v>
      </c>
      <c r="P112" s="21" t="s">
        <v>35</v>
      </c>
      <c r="Q112" t="s">
        <v>34</v>
      </c>
      <c r="R112">
        <f t="shared" ref="R112:S114" si="26">0.1*Y11+(1-0.1)*U11</f>
        <v>0</v>
      </c>
      <c r="S112">
        <f t="shared" si="26"/>
        <v>0</v>
      </c>
      <c r="U112">
        <f t="shared" ref="U112:V114" si="27">0.1*Y18+(1-0.1)*U18</f>
        <v>0</v>
      </c>
      <c r="V112">
        <f t="shared" si="27"/>
        <v>0</v>
      </c>
    </row>
    <row r="113" spans="2:25" x14ac:dyDescent="0.25">
      <c r="C113" s="22"/>
      <c r="D113" s="21"/>
      <c r="E113" t="s">
        <v>36</v>
      </c>
      <c r="F113">
        <f t="shared" si="24"/>
        <v>0</v>
      </c>
      <c r="G113">
        <f t="shared" si="24"/>
        <v>0</v>
      </c>
      <c r="H113">
        <f>AA12+W12</f>
        <v>0</v>
      </c>
      <c r="I113">
        <f t="shared" si="25"/>
        <v>0</v>
      </c>
      <c r="J113">
        <f t="shared" si="25"/>
        <v>0</v>
      </c>
      <c r="K113">
        <f>AA19+W19</f>
        <v>0</v>
      </c>
      <c r="P113" s="21"/>
      <c r="Q113" t="s">
        <v>36</v>
      </c>
      <c r="R113">
        <f t="shared" si="26"/>
        <v>0</v>
      </c>
      <c r="S113">
        <f t="shared" si="26"/>
        <v>0</v>
      </c>
      <c r="U113">
        <f t="shared" si="27"/>
        <v>0</v>
      </c>
      <c r="V113">
        <f t="shared" si="27"/>
        <v>0</v>
      </c>
    </row>
    <row r="114" spans="2:25" x14ac:dyDescent="0.25">
      <c r="C114" s="22"/>
      <c r="D114" s="21"/>
      <c r="E114" t="s">
        <v>37</v>
      </c>
      <c r="F114">
        <f t="shared" si="24"/>
        <v>7.5133000000000003E-4</v>
      </c>
      <c r="G114">
        <f t="shared" si="24"/>
        <v>7.5153500000000001E-4</v>
      </c>
      <c r="H114">
        <f>AA13+W13</f>
        <v>2.3838650000000001</v>
      </c>
      <c r="I114">
        <f t="shared" si="25"/>
        <v>7.5133000000000003E-4</v>
      </c>
      <c r="J114">
        <f t="shared" si="25"/>
        <v>7.6084000000000004E-4</v>
      </c>
      <c r="K114">
        <f>AA20+W20</f>
        <v>2.0775830000000002</v>
      </c>
      <c r="L114">
        <f>0.05*X25+(1-0.05)*T25</f>
        <v>7.5869499999999999E-4</v>
      </c>
      <c r="M114">
        <f>AA25+W25</f>
        <v>3.8672110000000002</v>
      </c>
      <c r="P114" s="21"/>
      <c r="Q114" t="s">
        <v>37</v>
      </c>
      <c r="R114">
        <f t="shared" si="26"/>
        <v>7.5745999999999995E-4</v>
      </c>
      <c r="S114">
        <f t="shared" si="26"/>
        <v>7.5767E-4</v>
      </c>
      <c r="U114">
        <f t="shared" si="27"/>
        <v>7.5745999999999995E-4</v>
      </c>
      <c r="V114">
        <f t="shared" si="27"/>
        <v>7.6708000000000006E-4</v>
      </c>
      <c r="X114">
        <f>0.1*X25+(1-0.1)*T25</f>
        <v>7.6469000000000005E-4</v>
      </c>
    </row>
    <row r="115" spans="2:25" x14ac:dyDescent="0.25">
      <c r="C115" s="22"/>
    </row>
    <row r="116" spans="2:25" x14ac:dyDescent="0.25">
      <c r="C116" s="22"/>
    </row>
    <row r="117" spans="2:25" x14ac:dyDescent="0.25">
      <c r="C117" s="22"/>
    </row>
    <row r="118" spans="2:25" x14ac:dyDescent="0.25">
      <c r="C118" s="22"/>
      <c r="D118" s="21" t="s">
        <v>38</v>
      </c>
      <c r="E118" t="s">
        <v>34</v>
      </c>
      <c r="F118">
        <f t="shared" ref="F118:G120" si="28">0.2*Y11+(1-0.2)*U11</f>
        <v>0</v>
      </c>
      <c r="G118">
        <f t="shared" si="28"/>
        <v>0</v>
      </c>
      <c r="I118">
        <f t="shared" ref="I118:J120" si="29">0.2*Y18+(1-0.2)*U18</f>
        <v>0</v>
      </c>
      <c r="J118">
        <f t="shared" si="29"/>
        <v>0</v>
      </c>
      <c r="P118" s="21" t="s">
        <v>39</v>
      </c>
      <c r="Q118" t="s">
        <v>34</v>
      </c>
      <c r="R118">
        <f t="shared" ref="R118:S120" si="30">0.3*Y11+(1-0.3)*U11</f>
        <v>0</v>
      </c>
      <c r="S118">
        <f t="shared" si="30"/>
        <v>0</v>
      </c>
      <c r="U118">
        <f t="shared" ref="U118:V120" si="31">0.3*Y18+(1-0.3)*U18</f>
        <v>0</v>
      </c>
      <c r="V118">
        <f t="shared" si="31"/>
        <v>0</v>
      </c>
    </row>
    <row r="119" spans="2:25" x14ac:dyDescent="0.25">
      <c r="C119" s="22"/>
      <c r="D119" s="21"/>
      <c r="E119" t="s">
        <v>36</v>
      </c>
      <c r="F119">
        <f t="shared" si="28"/>
        <v>0</v>
      </c>
      <c r="G119">
        <f t="shared" si="28"/>
        <v>0</v>
      </c>
      <c r="I119">
        <f t="shared" si="29"/>
        <v>0</v>
      </c>
      <c r="J119">
        <f t="shared" si="29"/>
        <v>0</v>
      </c>
      <c r="P119" s="21"/>
      <c r="Q119" t="s">
        <v>36</v>
      </c>
      <c r="R119">
        <f t="shared" si="30"/>
        <v>0</v>
      </c>
      <c r="S119">
        <f t="shared" si="30"/>
        <v>0</v>
      </c>
      <c r="U119">
        <f t="shared" si="31"/>
        <v>0</v>
      </c>
      <c r="V119">
        <f t="shared" si="31"/>
        <v>0</v>
      </c>
    </row>
    <row r="120" spans="2:25" x14ac:dyDescent="0.25">
      <c r="C120" s="22"/>
      <c r="D120" s="21"/>
      <c r="E120" t="s">
        <v>37</v>
      </c>
      <c r="F120">
        <f t="shared" si="28"/>
        <v>7.697200000000001E-4</v>
      </c>
      <c r="G120">
        <f t="shared" si="28"/>
        <v>7.6993999999999999E-4</v>
      </c>
      <c r="I120">
        <f t="shared" si="29"/>
        <v>7.697200000000001E-4</v>
      </c>
      <c r="J120">
        <f t="shared" si="29"/>
        <v>7.7956000000000011E-4</v>
      </c>
      <c r="L120">
        <f>0.2*X25+(1-0.2)*T25</f>
        <v>7.7668000000000008E-4</v>
      </c>
      <c r="P120" s="21"/>
      <c r="Q120" t="s">
        <v>37</v>
      </c>
      <c r="R120">
        <f t="shared" si="30"/>
        <v>7.8197999999999994E-4</v>
      </c>
      <c r="S120">
        <f t="shared" si="30"/>
        <v>7.8220999999999998E-4</v>
      </c>
      <c r="U120">
        <f t="shared" si="31"/>
        <v>7.8197999999999994E-4</v>
      </c>
      <c r="V120">
        <f t="shared" si="31"/>
        <v>7.9203999999999993E-4</v>
      </c>
      <c r="X120">
        <f>0.3*X25+(1-0.3)*T25</f>
        <v>7.8867E-4</v>
      </c>
    </row>
    <row r="123" spans="2:25" x14ac:dyDescent="0.25">
      <c r="D123" s="17" t="s">
        <v>12</v>
      </c>
      <c r="E123" s="17"/>
      <c r="F123" s="17"/>
      <c r="G123" s="17"/>
      <c r="H123" s="17"/>
      <c r="I123" s="18" t="s">
        <v>23</v>
      </c>
      <c r="J123" s="18"/>
      <c r="K123" s="18"/>
      <c r="L123" s="19" t="s">
        <v>24</v>
      </c>
      <c r="M123" s="19"/>
      <c r="N123" s="4"/>
      <c r="P123" s="17" t="s">
        <v>12</v>
      </c>
      <c r="Q123" s="17"/>
      <c r="R123" s="17"/>
      <c r="S123" s="17"/>
      <c r="T123" s="17"/>
      <c r="U123" s="18" t="s">
        <v>23</v>
      </c>
      <c r="V123" s="18"/>
      <c r="W123" s="18"/>
      <c r="X123" s="19" t="s">
        <v>24</v>
      </c>
      <c r="Y123" s="19"/>
    </row>
    <row r="124" spans="2:25" x14ac:dyDescent="0.25">
      <c r="F124" t="s">
        <v>17</v>
      </c>
      <c r="G124" t="s">
        <v>18</v>
      </c>
      <c r="H124" t="s">
        <v>31</v>
      </c>
      <c r="I124" t="s">
        <v>17</v>
      </c>
      <c r="J124" t="s">
        <v>18</v>
      </c>
      <c r="K124" t="s">
        <v>31</v>
      </c>
      <c r="L124" t="s">
        <v>25</v>
      </c>
      <c r="M124" t="s">
        <v>32</v>
      </c>
      <c r="R124" t="s">
        <v>17</v>
      </c>
      <c r="S124" t="s">
        <v>18</v>
      </c>
      <c r="T124" t="s">
        <v>31</v>
      </c>
      <c r="U124" t="s">
        <v>17</v>
      </c>
      <c r="V124" t="s">
        <v>18</v>
      </c>
      <c r="W124" t="s">
        <v>31</v>
      </c>
      <c r="X124" t="s">
        <v>25</v>
      </c>
      <c r="Y124" t="s">
        <v>32</v>
      </c>
    </row>
    <row r="125" spans="2:25" x14ac:dyDescent="0.25">
      <c r="B125" s="22" t="s">
        <v>10</v>
      </c>
      <c r="C125" s="20" t="s">
        <v>40</v>
      </c>
      <c r="D125" s="21" t="s">
        <v>33</v>
      </c>
      <c r="E125" t="s">
        <v>34</v>
      </c>
      <c r="F125">
        <f t="shared" ref="F125:G127" si="32">(0.05*(1-0.05)+0.05*(1-0.05))*Y11+0.05*0.05*AC11+(1-0.05*(1-0.05)-0.05*(1-0.05)-0.05*0.05)*U11</f>
        <v>0</v>
      </c>
      <c r="G125">
        <f t="shared" si="32"/>
        <v>0</v>
      </c>
      <c r="H125">
        <f>AE11+AA11+W11</f>
        <v>0</v>
      </c>
      <c r="I125">
        <f t="shared" ref="I125:J127" si="33">(0.05*(1-0.05)+0.05*(1-0.05))*Y18+0.05*0.05*AC18+(1-0.05*(1-0.05)-0.05*(1-0.05)-0.05*0.05)*U18</f>
        <v>0</v>
      </c>
      <c r="J125">
        <f t="shared" si="33"/>
        <v>0</v>
      </c>
      <c r="K125">
        <f>AE18+AA18+W18</f>
        <v>0</v>
      </c>
      <c r="O125" s="20" t="s">
        <v>41</v>
      </c>
      <c r="P125" s="21" t="s">
        <v>35</v>
      </c>
      <c r="Q125" t="s">
        <v>34</v>
      </c>
      <c r="R125">
        <f t="shared" ref="R125:S127" si="34">(0.1*0.9+0.1*0.9)*Y11+0.1*0.1*AC11+(1-0.1*0.9-0.1*0.9-0.1*0.1)*U11</f>
        <v>0</v>
      </c>
      <c r="S125">
        <f t="shared" si="34"/>
        <v>0</v>
      </c>
      <c r="U125">
        <f t="shared" ref="U125:V127" si="35">(0.1*0.9+0.1*0.9)*Y18+0.1*0.1*AC18+(1-0.1*0.9-0.1*0.9-0.1*0.1)*U18</f>
        <v>0</v>
      </c>
      <c r="V125">
        <f t="shared" si="35"/>
        <v>0</v>
      </c>
    </row>
    <row r="126" spans="2:25" x14ac:dyDescent="0.25">
      <c r="B126" s="22"/>
      <c r="C126" s="20"/>
      <c r="D126" s="21"/>
      <c r="E126" t="s">
        <v>36</v>
      </c>
      <c r="F126">
        <f t="shared" si="32"/>
        <v>0</v>
      </c>
      <c r="G126">
        <f t="shared" si="32"/>
        <v>0</v>
      </c>
      <c r="H126">
        <f>AE12+AA12+W12</f>
        <v>0</v>
      </c>
      <c r="I126">
        <f t="shared" si="33"/>
        <v>0</v>
      </c>
      <c r="J126">
        <f t="shared" si="33"/>
        <v>0</v>
      </c>
      <c r="K126">
        <f>AE19+AA19+W19</f>
        <v>0</v>
      </c>
      <c r="O126" s="20"/>
      <c r="P126" s="21"/>
      <c r="Q126" t="s">
        <v>36</v>
      </c>
      <c r="R126">
        <f t="shared" si="34"/>
        <v>0</v>
      </c>
      <c r="S126">
        <f t="shared" si="34"/>
        <v>0</v>
      </c>
      <c r="U126">
        <f t="shared" si="35"/>
        <v>0</v>
      </c>
      <c r="V126">
        <f t="shared" si="35"/>
        <v>0</v>
      </c>
    </row>
    <row r="127" spans="2:25" x14ac:dyDescent="0.25">
      <c r="B127" s="22"/>
      <c r="C127" s="20"/>
      <c r="D127" s="21"/>
      <c r="E127" t="s">
        <v>37</v>
      </c>
      <c r="F127">
        <f t="shared" si="32"/>
        <v>7.5745925000000002E-4</v>
      </c>
      <c r="G127">
        <f t="shared" si="32"/>
        <v>7.5766925000000007E-4</v>
      </c>
      <c r="H127">
        <f>AE13+AA13+W13</f>
        <v>3.4139460000000001</v>
      </c>
      <c r="I127">
        <f t="shared" si="33"/>
        <v>7.5748400000000011E-4</v>
      </c>
      <c r="J127">
        <f t="shared" si="33"/>
        <v>7.6706950000000017E-4</v>
      </c>
      <c r="K127">
        <f>AE20+AA20+W20</f>
        <v>3.0439959999999999</v>
      </c>
      <c r="L127">
        <f>(0.05*(1-0.05)+0.05*(1-0.05))*X25+0.05*0.05*AB25+(1-0.05*(1-0.05)-0.05*(1-0.05)-0.05*0.05)*T25</f>
        <v>7.646637500000001E-4</v>
      </c>
      <c r="M127">
        <f>AE25+AA25+W25</f>
        <v>5.6834319999999998</v>
      </c>
      <c r="O127" s="20"/>
      <c r="P127" s="21"/>
      <c r="Q127" t="s">
        <v>37</v>
      </c>
      <c r="R127">
        <f t="shared" si="34"/>
        <v>7.6971700000000006E-4</v>
      </c>
      <c r="S127">
        <f t="shared" si="34"/>
        <v>7.6993700000000005E-4</v>
      </c>
      <c r="U127">
        <f t="shared" si="35"/>
        <v>7.6981599999999999E-4</v>
      </c>
      <c r="V127">
        <f t="shared" si="35"/>
        <v>7.7951800000000009E-4</v>
      </c>
      <c r="X127">
        <f>(0.1*0.9+0.1*0.9)*X25+0.1*0.1*AB25+(1-0.1*0.9-0.1*0.9-0.1*0.1)*T25</f>
        <v>7.7657500000000005E-4</v>
      </c>
    </row>
    <row r="128" spans="2:25" x14ac:dyDescent="0.25">
      <c r="B128" s="22"/>
      <c r="C128" s="4"/>
    </row>
    <row r="129" spans="1:25" x14ac:dyDescent="0.25">
      <c r="B129" s="22"/>
      <c r="C129" s="4"/>
    </row>
    <row r="130" spans="1:25" x14ac:dyDescent="0.25">
      <c r="B130" s="22"/>
      <c r="C130" s="4"/>
    </row>
    <row r="131" spans="1:25" x14ac:dyDescent="0.25">
      <c r="B131" s="22"/>
      <c r="C131" s="20" t="s">
        <v>42</v>
      </c>
      <c r="D131" s="21" t="s">
        <v>38</v>
      </c>
      <c r="E131" t="s">
        <v>34</v>
      </c>
      <c r="F131">
        <f t="shared" ref="F131:G133" si="36">(0.2*0.8+0.2*0.8)*Y11+0.2*0.2*AC11+(1-0.2*0.8-0.2*0.8-0.2*0.2)*U11</f>
        <v>0</v>
      </c>
      <c r="G131">
        <f t="shared" si="36"/>
        <v>0</v>
      </c>
      <c r="I131">
        <f t="shared" ref="I131:J133" si="37">(0.2*0.8+0.2*0.8)*Y18+0.2*0.2*AC18+(1-0.2*0.8-0.2*0.8-0.2*0.2)*U18</f>
        <v>0</v>
      </c>
      <c r="J131">
        <f t="shared" si="37"/>
        <v>0</v>
      </c>
      <c r="O131" s="20" t="s">
        <v>43</v>
      </c>
      <c r="P131" s="21" t="s">
        <v>39</v>
      </c>
      <c r="Q131" t="s">
        <v>34</v>
      </c>
      <c r="R131">
        <f t="shared" ref="R131:S133" si="38">(0.3*0.7+0.3*0.7)*Y11+0.3*0.3*AC11+(1-0.3*0.7-0.3*0.7-0.3*0.3)*U11</f>
        <v>0</v>
      </c>
      <c r="S131">
        <f t="shared" si="38"/>
        <v>0</v>
      </c>
      <c r="U131">
        <f t="shared" ref="U131:V133" si="39">(0.3*0.7+0.3*0.7)*Y18+0.3*0.3*AC18+(1-0.3*0.7-0.3*0.7-0.3*0.3)*U18</f>
        <v>0</v>
      </c>
      <c r="V131">
        <f t="shared" si="39"/>
        <v>0</v>
      </c>
    </row>
    <row r="132" spans="1:25" x14ac:dyDescent="0.25">
      <c r="B132" s="22"/>
      <c r="C132" s="20"/>
      <c r="D132" s="21"/>
      <c r="E132" t="s">
        <v>36</v>
      </c>
      <c r="F132">
        <f t="shared" si="36"/>
        <v>0</v>
      </c>
      <c r="G132">
        <f t="shared" si="36"/>
        <v>0</v>
      </c>
      <c r="I132">
        <f t="shared" si="37"/>
        <v>0</v>
      </c>
      <c r="J132">
        <f t="shared" si="37"/>
        <v>0</v>
      </c>
      <c r="O132" s="20"/>
      <c r="P132" s="21"/>
      <c r="Q132" t="s">
        <v>36</v>
      </c>
      <c r="R132">
        <f t="shared" si="38"/>
        <v>0</v>
      </c>
      <c r="S132">
        <f t="shared" si="38"/>
        <v>0</v>
      </c>
      <c r="U132">
        <f t="shared" si="39"/>
        <v>0</v>
      </c>
      <c r="V132">
        <f t="shared" si="39"/>
        <v>0</v>
      </c>
    </row>
    <row r="133" spans="1:25" x14ac:dyDescent="0.25">
      <c r="B133" s="22"/>
      <c r="C133" s="20"/>
      <c r="D133" s="21"/>
      <c r="E133" t="s">
        <v>37</v>
      </c>
      <c r="F133">
        <f t="shared" si="36"/>
        <v>7.942279999999999E-4</v>
      </c>
      <c r="G133">
        <f t="shared" si="36"/>
        <v>7.94468E-4</v>
      </c>
      <c r="I133">
        <f t="shared" si="37"/>
        <v>7.9462399999999996E-4</v>
      </c>
      <c r="J133">
        <f t="shared" si="37"/>
        <v>8.0435200000000004E-4</v>
      </c>
      <c r="L133">
        <f>(0.2*0.8+0.2*0.8)*X25+0.2*0.2*AB25+(1-0.2*0.8-0.2*0.8-0.2*0.2)*T25</f>
        <v>8.0024000000000002E-4</v>
      </c>
      <c r="O133" s="20"/>
      <c r="P133" s="21"/>
      <c r="Q133" t="s">
        <v>37</v>
      </c>
      <c r="R133">
        <f t="shared" si="38"/>
        <v>8.1873300000000009E-4</v>
      </c>
      <c r="S133">
        <f t="shared" si="38"/>
        <v>8.1899300000000006E-4</v>
      </c>
      <c r="U133">
        <f t="shared" si="39"/>
        <v>8.1962400000000013E-4</v>
      </c>
      <c r="V133">
        <f t="shared" si="39"/>
        <v>8.2910199999999996E-4</v>
      </c>
      <c r="X133">
        <f>(0.3*0.7+0.3*0.7)*X25+0.3*0.3*AB25+(1-0.3*0.7-0.3*0.7-0.3*0.3)*T25</f>
        <v>8.2369500000000005E-4</v>
      </c>
    </row>
    <row r="136" spans="1:25" x14ac:dyDescent="0.25">
      <c r="D136" s="17" t="s">
        <v>12</v>
      </c>
      <c r="E136" s="17"/>
      <c r="F136" s="17"/>
      <c r="G136" s="17"/>
      <c r="H136" s="17"/>
      <c r="I136" s="18" t="s">
        <v>23</v>
      </c>
      <c r="J136" s="18"/>
      <c r="K136" s="18"/>
      <c r="L136" s="19" t="s">
        <v>24</v>
      </c>
      <c r="M136" s="19"/>
      <c r="N136" s="4"/>
      <c r="P136" s="17" t="s">
        <v>12</v>
      </c>
      <c r="Q136" s="17"/>
      <c r="R136" s="17"/>
      <c r="S136" s="17"/>
      <c r="T136" s="17"/>
      <c r="U136" s="18" t="s">
        <v>23</v>
      </c>
      <c r="V136" s="18"/>
      <c r="W136" s="18"/>
      <c r="X136" s="19" t="s">
        <v>24</v>
      </c>
      <c r="Y136" s="19"/>
    </row>
    <row r="137" spans="1:25" x14ac:dyDescent="0.25">
      <c r="B137" s="4"/>
      <c r="F137" t="s">
        <v>17</v>
      </c>
      <c r="G137" t="s">
        <v>18</v>
      </c>
      <c r="H137" t="s">
        <v>31</v>
      </c>
      <c r="I137" t="s">
        <v>17</v>
      </c>
      <c r="J137" t="s">
        <v>18</v>
      </c>
      <c r="K137" t="s">
        <v>31</v>
      </c>
      <c r="L137" t="s">
        <v>25</v>
      </c>
      <c r="M137" t="s">
        <v>32</v>
      </c>
      <c r="R137" t="s">
        <v>17</v>
      </c>
      <c r="S137" t="s">
        <v>18</v>
      </c>
      <c r="T137" t="s">
        <v>31</v>
      </c>
      <c r="U137" t="s">
        <v>17</v>
      </c>
      <c r="V137" t="s">
        <v>18</v>
      </c>
      <c r="W137" t="s">
        <v>31</v>
      </c>
      <c r="X137" t="s">
        <v>25</v>
      </c>
      <c r="Y137" t="s">
        <v>32</v>
      </c>
    </row>
    <row r="138" spans="1:25" x14ac:dyDescent="0.25">
      <c r="A138" s="22" t="s">
        <v>11</v>
      </c>
      <c r="B138" s="24" t="s">
        <v>44</v>
      </c>
      <c r="C138" s="20" t="s">
        <v>40</v>
      </c>
      <c r="D138" s="21" t="s">
        <v>33</v>
      </c>
      <c r="E138" t="s">
        <v>34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0</v>
      </c>
      <c r="H138">
        <f>AI11+AE11+AA11+W11</f>
        <v>0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0</v>
      </c>
      <c r="K138">
        <f>AI18+AE18+AA18+W18</f>
        <v>0</v>
      </c>
      <c r="N138" s="24" t="s">
        <v>45</v>
      </c>
      <c r="O138" s="20" t="s">
        <v>41</v>
      </c>
      <c r="P138" s="21" t="s">
        <v>35</v>
      </c>
      <c r="Q138" t="s">
        <v>34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0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0</v>
      </c>
    </row>
    <row r="139" spans="1:25" x14ac:dyDescent="0.25">
      <c r="A139" s="22"/>
      <c r="B139" s="24"/>
      <c r="C139" s="20"/>
      <c r="D139" s="21"/>
      <c r="E139" t="s">
        <v>36</v>
      </c>
      <c r="F139">
        <f t="shared" si="40"/>
        <v>0</v>
      </c>
      <c r="G139">
        <f t="shared" si="40"/>
        <v>0</v>
      </c>
      <c r="H139">
        <f>AI12+AE12+AA12+W12</f>
        <v>0</v>
      </c>
      <c r="I139">
        <f t="shared" si="41"/>
        <v>0</v>
      </c>
      <c r="J139">
        <f t="shared" si="41"/>
        <v>0</v>
      </c>
      <c r="K139">
        <f>AI19+AE19+AA19+W19</f>
        <v>0</v>
      </c>
      <c r="N139" s="24"/>
      <c r="O139" s="20"/>
      <c r="P139" s="21"/>
      <c r="Q139" t="s">
        <v>36</v>
      </c>
      <c r="R139">
        <f t="shared" si="42"/>
        <v>0</v>
      </c>
      <c r="S139">
        <f t="shared" si="42"/>
        <v>0</v>
      </c>
      <c r="U139">
        <f t="shared" si="43"/>
        <v>0</v>
      </c>
      <c r="V139">
        <f t="shared" si="43"/>
        <v>0</v>
      </c>
    </row>
    <row r="140" spans="1:25" x14ac:dyDescent="0.25">
      <c r="A140" s="22"/>
      <c r="B140" s="24"/>
      <c r="C140" s="20"/>
      <c r="D140" s="21"/>
      <c r="E140" t="s">
        <v>37</v>
      </c>
      <c r="F140">
        <f t="shared" si="40"/>
        <v>7.6358623749999994E-4</v>
      </c>
      <c r="G140">
        <f t="shared" si="40"/>
        <v>7.6380117499999988E-4</v>
      </c>
      <c r="H140">
        <f>AI13+AE13+AA13+W13</f>
        <v>4.5950160000000002</v>
      </c>
      <c r="I140">
        <f t="shared" si="41"/>
        <v>7.6365677499999997E-4</v>
      </c>
      <c r="J140">
        <f t="shared" si="41"/>
        <v>7.7328644999999992E-4</v>
      </c>
      <c r="K140">
        <f>AI20+AE20+AA20+W20</f>
        <v>4.1640870000000003</v>
      </c>
      <c r="L140">
        <f>3*0.05*(1-0.05)*(1-0.05)*X25+3*0.05*0.05*(1-0.05)*AB25+0.05*0.05*0.05*AF25+(1-3*0.05*(1-0.05)*(1-0.05)-3*0.05*0.05*(1-0.05)-0.05*0.05*0.05)*T25</f>
        <v>7.7060863749999994E-4</v>
      </c>
      <c r="M140">
        <f>AI25+AE25+AA25+W25</f>
        <v>7.504271000000001</v>
      </c>
      <c r="N140" s="24"/>
      <c r="O140" s="20"/>
      <c r="P140" s="21"/>
      <c r="Q140" t="s">
        <v>37</v>
      </c>
      <c r="R140">
        <f t="shared" si="42"/>
        <v>7.8195890000000001E-4</v>
      </c>
      <c r="S140">
        <f t="shared" si="42"/>
        <v>7.8218839999999999E-4</v>
      </c>
      <c r="U140">
        <f t="shared" si="43"/>
        <v>7.8222619999999997E-4</v>
      </c>
      <c r="V140">
        <f t="shared" si="43"/>
        <v>7.9189760000000005E-4</v>
      </c>
      <c r="X140">
        <f>3*0.1*(1-0.1)*(1-0.1)*X25+3*0.1*0.1*(1-0.1)*AB25+0.1*0.1*0.1*AF25+(1-3*0.1*(1-0.1)*(1-0.1)-3*0.1*0.1*(1-0.1)-0.1*0.1*0.1)*T25</f>
        <v>7.8837409999999992E-4</v>
      </c>
    </row>
    <row r="141" spans="1:25" x14ac:dyDescent="0.25">
      <c r="A141" s="22"/>
      <c r="C141" s="4"/>
    </row>
    <row r="142" spans="1:25" x14ac:dyDescent="0.25">
      <c r="A142" s="22"/>
      <c r="C142" s="4"/>
    </row>
    <row r="143" spans="1:25" x14ac:dyDescent="0.25">
      <c r="A143" s="22"/>
      <c r="C143" s="4"/>
    </row>
    <row r="144" spans="1:25" x14ac:dyDescent="0.25">
      <c r="A144" s="22"/>
      <c r="B144" s="24" t="s">
        <v>46</v>
      </c>
      <c r="C144" s="20" t="s">
        <v>42</v>
      </c>
      <c r="D144" s="21" t="s">
        <v>38</v>
      </c>
      <c r="E144" t="s">
        <v>34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0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0</v>
      </c>
      <c r="N144" s="24" t="s">
        <v>47</v>
      </c>
      <c r="O144" s="20" t="s">
        <v>43</v>
      </c>
      <c r="P144" s="21" t="s">
        <v>39</v>
      </c>
      <c r="Q144" t="s">
        <v>34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0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0</v>
      </c>
    </row>
    <row r="145" spans="1:25" x14ac:dyDescent="0.25">
      <c r="A145" s="22"/>
      <c r="B145" s="24"/>
      <c r="C145" s="20"/>
      <c r="D145" s="21"/>
      <c r="E145" t="s">
        <v>36</v>
      </c>
      <c r="F145">
        <f t="shared" si="44"/>
        <v>0</v>
      </c>
      <c r="G145">
        <f t="shared" si="44"/>
        <v>0</v>
      </c>
      <c r="I145">
        <f t="shared" si="45"/>
        <v>0</v>
      </c>
      <c r="J145">
        <f t="shared" si="45"/>
        <v>0</v>
      </c>
      <c r="N145" s="24"/>
      <c r="O145" s="20"/>
      <c r="P145" s="21"/>
      <c r="Q145" t="s">
        <v>36</v>
      </c>
      <c r="R145">
        <f t="shared" si="46"/>
        <v>0</v>
      </c>
      <c r="S145">
        <f t="shared" si="46"/>
        <v>0</v>
      </c>
      <c r="U145">
        <f t="shared" si="47"/>
        <v>0</v>
      </c>
      <c r="V145">
        <f t="shared" si="47"/>
        <v>0</v>
      </c>
    </row>
    <row r="146" spans="1:25" x14ac:dyDescent="0.25">
      <c r="A146" s="22"/>
      <c r="B146" s="24"/>
      <c r="C146" s="20"/>
      <c r="D146" s="21"/>
      <c r="E146" t="s">
        <v>37</v>
      </c>
      <c r="F146">
        <f t="shared" si="44"/>
        <v>8.1862720000000001E-4</v>
      </c>
      <c r="G146">
        <f t="shared" si="44"/>
        <v>8.1888320000000003E-4</v>
      </c>
      <c r="I146">
        <f t="shared" si="45"/>
        <v>8.1957759999999992E-4</v>
      </c>
      <c r="J146">
        <f t="shared" si="45"/>
        <v>8.2884479999999997E-4</v>
      </c>
      <c r="L146">
        <f>3*0.2*(1-0.2)*(1-0.2)*X25+3*0.2*0.2*(1-0.2)*AB25+0.2*0.2*0.2*AF25+(1-3*0.2*(1-0.2)*(1-0.2)-3*0.2*0.2*(1-0.2)-0.2*0.2*0.2)*T25</f>
        <v>8.2353279999999992E-4</v>
      </c>
      <c r="N146" s="24"/>
      <c r="O146" s="20"/>
      <c r="P146" s="21"/>
      <c r="Q146" t="s">
        <v>37</v>
      </c>
      <c r="R146">
        <f t="shared" si="46"/>
        <v>8.5513230000000009E-4</v>
      </c>
      <c r="S146">
        <f t="shared" si="46"/>
        <v>8.5540880000000005E-4</v>
      </c>
      <c r="U146">
        <f t="shared" si="47"/>
        <v>8.5700339999999998E-4</v>
      </c>
      <c r="V146">
        <f t="shared" si="47"/>
        <v>8.6534320000000015E-4</v>
      </c>
      <c r="X146">
        <f>3*0.3*(1-0.3)*(1-0.3)*X25+3*0.3*0.3*(1-0.3)*AB25+0.3*0.3*0.3*AF25+(1-3*0.3*(1-0.3)*(1-0.3)-3*0.3*0.3*(1-0.3)-0.3*0.3*0.3)*T25</f>
        <v>8.5829070000000007E-4</v>
      </c>
    </row>
    <row r="149" spans="1:25" x14ac:dyDescent="0.25">
      <c r="A149" s="1" t="s">
        <v>26</v>
      </c>
      <c r="D149" s="17" t="s">
        <v>12</v>
      </c>
      <c r="E149" s="17"/>
      <c r="F149" s="17"/>
      <c r="G149" s="17"/>
      <c r="H149" s="17"/>
      <c r="I149" s="18" t="s">
        <v>23</v>
      </c>
      <c r="J149" s="18"/>
      <c r="K149" s="18"/>
      <c r="L149" s="19" t="s">
        <v>24</v>
      </c>
      <c r="M149" s="19"/>
      <c r="N149" s="7"/>
      <c r="P149" s="17" t="s">
        <v>12</v>
      </c>
      <c r="Q149" s="17"/>
      <c r="R149" s="17"/>
      <c r="S149" s="17"/>
      <c r="T149" s="17"/>
      <c r="U149" s="18" t="s">
        <v>23</v>
      </c>
      <c r="V149" s="18"/>
      <c r="W149" s="18"/>
      <c r="X149" s="19" t="s">
        <v>24</v>
      </c>
      <c r="Y149" s="19"/>
    </row>
    <row r="150" spans="1:25" x14ac:dyDescent="0.25">
      <c r="F150" t="s">
        <v>17</v>
      </c>
      <c r="G150" t="s">
        <v>18</v>
      </c>
      <c r="H150" t="s">
        <v>31</v>
      </c>
      <c r="I150" t="s">
        <v>17</v>
      </c>
      <c r="J150" t="s">
        <v>18</v>
      </c>
      <c r="K150" t="s">
        <v>31</v>
      </c>
      <c r="L150" t="s">
        <v>25</v>
      </c>
      <c r="M150" t="s">
        <v>32</v>
      </c>
      <c r="R150" t="s">
        <v>17</v>
      </c>
      <c r="S150" t="s">
        <v>18</v>
      </c>
      <c r="T150" t="s">
        <v>31</v>
      </c>
      <c r="U150" t="s">
        <v>17</v>
      </c>
      <c r="V150" t="s">
        <v>18</v>
      </c>
      <c r="W150" t="s">
        <v>31</v>
      </c>
      <c r="X150" t="s">
        <v>25</v>
      </c>
      <c r="Y150" t="s">
        <v>32</v>
      </c>
    </row>
    <row r="151" spans="1:25" x14ac:dyDescent="0.25">
      <c r="C151" s="22" t="s">
        <v>9</v>
      </c>
      <c r="D151" s="21" t="s">
        <v>33</v>
      </c>
      <c r="E151" t="s">
        <v>34</v>
      </c>
      <c r="F151">
        <f t="shared" ref="F151:G153" si="48">0.05*G32+(1-0.05)*C32</f>
        <v>0</v>
      </c>
      <c r="G151">
        <f t="shared" si="48"/>
        <v>0</v>
      </c>
      <c r="H151">
        <f>I32++E32</f>
        <v>0</v>
      </c>
      <c r="I151">
        <f t="shared" ref="I151:J153" si="49">0.05*G39+(1-0.05)*C39</f>
        <v>0</v>
      </c>
      <c r="J151">
        <f t="shared" si="49"/>
        <v>0</v>
      </c>
      <c r="K151">
        <f>I39+E39</f>
        <v>0</v>
      </c>
      <c r="P151" s="21" t="s">
        <v>35</v>
      </c>
      <c r="Q151" t="s">
        <v>34</v>
      </c>
      <c r="R151">
        <f t="shared" ref="R151:S153" si="50">0.1*G32+(1-0.1)*C32</f>
        <v>0</v>
      </c>
      <c r="S151">
        <f t="shared" si="50"/>
        <v>0</v>
      </c>
      <c r="U151">
        <f t="shared" ref="U151:V153" si="51">0.1*G39+(1-0.1)*C39</f>
        <v>0</v>
      </c>
      <c r="V151">
        <f t="shared" si="51"/>
        <v>0</v>
      </c>
    </row>
    <row r="152" spans="1:25" x14ac:dyDescent="0.25">
      <c r="C152" s="22"/>
      <c r="D152" s="21"/>
      <c r="E152" t="s">
        <v>36</v>
      </c>
      <c r="F152">
        <f t="shared" si="48"/>
        <v>0</v>
      </c>
      <c r="G152">
        <f t="shared" si="48"/>
        <v>0</v>
      </c>
      <c r="H152">
        <f>I33++E33</f>
        <v>0</v>
      </c>
      <c r="I152">
        <f t="shared" si="49"/>
        <v>0</v>
      </c>
      <c r="J152">
        <f t="shared" si="49"/>
        <v>0</v>
      </c>
      <c r="K152">
        <f>I40+E40</f>
        <v>0</v>
      </c>
      <c r="P152" s="21"/>
      <c r="Q152" t="s">
        <v>36</v>
      </c>
      <c r="R152">
        <f t="shared" si="50"/>
        <v>0</v>
      </c>
      <c r="S152">
        <f t="shared" si="50"/>
        <v>0</v>
      </c>
      <c r="U152">
        <f t="shared" si="51"/>
        <v>0</v>
      </c>
      <c r="V152">
        <f t="shared" si="51"/>
        <v>0</v>
      </c>
    </row>
    <row r="153" spans="1:25" x14ac:dyDescent="0.25">
      <c r="C153" s="22"/>
      <c r="D153" s="21"/>
      <c r="E153" t="s">
        <v>37</v>
      </c>
      <c r="F153">
        <f t="shared" si="48"/>
        <v>7.1056499999999992E-4</v>
      </c>
      <c r="G153">
        <f t="shared" si="48"/>
        <v>7.1622000000000005E-4</v>
      </c>
      <c r="H153">
        <f>I34++E34</f>
        <v>2.2624139999999997</v>
      </c>
      <c r="I153">
        <f t="shared" si="49"/>
        <v>7.1056499999999992E-4</v>
      </c>
      <c r="J153">
        <f t="shared" si="49"/>
        <v>7.18785E-4</v>
      </c>
      <c r="K153">
        <f>I41+E41</f>
        <v>2.1423009999999998</v>
      </c>
      <c r="L153">
        <f>0.05*F46+(1-0.05)*B46</f>
        <v>7.2028499999999998E-4</v>
      </c>
      <c r="M153">
        <f>I46+E46</f>
        <v>3.316681</v>
      </c>
      <c r="P153" s="21"/>
      <c r="Q153" t="s">
        <v>37</v>
      </c>
      <c r="R153">
        <f t="shared" si="50"/>
        <v>7.1633000000000005E-4</v>
      </c>
      <c r="S153">
        <f t="shared" si="50"/>
        <v>7.2204000000000007E-4</v>
      </c>
      <c r="U153">
        <f t="shared" si="51"/>
        <v>7.1633000000000005E-4</v>
      </c>
      <c r="V153">
        <f t="shared" si="51"/>
        <v>7.2447000000000006E-4</v>
      </c>
      <c r="X153">
        <f>0.1*F46+(1-0.1)*B46</f>
        <v>7.2557000000000003E-4</v>
      </c>
    </row>
    <row r="154" spans="1:25" x14ac:dyDescent="0.25">
      <c r="C154" s="22"/>
    </row>
    <row r="155" spans="1:25" x14ac:dyDescent="0.25">
      <c r="C155" s="22"/>
    </row>
    <row r="156" spans="1:25" x14ac:dyDescent="0.25">
      <c r="C156" s="22"/>
    </row>
    <row r="157" spans="1:25" x14ac:dyDescent="0.25">
      <c r="C157" s="22"/>
      <c r="D157" s="21" t="s">
        <v>38</v>
      </c>
      <c r="E157" t="s">
        <v>34</v>
      </c>
      <c r="F157">
        <f t="shared" ref="F157:G159" si="52">0.2*G32+(1-0.2)*C32</f>
        <v>0</v>
      </c>
      <c r="G157">
        <f t="shared" si="52"/>
        <v>0</v>
      </c>
      <c r="I157">
        <f t="shared" ref="I157:J159" si="53">0.2*G39+(1-0.2)*C39</f>
        <v>0</v>
      </c>
      <c r="J157">
        <f t="shared" si="53"/>
        <v>0</v>
      </c>
      <c r="P157" s="21" t="s">
        <v>39</v>
      </c>
      <c r="Q157" t="s">
        <v>34</v>
      </c>
      <c r="R157">
        <f t="shared" ref="R157:S159" si="54">0.3*G32+(1-0.3)*C32</f>
        <v>0</v>
      </c>
      <c r="S157">
        <f t="shared" si="54"/>
        <v>0</v>
      </c>
      <c r="U157">
        <f t="shared" ref="U157:V159" si="55">0.3*G39+(1-0.3)*C39</f>
        <v>0</v>
      </c>
      <c r="V157">
        <f t="shared" si="55"/>
        <v>0</v>
      </c>
    </row>
    <row r="158" spans="1:25" x14ac:dyDescent="0.25">
      <c r="C158" s="22"/>
      <c r="D158" s="21"/>
      <c r="E158" t="s">
        <v>36</v>
      </c>
      <c r="F158">
        <f t="shared" si="52"/>
        <v>0</v>
      </c>
      <c r="G158">
        <f t="shared" si="52"/>
        <v>0</v>
      </c>
      <c r="I158">
        <f t="shared" si="53"/>
        <v>0</v>
      </c>
      <c r="J158">
        <f t="shared" si="53"/>
        <v>0</v>
      </c>
      <c r="P158" s="21"/>
      <c r="Q158" t="s">
        <v>36</v>
      </c>
      <c r="R158">
        <f t="shared" si="54"/>
        <v>0</v>
      </c>
      <c r="S158">
        <f t="shared" si="54"/>
        <v>0</v>
      </c>
      <c r="U158">
        <f t="shared" si="55"/>
        <v>0</v>
      </c>
      <c r="V158">
        <f t="shared" si="55"/>
        <v>0</v>
      </c>
    </row>
    <row r="159" spans="1:25" x14ac:dyDescent="0.25">
      <c r="C159" s="22"/>
      <c r="D159" s="21"/>
      <c r="E159" t="s">
        <v>37</v>
      </c>
      <c r="F159">
        <f t="shared" si="52"/>
        <v>7.278600000000001E-4</v>
      </c>
      <c r="G159">
        <f t="shared" si="52"/>
        <v>7.3368000000000012E-4</v>
      </c>
      <c r="I159">
        <f t="shared" si="53"/>
        <v>7.278600000000001E-4</v>
      </c>
      <c r="J159">
        <f t="shared" si="53"/>
        <v>7.3584000000000008E-4</v>
      </c>
      <c r="L159">
        <f>0.2*F46+(1-0.2)*B46</f>
        <v>7.3614000000000004E-4</v>
      </c>
      <c r="P159" s="21"/>
      <c r="Q159" t="s">
        <v>37</v>
      </c>
      <c r="R159">
        <f t="shared" si="54"/>
        <v>7.3938999999999993E-4</v>
      </c>
      <c r="S159">
        <f t="shared" si="54"/>
        <v>7.4532000000000005E-4</v>
      </c>
      <c r="U159">
        <f t="shared" si="55"/>
        <v>7.3938999999999993E-4</v>
      </c>
      <c r="V159">
        <f t="shared" si="55"/>
        <v>7.4720999999999989E-4</v>
      </c>
      <c r="X159">
        <f>0.3*F46+(1-0.3)*B46</f>
        <v>7.4671000000000004E-4</v>
      </c>
    </row>
    <row r="162" spans="2:25" x14ac:dyDescent="0.25">
      <c r="D162" s="17" t="s">
        <v>12</v>
      </c>
      <c r="E162" s="17"/>
      <c r="F162" s="17"/>
      <c r="G162" s="17"/>
      <c r="H162" s="17"/>
      <c r="I162" s="18" t="s">
        <v>23</v>
      </c>
      <c r="J162" s="18"/>
      <c r="K162" s="18"/>
      <c r="L162" s="19" t="s">
        <v>24</v>
      </c>
      <c r="M162" s="19"/>
      <c r="N162" s="4"/>
      <c r="P162" s="17" t="s">
        <v>12</v>
      </c>
      <c r="Q162" s="17"/>
      <c r="R162" s="17"/>
      <c r="S162" s="17"/>
      <c r="T162" s="17"/>
      <c r="U162" s="18" t="s">
        <v>23</v>
      </c>
      <c r="V162" s="18"/>
      <c r="W162" s="18"/>
      <c r="X162" s="19" t="s">
        <v>24</v>
      </c>
      <c r="Y162" s="19"/>
    </row>
    <row r="163" spans="2:25" x14ac:dyDescent="0.25">
      <c r="F163" t="s">
        <v>17</v>
      </c>
      <c r="G163" t="s">
        <v>18</v>
      </c>
      <c r="H163" t="s">
        <v>31</v>
      </c>
      <c r="I163" t="s">
        <v>17</v>
      </c>
      <c r="J163" t="s">
        <v>18</v>
      </c>
      <c r="K163" t="s">
        <v>31</v>
      </c>
      <c r="L163" t="s">
        <v>25</v>
      </c>
      <c r="M163" t="s">
        <v>32</v>
      </c>
      <c r="R163" t="s">
        <v>17</v>
      </c>
      <c r="S163" t="s">
        <v>18</v>
      </c>
      <c r="T163" t="s">
        <v>31</v>
      </c>
      <c r="U163" t="s">
        <v>17</v>
      </c>
      <c r="V163" t="s">
        <v>18</v>
      </c>
      <c r="W163" t="s">
        <v>31</v>
      </c>
      <c r="X163" t="s">
        <v>25</v>
      </c>
      <c r="Y163" t="s">
        <v>32</v>
      </c>
    </row>
    <row r="164" spans="2:25" x14ac:dyDescent="0.25">
      <c r="B164" s="22" t="s">
        <v>10</v>
      </c>
      <c r="C164" s="20" t="s">
        <v>40</v>
      </c>
      <c r="D164" s="21" t="s">
        <v>33</v>
      </c>
      <c r="E164" t="s">
        <v>34</v>
      </c>
      <c r="F164">
        <f t="shared" ref="F164:G166" si="56">(0.05*(1-0.05)+0.05*(1-0.05))*G32+0.05*0.05*K32+(1-0.05*(1-0.05)-0.05*(1-0.05)-0.05*0.05)*C32</f>
        <v>0</v>
      </c>
      <c r="G164">
        <f t="shared" si="56"/>
        <v>0</v>
      </c>
      <c r="H164">
        <f>M32+I32+E32</f>
        <v>0</v>
      </c>
      <c r="I164">
        <f t="shared" ref="I164:J166" si="57">(0.05*(1-0.05)+0.05*(1-0.05))*G39+0.05*0.05*K39+(1-0.05*(1-0.05)-0.05*(1-0.05)-0.05*0.05)*C39</f>
        <v>0</v>
      </c>
      <c r="J164">
        <f t="shared" si="57"/>
        <v>0</v>
      </c>
      <c r="K164">
        <f>M39+I39+E39</f>
        <v>0</v>
      </c>
      <c r="O164" s="20" t="s">
        <v>41</v>
      </c>
      <c r="P164" s="21" t="s">
        <v>35</v>
      </c>
      <c r="Q164" t="s">
        <v>34</v>
      </c>
      <c r="R164">
        <f t="shared" ref="R164:S166" si="58">(0.1*0.9+0.1*0.9)*G32+0.1*0.1*K32+(1-0.1*0.9-0.1*0.9-0.1*0.1)*C32</f>
        <v>0</v>
      </c>
      <c r="S164">
        <f t="shared" si="58"/>
        <v>0</v>
      </c>
      <c r="U164">
        <f t="shared" ref="U164:V166" si="59">(0.1*0.9+0.1*0.9)*G39+0.1*0.1*K39+(1-0.1*0.9-0.1*0.9-0.1*0.1)*C39</f>
        <v>0</v>
      </c>
      <c r="V164">
        <f t="shared" si="59"/>
        <v>0</v>
      </c>
    </row>
    <row r="165" spans="2:25" x14ac:dyDescent="0.25">
      <c r="B165" s="22"/>
      <c r="C165" s="20"/>
      <c r="D165" s="21"/>
      <c r="E165" t="s">
        <v>36</v>
      </c>
      <c r="F165">
        <f t="shared" si="56"/>
        <v>0</v>
      </c>
      <c r="G165">
        <f t="shared" si="56"/>
        <v>0</v>
      </c>
      <c r="H165">
        <f>M33+I33+E33</f>
        <v>0</v>
      </c>
      <c r="I165">
        <f t="shared" si="57"/>
        <v>0</v>
      </c>
      <c r="J165">
        <f t="shared" si="57"/>
        <v>0</v>
      </c>
      <c r="K165">
        <f>M40+I40+E40</f>
        <v>0</v>
      </c>
      <c r="O165" s="20"/>
      <c r="P165" s="21"/>
      <c r="Q165" t="s">
        <v>36</v>
      </c>
      <c r="R165">
        <f t="shared" si="58"/>
        <v>0</v>
      </c>
      <c r="S165">
        <f t="shared" si="58"/>
        <v>0</v>
      </c>
      <c r="U165">
        <f t="shared" si="59"/>
        <v>0</v>
      </c>
      <c r="V165">
        <f t="shared" si="59"/>
        <v>0</v>
      </c>
    </row>
    <row r="166" spans="2:25" x14ac:dyDescent="0.25">
      <c r="B166" s="22"/>
      <c r="C166" s="20"/>
      <c r="D166" s="21"/>
      <c r="E166" t="s">
        <v>37</v>
      </c>
      <c r="F166">
        <f t="shared" si="56"/>
        <v>7.1632725000000009E-4</v>
      </c>
      <c r="G166">
        <f t="shared" si="56"/>
        <v>7.2203775000000006E-4</v>
      </c>
      <c r="H166">
        <f>M34+I34+E34</f>
        <v>3.4589530000000002</v>
      </c>
      <c r="I166">
        <f t="shared" si="57"/>
        <v>7.1632750000000006E-4</v>
      </c>
      <c r="J166">
        <f t="shared" si="57"/>
        <v>7.244777500000001E-4</v>
      </c>
      <c r="K166">
        <f>M41+I41+E41</f>
        <v>3.1255470000000001</v>
      </c>
      <c r="L166">
        <f>(0.05*(1-0.05)+0.05*(1-0.05))*F46+0.05*0.05*J46+(1-0.05*(1-0.05)-0.05*(1-0.05)-0.05*0.05)*B46</f>
        <v>7.2556150000000006E-4</v>
      </c>
      <c r="M166">
        <f>M46+I46+E46</f>
        <v>4.9803440000000005</v>
      </c>
      <c r="O166" s="20"/>
      <c r="P166" s="21"/>
      <c r="Q166" t="s">
        <v>37</v>
      </c>
      <c r="R166">
        <f t="shared" si="58"/>
        <v>7.2784900000000014E-4</v>
      </c>
      <c r="S166">
        <f t="shared" si="58"/>
        <v>7.3367100000000008E-4</v>
      </c>
      <c r="U166">
        <f t="shared" si="59"/>
        <v>7.2785000000000015E-4</v>
      </c>
      <c r="V166">
        <f t="shared" si="59"/>
        <v>7.3587100000000014E-4</v>
      </c>
      <c r="X166">
        <f>(0.1*0.9+0.1*0.9)*F46+0.1*0.1*J46+(1-0.1*0.9-0.1*0.9-0.1*0.1)*B46</f>
        <v>7.3610600000000004E-4</v>
      </c>
    </row>
    <row r="167" spans="2:25" x14ac:dyDescent="0.25">
      <c r="B167" s="22"/>
      <c r="C167" s="4"/>
    </row>
    <row r="168" spans="2:25" x14ac:dyDescent="0.25">
      <c r="B168" s="22"/>
      <c r="C168" s="4"/>
    </row>
    <row r="169" spans="2:25" x14ac:dyDescent="0.25">
      <c r="B169" s="22"/>
      <c r="C169" s="4"/>
    </row>
    <row r="170" spans="2:25" x14ac:dyDescent="0.25">
      <c r="B170" s="22"/>
      <c r="C170" s="20" t="s">
        <v>42</v>
      </c>
      <c r="D170" s="21" t="s">
        <v>38</v>
      </c>
      <c r="E170" t="s">
        <v>34</v>
      </c>
      <c r="F170">
        <f t="shared" ref="F170:G172" si="60">(0.2*0.8+0.2*0.8)*G32+0.2*0.2*K32+(1-0.2*0.8-0.2*0.8-0.2*0.2)*C32</f>
        <v>0</v>
      </c>
      <c r="G170">
        <f t="shared" si="60"/>
        <v>0</v>
      </c>
      <c r="I170">
        <f t="shared" ref="I170:J172" si="61">(0.2*0.8+0.2*0.8)*G39+0.2*0.2*K39+(1-0.2*0.8-0.2*0.8-0.2*0.2)*C39</f>
        <v>0</v>
      </c>
      <c r="J170">
        <f t="shared" si="61"/>
        <v>0</v>
      </c>
      <c r="O170" s="20" t="s">
        <v>43</v>
      </c>
      <c r="P170" s="21" t="s">
        <v>39</v>
      </c>
      <c r="Q170" t="s">
        <v>34</v>
      </c>
      <c r="R170">
        <f t="shared" ref="R170:S172" si="62">(0.3*0.7+0.3*0.7)*G32+0.3*0.3*K32+(1-0.3*0.7-0.3*0.7-0.3*0.3)*C32</f>
        <v>0</v>
      </c>
      <c r="S170">
        <f t="shared" si="62"/>
        <v>0</v>
      </c>
      <c r="U170">
        <f t="shared" ref="U170:V172" si="63">(0.3*0.7+0.3*0.7)*G39+0.3*0.3*K39+(1-0.3*0.7-0.3*0.7-0.3*0.3)*C39</f>
        <v>0</v>
      </c>
      <c r="V170">
        <f t="shared" si="63"/>
        <v>0</v>
      </c>
    </row>
    <row r="171" spans="2:25" x14ac:dyDescent="0.25">
      <c r="B171" s="22"/>
      <c r="C171" s="20"/>
      <c r="D171" s="21"/>
      <c r="E171" t="s">
        <v>36</v>
      </c>
      <c r="F171">
        <f t="shared" si="60"/>
        <v>0</v>
      </c>
      <c r="G171">
        <f t="shared" si="60"/>
        <v>0</v>
      </c>
      <c r="I171">
        <f t="shared" si="61"/>
        <v>0</v>
      </c>
      <c r="J171">
        <f t="shared" si="61"/>
        <v>0</v>
      </c>
      <c r="O171" s="20"/>
      <c r="P171" s="21"/>
      <c r="Q171" t="s">
        <v>36</v>
      </c>
      <c r="R171">
        <f t="shared" si="62"/>
        <v>0</v>
      </c>
      <c r="S171">
        <f t="shared" si="62"/>
        <v>0</v>
      </c>
      <c r="U171">
        <f t="shared" si="63"/>
        <v>0</v>
      </c>
      <c r="V171">
        <f t="shared" si="63"/>
        <v>0</v>
      </c>
    </row>
    <row r="172" spans="2:25" x14ac:dyDescent="0.25">
      <c r="B172" s="22"/>
      <c r="C172" s="20"/>
      <c r="D172" s="21"/>
      <c r="E172" t="s">
        <v>37</v>
      </c>
      <c r="F172">
        <f t="shared" si="60"/>
        <v>7.5087600000000004E-4</v>
      </c>
      <c r="G172">
        <f t="shared" si="60"/>
        <v>7.5692399999999996E-4</v>
      </c>
      <c r="I172">
        <f t="shared" si="61"/>
        <v>7.5087999999999999E-4</v>
      </c>
      <c r="J172">
        <f t="shared" si="61"/>
        <v>7.5870400000000002E-4</v>
      </c>
      <c r="L172">
        <f>(0.2*0.8+0.2*0.8)*F46+0.2*0.2*J46+(1-0.2*0.8-0.2*0.8-0.2*0.2)*B46</f>
        <v>7.5714400000000007E-4</v>
      </c>
      <c r="O172" s="20"/>
      <c r="P172" s="21"/>
      <c r="Q172" t="s">
        <v>37</v>
      </c>
      <c r="R172">
        <f t="shared" si="62"/>
        <v>7.7388100000000003E-4</v>
      </c>
      <c r="S172">
        <f t="shared" si="62"/>
        <v>7.801590000000001E-4</v>
      </c>
      <c r="U172">
        <f t="shared" si="63"/>
        <v>7.7389000000000006E-4</v>
      </c>
      <c r="V172">
        <f t="shared" si="63"/>
        <v>7.8159900000000012E-4</v>
      </c>
      <c r="X172">
        <f>(0.3*0.7+0.3*0.7)*F46+0.3*0.3*J46+(1-0.3*0.7-0.3*0.7-0.3*0.3)*B46</f>
        <v>7.7811400000000011E-4</v>
      </c>
    </row>
    <row r="175" spans="2:25" x14ac:dyDescent="0.25">
      <c r="D175" s="17" t="s">
        <v>12</v>
      </c>
      <c r="E175" s="17"/>
      <c r="F175" s="17"/>
      <c r="G175" s="17"/>
      <c r="H175" s="17"/>
      <c r="I175" s="18" t="s">
        <v>23</v>
      </c>
      <c r="J175" s="18"/>
      <c r="K175" s="18"/>
      <c r="L175" s="19" t="s">
        <v>24</v>
      </c>
      <c r="M175" s="19"/>
      <c r="N175" s="4"/>
      <c r="P175" s="17" t="s">
        <v>12</v>
      </c>
      <c r="Q175" s="17"/>
      <c r="R175" s="17"/>
      <c r="S175" s="17"/>
      <c r="T175" s="17"/>
      <c r="U175" s="18" t="s">
        <v>23</v>
      </c>
      <c r="V175" s="18"/>
      <c r="W175" s="18"/>
      <c r="X175" s="19" t="s">
        <v>24</v>
      </c>
      <c r="Y175" s="19"/>
    </row>
    <row r="176" spans="2:25" x14ac:dyDescent="0.25">
      <c r="B176" s="4"/>
      <c r="F176" t="s">
        <v>17</v>
      </c>
      <c r="G176" t="s">
        <v>18</v>
      </c>
      <c r="H176" t="s">
        <v>31</v>
      </c>
      <c r="I176" t="s">
        <v>17</v>
      </c>
      <c r="J176" t="s">
        <v>18</v>
      </c>
      <c r="K176" t="s">
        <v>31</v>
      </c>
      <c r="L176" t="s">
        <v>25</v>
      </c>
      <c r="M176" t="s">
        <v>32</v>
      </c>
      <c r="R176" t="s">
        <v>17</v>
      </c>
      <c r="S176" t="s">
        <v>18</v>
      </c>
      <c r="T176" t="s">
        <v>31</v>
      </c>
      <c r="U176" t="s">
        <v>17</v>
      </c>
      <c r="V176" t="s">
        <v>18</v>
      </c>
      <c r="W176" t="s">
        <v>31</v>
      </c>
      <c r="X176" t="s">
        <v>25</v>
      </c>
      <c r="Y176" t="s">
        <v>32</v>
      </c>
    </row>
    <row r="177" spans="1:25" x14ac:dyDescent="0.25">
      <c r="A177" s="22" t="s">
        <v>11</v>
      </c>
      <c r="B177" s="24" t="s">
        <v>44</v>
      </c>
      <c r="C177" s="20" t="s">
        <v>40</v>
      </c>
      <c r="D177" s="21" t="s">
        <v>33</v>
      </c>
      <c r="E177" t="s">
        <v>34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0</v>
      </c>
      <c r="H177">
        <f>Q32+M32+I32+E32</f>
        <v>0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0</v>
      </c>
      <c r="K177">
        <f>Q39+M39+I39+E39</f>
        <v>0</v>
      </c>
      <c r="N177" s="24" t="s">
        <v>45</v>
      </c>
      <c r="O177" s="20" t="s">
        <v>41</v>
      </c>
      <c r="P177" s="21" t="s">
        <v>35</v>
      </c>
      <c r="Q177" t="s">
        <v>34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0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0</v>
      </c>
    </row>
    <row r="178" spans="1:25" x14ac:dyDescent="0.25">
      <c r="A178" s="22"/>
      <c r="B178" s="24"/>
      <c r="C178" s="20"/>
      <c r="D178" s="21"/>
      <c r="E178" t="s">
        <v>36</v>
      </c>
      <c r="F178">
        <f t="shared" si="64"/>
        <v>0</v>
      </c>
      <c r="G178">
        <f t="shared" si="64"/>
        <v>0</v>
      </c>
      <c r="H178">
        <f>Q33+M33+I33+E33</f>
        <v>0</v>
      </c>
      <c r="I178">
        <f t="shared" si="65"/>
        <v>0</v>
      </c>
      <c r="J178">
        <f t="shared" si="65"/>
        <v>0</v>
      </c>
      <c r="K178">
        <f>Q40+M40+I40+E40</f>
        <v>0</v>
      </c>
      <c r="N178" s="24"/>
      <c r="O178" s="20"/>
      <c r="P178" s="21"/>
      <c r="Q178" t="s">
        <v>36</v>
      </c>
      <c r="R178">
        <f t="shared" si="66"/>
        <v>0</v>
      </c>
      <c r="S178">
        <f t="shared" si="66"/>
        <v>0</v>
      </c>
      <c r="U178">
        <f t="shared" si="67"/>
        <v>0</v>
      </c>
      <c r="V178">
        <f t="shared" si="67"/>
        <v>0</v>
      </c>
    </row>
    <row r="179" spans="1:25" x14ac:dyDescent="0.25">
      <c r="A179" s="22"/>
      <c r="B179" s="24"/>
      <c r="C179" s="20"/>
      <c r="D179" s="21"/>
      <c r="E179" t="s">
        <v>37</v>
      </c>
      <c r="F179">
        <f t="shared" si="64"/>
        <v>7.220808249999999E-4</v>
      </c>
      <c r="G179">
        <f t="shared" si="64"/>
        <v>7.2785863750000001E-4</v>
      </c>
      <c r="H179">
        <f>Q34+M34+I34+E34</f>
        <v>4.4867869999999996</v>
      </c>
      <c r="I179">
        <f t="shared" si="65"/>
        <v>7.2208153749999998E-4</v>
      </c>
      <c r="J179">
        <f t="shared" si="65"/>
        <v>7.3018281250000002E-4</v>
      </c>
      <c r="K179">
        <f>Q41+M41+I41+E41</f>
        <v>4.115361</v>
      </c>
      <c r="L179">
        <f>3*0.05*(1-0.05)*(1-0.05)*F46+3*0.05*0.05*(1-0.05)*J46+0.05*0.05*0.05*N46+(1-3*0.05*(1-0.05)*(1-0.05)-3*0.05*0.05*(1-0.05)-0.05*0.05*0.05)*B46</f>
        <v>7.3082676249999995E-4</v>
      </c>
      <c r="M179">
        <f>Q46+M46+I46+E46</f>
        <v>6.8398920000000007</v>
      </c>
      <c r="N179" s="24"/>
      <c r="O179" s="20"/>
      <c r="P179" s="21"/>
      <c r="Q179" t="s">
        <v>37</v>
      </c>
      <c r="R179">
        <f t="shared" si="66"/>
        <v>7.3930959999999994E-4</v>
      </c>
      <c r="S179">
        <f t="shared" si="66"/>
        <v>7.4533610000000012E-4</v>
      </c>
      <c r="U179">
        <f t="shared" si="67"/>
        <v>7.3931229999999988E-4</v>
      </c>
      <c r="V179">
        <f t="shared" si="67"/>
        <v>7.4733950000000003E-4</v>
      </c>
      <c r="X179">
        <f>3*0.1*(1-0.1)*(1-0.1)*F46+3*0.1*0.1*(1-0.1)*J46+0.1*0.1*0.1*N46+(1-3*0.1*(1-0.1)*(1-0.1)-3*0.1*0.1*(1-0.1)-0.1*0.1*0.1)*B46</f>
        <v>7.4658609999999996E-4</v>
      </c>
    </row>
    <row r="180" spans="1:25" x14ac:dyDescent="0.25">
      <c r="A180" s="22"/>
      <c r="C180" s="4"/>
    </row>
    <row r="181" spans="1:25" x14ac:dyDescent="0.25">
      <c r="A181" s="22"/>
      <c r="C181" s="4"/>
    </row>
    <row r="182" spans="1:25" x14ac:dyDescent="0.25">
      <c r="A182" s="22"/>
      <c r="C182" s="4"/>
    </row>
    <row r="183" spans="1:25" x14ac:dyDescent="0.25">
      <c r="A183" s="22"/>
      <c r="B183" s="24" t="s">
        <v>46</v>
      </c>
      <c r="C183" s="20" t="s">
        <v>42</v>
      </c>
      <c r="D183" s="21" t="s">
        <v>38</v>
      </c>
      <c r="E183" t="s">
        <v>34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0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0</v>
      </c>
      <c r="N183" s="24" t="s">
        <v>47</v>
      </c>
      <c r="O183" s="20" t="s">
        <v>43</v>
      </c>
      <c r="P183" s="21" t="s">
        <v>39</v>
      </c>
      <c r="Q183" t="s">
        <v>34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0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0</v>
      </c>
    </row>
    <row r="184" spans="1:25" x14ac:dyDescent="0.25">
      <c r="A184" s="22"/>
      <c r="B184" s="24"/>
      <c r="C184" s="20"/>
      <c r="D184" s="21"/>
      <c r="E184" t="s">
        <v>36</v>
      </c>
      <c r="F184">
        <f t="shared" si="68"/>
        <v>0</v>
      </c>
      <c r="G184">
        <f t="shared" si="68"/>
        <v>0</v>
      </c>
      <c r="I184">
        <f t="shared" si="69"/>
        <v>0</v>
      </c>
      <c r="J184">
        <f t="shared" si="69"/>
        <v>0</v>
      </c>
      <c r="N184" s="24"/>
      <c r="O184" s="20"/>
      <c r="P184" s="21"/>
      <c r="Q184" t="s">
        <v>36</v>
      </c>
      <c r="R184">
        <f t="shared" si="70"/>
        <v>0</v>
      </c>
      <c r="S184">
        <f t="shared" si="70"/>
        <v>0</v>
      </c>
      <c r="U184">
        <f t="shared" si="71"/>
        <v>0</v>
      </c>
      <c r="V184">
        <f t="shared" si="71"/>
        <v>0</v>
      </c>
    </row>
    <row r="185" spans="1:25" x14ac:dyDescent="0.25">
      <c r="A185" s="22"/>
      <c r="B185" s="24"/>
      <c r="C185" s="20"/>
      <c r="D185" s="21"/>
      <c r="E185" t="s">
        <v>37</v>
      </c>
      <c r="F185">
        <f t="shared" si="68"/>
        <v>7.7346879999999987E-4</v>
      </c>
      <c r="G185">
        <f t="shared" si="68"/>
        <v>7.8047680000000006E-4</v>
      </c>
      <c r="I185">
        <f t="shared" si="69"/>
        <v>7.7347839999999989E-4</v>
      </c>
      <c r="J185">
        <f t="shared" si="69"/>
        <v>7.81984E-4</v>
      </c>
      <c r="L185">
        <f>3*0.2*(1-0.2)*(1-0.2)*F46+3*0.2*0.2*(1-0.2)*J46+0.2*0.2*0.2*N46+(1-3*0.2*(1-0.2)*(1-0.2)-3*0.2*0.2*(1-0.2)-0.2*0.2*0.2)*B46</f>
        <v>7.7783680000000001E-4</v>
      </c>
      <c r="N185" s="24"/>
      <c r="O185" s="20"/>
      <c r="P185" s="21"/>
      <c r="Q185" t="s">
        <v>37</v>
      </c>
      <c r="R185">
        <f t="shared" si="70"/>
        <v>8.0699320000000006E-4</v>
      </c>
      <c r="S185">
        <f t="shared" si="70"/>
        <v>8.1608070000000008E-4</v>
      </c>
      <c r="U185">
        <f t="shared" si="71"/>
        <v>8.0701210000000011E-4</v>
      </c>
      <c r="V185">
        <f t="shared" si="71"/>
        <v>8.1725250000000004E-4</v>
      </c>
      <c r="X185">
        <f>3*0.3*(1-0.3)*(1-0.3)*F46+3*0.3*0.3*(1-0.3)*J46+0.3*0.3*0.3*N46+(1-3*0.3*(1-0.3)*(1-0.3)-3*0.3*0.3*(1-0.3)-0.3*0.3*0.3)*B46</f>
        <v>8.0862070000000004E-4</v>
      </c>
    </row>
    <row r="188" spans="1:25" x14ac:dyDescent="0.25">
      <c r="A188" s="1" t="s">
        <v>27</v>
      </c>
      <c r="D188" s="17" t="s">
        <v>12</v>
      </c>
      <c r="E188" s="17"/>
      <c r="F188" s="17"/>
      <c r="G188" s="17"/>
      <c r="H188" s="17"/>
      <c r="I188" s="18" t="s">
        <v>23</v>
      </c>
      <c r="J188" s="18"/>
      <c r="K188" s="18"/>
      <c r="L188" s="19" t="s">
        <v>24</v>
      </c>
      <c r="M188" s="19"/>
      <c r="N188" s="7"/>
      <c r="P188" s="17" t="s">
        <v>12</v>
      </c>
      <c r="Q188" s="17"/>
      <c r="R188" s="17"/>
      <c r="S188" s="17"/>
      <c r="T188" s="17"/>
      <c r="U188" s="18" t="s">
        <v>23</v>
      </c>
      <c r="V188" s="18"/>
      <c r="W188" s="18"/>
      <c r="X188" s="19" t="s">
        <v>24</v>
      </c>
      <c r="Y188" s="19"/>
    </row>
    <row r="189" spans="1:25" x14ac:dyDescent="0.25">
      <c r="F189" t="s">
        <v>17</v>
      </c>
      <c r="G189" t="s">
        <v>18</v>
      </c>
      <c r="H189" t="s">
        <v>31</v>
      </c>
      <c r="I189" t="s">
        <v>17</v>
      </c>
      <c r="J189" t="s">
        <v>18</v>
      </c>
      <c r="K189" t="s">
        <v>31</v>
      </c>
      <c r="L189" t="s">
        <v>25</v>
      </c>
      <c r="M189" t="s">
        <v>32</v>
      </c>
      <c r="R189" t="s">
        <v>17</v>
      </c>
      <c r="S189" t="s">
        <v>18</v>
      </c>
      <c r="T189" t="s">
        <v>31</v>
      </c>
      <c r="U189" t="s">
        <v>17</v>
      </c>
      <c r="V189" t="s">
        <v>18</v>
      </c>
      <c r="W189" t="s">
        <v>31</v>
      </c>
      <c r="X189" t="s">
        <v>25</v>
      </c>
      <c r="Y189" t="s">
        <v>32</v>
      </c>
    </row>
    <row r="190" spans="1:25" x14ac:dyDescent="0.25">
      <c r="C190" s="22" t="s">
        <v>9</v>
      </c>
      <c r="D190" s="21" t="s">
        <v>33</v>
      </c>
      <c r="E190" t="s">
        <v>34</v>
      </c>
      <c r="F190">
        <f t="shared" ref="F190:G192" si="72">0.05*Y32+(1-0.05)*U32</f>
        <v>0</v>
      </c>
      <c r="G190">
        <f t="shared" si="72"/>
        <v>0</v>
      </c>
      <c r="H190">
        <f>AA32+W32</f>
        <v>0</v>
      </c>
      <c r="I190">
        <f t="shared" ref="I190:J192" si="73">0.05*Y39+(1-0.05)*U39</f>
        <v>0</v>
      </c>
      <c r="J190">
        <f t="shared" si="73"/>
        <v>0</v>
      </c>
      <c r="K190">
        <f>AA39+W39</f>
        <v>0</v>
      </c>
      <c r="P190" s="21" t="s">
        <v>35</v>
      </c>
      <c r="Q190" t="s">
        <v>34</v>
      </c>
      <c r="R190">
        <f t="shared" ref="R190:S192" si="74">0.1*Y32+(1-0.1)*U32</f>
        <v>0</v>
      </c>
      <c r="S190">
        <f t="shared" si="74"/>
        <v>0</v>
      </c>
      <c r="U190">
        <f t="shared" ref="U190:V192" si="75">0.1*Y39+(1-0.1)*U39</f>
        <v>0</v>
      </c>
      <c r="V190">
        <f t="shared" si="75"/>
        <v>0</v>
      </c>
    </row>
    <row r="191" spans="1:25" x14ac:dyDescent="0.25">
      <c r="C191" s="22"/>
      <c r="D191" s="21"/>
      <c r="E191" t="s">
        <v>36</v>
      </c>
      <c r="F191">
        <f t="shared" si="72"/>
        <v>0</v>
      </c>
      <c r="G191">
        <f t="shared" si="72"/>
        <v>0</v>
      </c>
      <c r="H191">
        <f>AA33+W33</f>
        <v>0</v>
      </c>
      <c r="I191">
        <f t="shared" si="73"/>
        <v>0</v>
      </c>
      <c r="J191">
        <f t="shared" si="73"/>
        <v>0</v>
      </c>
      <c r="K191">
        <f>AA40+W40</f>
        <v>0</v>
      </c>
      <c r="P191" s="21"/>
      <c r="Q191" t="s">
        <v>36</v>
      </c>
      <c r="R191">
        <f t="shared" si="74"/>
        <v>0</v>
      </c>
      <c r="S191">
        <f t="shared" si="74"/>
        <v>0</v>
      </c>
      <c r="U191">
        <f t="shared" si="75"/>
        <v>0</v>
      </c>
      <c r="V191">
        <f t="shared" si="75"/>
        <v>0</v>
      </c>
    </row>
    <row r="192" spans="1:25" x14ac:dyDescent="0.25">
      <c r="C192" s="22"/>
      <c r="D192" s="21"/>
      <c r="E192" t="s">
        <v>37</v>
      </c>
      <c r="F192">
        <f t="shared" si="72"/>
        <v>5.8120999999999997E-4</v>
      </c>
      <c r="G192">
        <f t="shared" si="72"/>
        <v>6.2655000000000002E-4</v>
      </c>
      <c r="H192">
        <f>AA34+W34</f>
        <v>2.2516400000000001</v>
      </c>
      <c r="I192">
        <f t="shared" si="73"/>
        <v>5.8164499999999999E-4</v>
      </c>
      <c r="J192">
        <f t="shared" si="73"/>
        <v>6.2655000000000002E-4</v>
      </c>
      <c r="K192">
        <f>AA41+W41</f>
        <v>1.9681839999999999</v>
      </c>
      <c r="L192">
        <f>0.05*X46+(1-0.05)*T46</f>
        <v>6.010299999999999E-4</v>
      </c>
      <c r="M192">
        <f>AA46+W46</f>
        <v>4.1398440000000001</v>
      </c>
      <c r="P192" s="21"/>
      <c r="Q192" t="s">
        <v>37</v>
      </c>
      <c r="R192">
        <f t="shared" si="74"/>
        <v>5.8602000000000003E-4</v>
      </c>
      <c r="S192">
        <f t="shared" si="74"/>
        <v>6.3170000000000001E-4</v>
      </c>
      <c r="U192">
        <f t="shared" si="75"/>
        <v>5.8689000000000007E-4</v>
      </c>
      <c r="V192">
        <f t="shared" si="75"/>
        <v>6.3170000000000001E-4</v>
      </c>
      <c r="X192">
        <f>0.1*X46+(1-0.1)*T46</f>
        <v>6.0676000000000003E-4</v>
      </c>
    </row>
    <row r="193" spans="2:25" x14ac:dyDescent="0.25">
      <c r="C193" s="22"/>
    </row>
    <row r="194" spans="2:25" x14ac:dyDescent="0.25">
      <c r="C194" s="22"/>
    </row>
    <row r="195" spans="2:25" x14ac:dyDescent="0.25">
      <c r="C195" s="22"/>
    </row>
    <row r="196" spans="2:25" x14ac:dyDescent="0.25">
      <c r="C196" s="22"/>
      <c r="D196" s="21" t="s">
        <v>38</v>
      </c>
      <c r="E196" t="s">
        <v>34</v>
      </c>
      <c r="F196">
        <f t="shared" ref="F196:G198" si="76">0.2*Y32+(1-0.2)*U32</f>
        <v>0</v>
      </c>
      <c r="G196">
        <f t="shared" si="76"/>
        <v>0</v>
      </c>
      <c r="I196">
        <f t="shared" ref="I196:J198" si="77">0.2*Y39+(1-0.2)*U39</f>
        <v>0</v>
      </c>
      <c r="J196">
        <f t="shared" si="77"/>
        <v>0</v>
      </c>
      <c r="P196" s="21" t="s">
        <v>39</v>
      </c>
      <c r="Q196" t="s">
        <v>34</v>
      </c>
      <c r="R196">
        <f t="shared" ref="R196:S198" si="78">0.3*Y32+(1-0.3)*U32</f>
        <v>0</v>
      </c>
      <c r="S196">
        <f t="shared" si="78"/>
        <v>0</v>
      </c>
      <c r="U196">
        <f t="shared" ref="U196:V198" si="79">0.3*Y39+(1-0.3)*U39</f>
        <v>0</v>
      </c>
      <c r="V196">
        <f t="shared" si="79"/>
        <v>0</v>
      </c>
    </row>
    <row r="197" spans="2:25" x14ac:dyDescent="0.25">
      <c r="C197" s="22"/>
      <c r="D197" s="21"/>
      <c r="E197" t="s">
        <v>36</v>
      </c>
      <c r="F197">
        <f t="shared" si="76"/>
        <v>0</v>
      </c>
      <c r="G197">
        <f t="shared" si="76"/>
        <v>0</v>
      </c>
      <c r="I197">
        <f t="shared" si="77"/>
        <v>0</v>
      </c>
      <c r="J197">
        <f t="shared" si="77"/>
        <v>0</v>
      </c>
      <c r="P197" s="21"/>
      <c r="Q197" t="s">
        <v>36</v>
      </c>
      <c r="R197">
        <f t="shared" si="78"/>
        <v>0</v>
      </c>
      <c r="S197">
        <f t="shared" si="78"/>
        <v>0</v>
      </c>
      <c r="U197">
        <f t="shared" si="79"/>
        <v>0</v>
      </c>
      <c r="V197">
        <f t="shared" si="79"/>
        <v>0</v>
      </c>
    </row>
    <row r="198" spans="2:25" x14ac:dyDescent="0.25">
      <c r="C198" s="22"/>
      <c r="D198" s="21"/>
      <c r="E198" t="s">
        <v>37</v>
      </c>
      <c r="F198">
        <f t="shared" si="76"/>
        <v>5.9564000000000004E-4</v>
      </c>
      <c r="G198">
        <f t="shared" si="76"/>
        <v>6.420000000000001E-4</v>
      </c>
      <c r="I198">
        <f t="shared" si="77"/>
        <v>5.9738E-4</v>
      </c>
      <c r="J198">
        <f t="shared" si="77"/>
        <v>6.420000000000001E-4</v>
      </c>
      <c r="L198">
        <f>0.2*X46+(1-0.2)*T46</f>
        <v>6.1822000000000005E-4</v>
      </c>
      <c r="P198" s="21"/>
      <c r="Q198" t="s">
        <v>37</v>
      </c>
      <c r="R198">
        <f t="shared" si="78"/>
        <v>6.0526000000000004E-4</v>
      </c>
      <c r="S198">
        <f t="shared" si="78"/>
        <v>6.5229999999999997E-4</v>
      </c>
      <c r="U198">
        <f t="shared" si="79"/>
        <v>6.0787000000000005E-4</v>
      </c>
      <c r="V198">
        <f t="shared" si="79"/>
        <v>6.5229999999999997E-4</v>
      </c>
      <c r="X198">
        <f>0.3*X46+(1-0.3)*T46</f>
        <v>6.2967999999999997E-4</v>
      </c>
    </row>
    <row r="201" spans="2:25" x14ac:dyDescent="0.25">
      <c r="D201" s="17" t="s">
        <v>12</v>
      </c>
      <c r="E201" s="17"/>
      <c r="F201" s="17"/>
      <c r="G201" s="17"/>
      <c r="H201" s="17"/>
      <c r="I201" s="18" t="s">
        <v>23</v>
      </c>
      <c r="J201" s="18"/>
      <c r="K201" s="18"/>
      <c r="L201" s="19" t="s">
        <v>24</v>
      </c>
      <c r="M201" s="19"/>
      <c r="N201" s="4"/>
      <c r="P201" s="17" t="s">
        <v>12</v>
      </c>
      <c r="Q201" s="17"/>
      <c r="R201" s="17"/>
      <c r="S201" s="17"/>
      <c r="T201" s="17"/>
      <c r="U201" s="18" t="s">
        <v>23</v>
      </c>
      <c r="V201" s="18"/>
      <c r="W201" s="18"/>
      <c r="X201" s="19" t="s">
        <v>24</v>
      </c>
      <c r="Y201" s="19"/>
    </row>
    <row r="202" spans="2:25" x14ac:dyDescent="0.25">
      <c r="F202" t="s">
        <v>17</v>
      </c>
      <c r="G202" t="s">
        <v>18</v>
      </c>
      <c r="H202" t="s">
        <v>31</v>
      </c>
      <c r="I202" t="s">
        <v>17</v>
      </c>
      <c r="J202" t="s">
        <v>18</v>
      </c>
      <c r="K202" t="s">
        <v>31</v>
      </c>
      <c r="L202" t="s">
        <v>25</v>
      </c>
      <c r="M202" t="s">
        <v>32</v>
      </c>
      <c r="R202" t="s">
        <v>17</v>
      </c>
      <c r="S202" t="s">
        <v>18</v>
      </c>
      <c r="T202" t="s">
        <v>31</v>
      </c>
      <c r="U202" t="s">
        <v>17</v>
      </c>
      <c r="V202" t="s">
        <v>18</v>
      </c>
      <c r="W202" t="s">
        <v>31</v>
      </c>
      <c r="X202" t="s">
        <v>25</v>
      </c>
      <c r="Y202" t="s">
        <v>32</v>
      </c>
    </row>
    <row r="203" spans="2:25" x14ac:dyDescent="0.25">
      <c r="B203" s="22" t="s">
        <v>10</v>
      </c>
      <c r="C203" s="20" t="s">
        <v>40</v>
      </c>
      <c r="D203" s="21" t="s">
        <v>33</v>
      </c>
      <c r="E203" t="s">
        <v>34</v>
      </c>
      <c r="F203">
        <f t="shared" ref="F203:G205" si="80">(0.05*(1-0.05)+0.05*(1-0.05))*Y32+0.05*0.05*AC32+(1-0.05*(1-0.05)-0.05*(1-0.05)-0.05*0.05)*U32</f>
        <v>0</v>
      </c>
      <c r="G203">
        <f t="shared" si="80"/>
        <v>0</v>
      </c>
      <c r="H203">
        <f>AE32+AA32+W32</f>
        <v>0</v>
      </c>
      <c r="I203">
        <f t="shared" ref="I203:J205" si="81">(0.05*(1-0.05)+0.05*(1-0.05))*Y39+0.05*0.05*AC39+(1-0.05*(1-0.05)-0.05*(1-0.05)-0.05*0.05)*U39</f>
        <v>0</v>
      </c>
      <c r="J203">
        <f t="shared" si="81"/>
        <v>0</v>
      </c>
      <c r="K203">
        <f>AE39+AA39+W39</f>
        <v>0</v>
      </c>
      <c r="O203" s="20" t="s">
        <v>41</v>
      </c>
      <c r="P203" s="21" t="s">
        <v>35</v>
      </c>
      <c r="Q203" t="s">
        <v>34</v>
      </c>
      <c r="R203">
        <f t="shared" ref="R203:S205" si="82">(0.1*0.9+0.1*0.9)*Y32+0.1*0.1*AC32+(1-0.1*0.9-0.1*0.9-0.1*0.1)*U32</f>
        <v>0</v>
      </c>
      <c r="S203">
        <f t="shared" si="82"/>
        <v>0</v>
      </c>
      <c r="U203">
        <f t="shared" ref="U203:V205" si="83">(0.1*0.9+0.1*0.9)*Y39+0.1*0.1*AC39+(1-0.1*0.9-0.1*0.9-0.1*0.1)*U39</f>
        <v>0</v>
      </c>
      <c r="V203">
        <f t="shared" si="83"/>
        <v>0</v>
      </c>
    </row>
    <row r="204" spans="2:25" x14ac:dyDescent="0.25">
      <c r="B204" s="22"/>
      <c r="C204" s="20"/>
      <c r="D204" s="21"/>
      <c r="E204" t="s">
        <v>36</v>
      </c>
      <c r="F204">
        <f t="shared" si="80"/>
        <v>0</v>
      </c>
      <c r="G204">
        <f t="shared" si="80"/>
        <v>0</v>
      </c>
      <c r="H204">
        <f>AE33+AA33+W33</f>
        <v>0</v>
      </c>
      <c r="I204">
        <f t="shared" si="81"/>
        <v>0</v>
      </c>
      <c r="J204">
        <f t="shared" si="81"/>
        <v>0</v>
      </c>
      <c r="K204">
        <f>AE40+AA40+W40</f>
        <v>0</v>
      </c>
      <c r="O204" s="20"/>
      <c r="P204" s="21"/>
      <c r="Q204" t="s">
        <v>36</v>
      </c>
      <c r="R204">
        <f t="shared" si="82"/>
        <v>0</v>
      </c>
      <c r="S204">
        <f t="shared" si="82"/>
        <v>0</v>
      </c>
      <c r="U204">
        <f t="shared" si="83"/>
        <v>0</v>
      </c>
      <c r="V204">
        <f t="shared" si="83"/>
        <v>0</v>
      </c>
    </row>
    <row r="205" spans="2:25" x14ac:dyDescent="0.25">
      <c r="B205" s="22"/>
      <c r="C205" s="20"/>
      <c r="D205" s="21"/>
      <c r="E205" t="s">
        <v>37</v>
      </c>
      <c r="F205">
        <f t="shared" si="80"/>
        <v>5.8601375000000007E-4</v>
      </c>
      <c r="G205">
        <f t="shared" si="80"/>
        <v>6.3169475000000017E-4</v>
      </c>
      <c r="H205">
        <f>AE34+AA34+W34</f>
        <v>3.4355370000000001</v>
      </c>
      <c r="I205">
        <f t="shared" si="81"/>
        <v>5.8685900000000012E-4</v>
      </c>
      <c r="J205">
        <f t="shared" si="81"/>
        <v>6.3169475000000017E-4</v>
      </c>
      <c r="K205">
        <f>AE41+AA41+W41</f>
        <v>2.9458669999999998</v>
      </c>
      <c r="L205">
        <f>(0.05*(1-0.05)+0.05*(1-0.05))*X46+0.05*0.05*AB46+(1-0.05*(1-0.05)-0.05*(1-0.05)-0.05*0.05)*T46</f>
        <v>6.0669375000000009E-4</v>
      </c>
      <c r="M205">
        <f>AE46+AA46+W46</f>
        <v>6.1899619999999995</v>
      </c>
      <c r="O205" s="20"/>
      <c r="P205" s="21"/>
      <c r="Q205" t="s">
        <v>37</v>
      </c>
      <c r="R205">
        <f t="shared" si="82"/>
        <v>5.9561500000000008E-4</v>
      </c>
      <c r="S205">
        <f t="shared" si="82"/>
        <v>6.419790000000001E-4</v>
      </c>
      <c r="U205">
        <f t="shared" si="83"/>
        <v>5.97256E-4</v>
      </c>
      <c r="V205">
        <f t="shared" si="83"/>
        <v>6.419790000000001E-4</v>
      </c>
      <c r="X205">
        <f>(0.1*0.9+0.1*0.9)*X46+0.1*0.1*AB46+(1-0.1*0.9-0.1*0.9-0.1*0.1)*T46</f>
        <v>6.17955E-4</v>
      </c>
    </row>
    <row r="206" spans="2:25" x14ac:dyDescent="0.25">
      <c r="B206" s="22"/>
      <c r="C206" s="4"/>
    </row>
    <row r="207" spans="2:25" x14ac:dyDescent="0.25">
      <c r="B207" s="22"/>
      <c r="C207" s="4"/>
    </row>
    <row r="208" spans="2:25" x14ac:dyDescent="0.25">
      <c r="B208" s="22"/>
      <c r="C208" s="4"/>
    </row>
    <row r="209" spans="1:25" x14ac:dyDescent="0.25">
      <c r="B209" s="22"/>
      <c r="C209" s="20" t="s">
        <v>42</v>
      </c>
      <c r="D209" s="21" t="s">
        <v>38</v>
      </c>
      <c r="E209" t="s">
        <v>34</v>
      </c>
      <c r="F209">
        <f t="shared" ref="F209:G211" si="84">(0.2*0.8+0.2*0.8)*Y32+0.2*0.2*AC32+(1-0.2*0.8-0.2*0.8-0.2*0.2)*U32</f>
        <v>0</v>
      </c>
      <c r="G209">
        <f t="shared" si="84"/>
        <v>0</v>
      </c>
      <c r="I209">
        <f t="shared" ref="I209:J211" si="85">(0.2*0.8+0.2*0.8)*Y39+0.2*0.2*AC39+(1-0.2*0.8-0.2*0.8-0.2*0.2)*U39</f>
        <v>0</v>
      </c>
      <c r="J209">
        <f t="shared" si="85"/>
        <v>0</v>
      </c>
      <c r="O209" s="20" t="s">
        <v>43</v>
      </c>
      <c r="P209" s="21" t="s">
        <v>39</v>
      </c>
      <c r="Q209" t="s">
        <v>34</v>
      </c>
      <c r="R209">
        <f t="shared" ref="R209:S211" si="86">(0.3*0.7+0.3*0.7)*Y32+0.3*0.3*AC32+(1-0.3*0.7-0.3*0.7-0.3*0.3)*U32</f>
        <v>0</v>
      </c>
      <c r="S209">
        <f t="shared" si="86"/>
        <v>0</v>
      </c>
      <c r="U209">
        <f t="shared" ref="U209:V211" si="87">(0.3*0.7+0.3*0.7)*Y39+0.3*0.3*AC39+(1-0.3*0.7-0.3*0.7-0.3*0.3)*U39</f>
        <v>0</v>
      </c>
      <c r="V209">
        <f t="shared" si="87"/>
        <v>0</v>
      </c>
    </row>
    <row r="210" spans="1:25" x14ac:dyDescent="0.25">
      <c r="B210" s="22"/>
      <c r="C210" s="20"/>
      <c r="D210" s="21"/>
      <c r="E210" t="s">
        <v>36</v>
      </c>
      <c r="F210">
        <f t="shared" si="84"/>
        <v>0</v>
      </c>
      <c r="G210">
        <f t="shared" si="84"/>
        <v>0</v>
      </c>
      <c r="I210">
        <f t="shared" si="85"/>
        <v>0</v>
      </c>
      <c r="J210">
        <f t="shared" si="85"/>
        <v>0</v>
      </c>
      <c r="O210" s="20"/>
      <c r="P210" s="21"/>
      <c r="Q210" t="s">
        <v>36</v>
      </c>
      <c r="R210">
        <f t="shared" si="86"/>
        <v>0</v>
      </c>
      <c r="S210">
        <f t="shared" si="86"/>
        <v>0</v>
      </c>
      <c r="U210">
        <f t="shared" si="87"/>
        <v>0</v>
      </c>
      <c r="V210">
        <f t="shared" si="87"/>
        <v>0</v>
      </c>
    </row>
    <row r="211" spans="1:25" x14ac:dyDescent="0.25">
      <c r="B211" s="22"/>
      <c r="C211" s="20"/>
      <c r="D211" s="21"/>
      <c r="E211" t="s">
        <v>37</v>
      </c>
      <c r="F211">
        <f t="shared" si="84"/>
        <v>6.1477999999999999E-4</v>
      </c>
      <c r="G211">
        <f t="shared" si="84"/>
        <v>6.6251600000000004E-4</v>
      </c>
      <c r="I211">
        <f t="shared" si="85"/>
        <v>6.1786400000000009E-4</v>
      </c>
      <c r="J211">
        <f t="shared" si="85"/>
        <v>6.6251600000000004E-4</v>
      </c>
      <c r="L211">
        <f>(0.2*0.8+0.2*0.8)*X46+0.2*0.2*AB46+(1-0.2*0.8-0.2*0.8-0.2*0.2)*T46</f>
        <v>6.400799999999999E-4</v>
      </c>
      <c r="O211" s="20"/>
      <c r="P211" s="21"/>
      <c r="Q211" t="s">
        <v>37</v>
      </c>
      <c r="R211">
        <f t="shared" si="86"/>
        <v>6.3389499999999999E-4</v>
      </c>
      <c r="S211">
        <f t="shared" si="86"/>
        <v>6.8301100000000008E-4</v>
      </c>
      <c r="U211">
        <f t="shared" si="87"/>
        <v>6.3822400000000006E-4</v>
      </c>
      <c r="V211">
        <f t="shared" si="87"/>
        <v>6.8301100000000008E-4</v>
      </c>
      <c r="X211">
        <f>(0.3*0.7+0.3*0.7)*X46+0.3*0.3*AB46+(1-0.3*0.7-0.3*0.7-0.3*0.3)*T46</f>
        <v>6.6167500000000002E-4</v>
      </c>
    </row>
    <row r="214" spans="1:25" x14ac:dyDescent="0.25">
      <c r="D214" s="17" t="s">
        <v>12</v>
      </c>
      <c r="E214" s="17"/>
      <c r="F214" s="17"/>
      <c r="G214" s="17"/>
      <c r="H214" s="17"/>
      <c r="I214" s="18" t="s">
        <v>23</v>
      </c>
      <c r="J214" s="18"/>
      <c r="K214" s="18"/>
      <c r="L214" s="19" t="s">
        <v>24</v>
      </c>
      <c r="M214" s="19"/>
      <c r="N214" s="4"/>
      <c r="P214" s="17" t="s">
        <v>12</v>
      </c>
      <c r="Q214" s="17"/>
      <c r="R214" s="17"/>
      <c r="S214" s="17"/>
      <c r="T214" s="17"/>
      <c r="U214" s="18" t="s">
        <v>23</v>
      </c>
      <c r="V214" s="18"/>
      <c r="W214" s="18"/>
      <c r="X214" s="19" t="s">
        <v>24</v>
      </c>
      <c r="Y214" s="19"/>
    </row>
    <row r="215" spans="1:25" x14ac:dyDescent="0.25">
      <c r="B215" s="4"/>
      <c r="F215" t="s">
        <v>17</v>
      </c>
      <c r="G215" t="s">
        <v>18</v>
      </c>
      <c r="H215" t="s">
        <v>31</v>
      </c>
      <c r="I215" t="s">
        <v>17</v>
      </c>
      <c r="J215" t="s">
        <v>18</v>
      </c>
      <c r="K215" t="s">
        <v>31</v>
      </c>
      <c r="L215" t="s">
        <v>25</v>
      </c>
      <c r="M215" t="s">
        <v>32</v>
      </c>
      <c r="R215" t="s">
        <v>17</v>
      </c>
      <c r="S215" t="s">
        <v>18</v>
      </c>
      <c r="T215" t="s">
        <v>31</v>
      </c>
      <c r="U215" t="s">
        <v>17</v>
      </c>
      <c r="V215" t="s">
        <v>18</v>
      </c>
      <c r="W215" t="s">
        <v>31</v>
      </c>
      <c r="X215" t="s">
        <v>25</v>
      </c>
      <c r="Y215" t="s">
        <v>32</v>
      </c>
    </row>
    <row r="216" spans="1:25" x14ac:dyDescent="0.25">
      <c r="A216" s="22" t="s">
        <v>11</v>
      </c>
      <c r="B216" s="24" t="s">
        <v>44</v>
      </c>
      <c r="C216" s="20" t="s">
        <v>40</v>
      </c>
      <c r="D216" s="21" t="s">
        <v>33</v>
      </c>
      <c r="E216" t="s">
        <v>34</v>
      </c>
      <c r="F216">
        <f t="shared" ref="F216:G218" si="88">3*0.05*(1-0.05)*(1-0.05)*Y32+3*0.05*0.05*(1-0.05)*AC32+0.05*0.05*0.05*AG32+(1-3*0.05*(1-0.05)*(1-0.05)-3*0.05*0.05*(1-0.05)-0.05*0.05*0.05)*U32</f>
        <v>0</v>
      </c>
      <c r="G216">
        <f t="shared" si="88"/>
        <v>0</v>
      </c>
      <c r="H216">
        <f>AI32+AE32+AA32+W32</f>
        <v>0</v>
      </c>
      <c r="I216">
        <f t="shared" ref="I216:J218" si="89">3*0.05*(1-0.05)*(1-0.05)*Y39+3*0.05*0.05*(1-0.05)*AC39+0.05*0.05*0.05*AG39+(1-3*0.05*(1-0.05)*(1-0.05)-3*0.05*0.05*(1-0.05)-0.05*0.05*0.05)*U39</f>
        <v>0</v>
      </c>
      <c r="J216">
        <f t="shared" si="89"/>
        <v>0</v>
      </c>
      <c r="K216">
        <f>AI39+AE39+AA39+W39</f>
        <v>0</v>
      </c>
      <c r="N216" s="24" t="s">
        <v>45</v>
      </c>
      <c r="O216" s="20" t="s">
        <v>41</v>
      </c>
      <c r="P216" s="21" t="s">
        <v>35</v>
      </c>
      <c r="Q216" t="s">
        <v>34</v>
      </c>
      <c r="R216">
        <f t="shared" ref="R216:S218" si="90">3*0.1*(1-0.1)*(1-0.1)*Y32+3*0.1*0.1*(1-0.1)*AC32+0.1*0.1*0.1*AG32+(1-3*0.1*(1-0.1)*(1-0.1)-3*0.1*0.1*(1-0.1)-0.1*0.1*0.1)*U32</f>
        <v>0</v>
      </c>
      <c r="S216">
        <f t="shared" si="90"/>
        <v>0</v>
      </c>
      <c r="U216">
        <f t="shared" ref="U216:V218" si="91">3*0.1*(1-0.1)*(1-0.1)*Y39+3*0.1*0.1*(1-0.1)*AC39+0.1*0.1*0.1*AG39+(1-3*0.1*(1-0.1)*(1-0.1)-3*0.1*0.1*(1-0.1)-0.1*0.1*0.1)*U39</f>
        <v>0</v>
      </c>
      <c r="V216">
        <f t="shared" si="91"/>
        <v>0</v>
      </c>
    </row>
    <row r="217" spans="1:25" x14ac:dyDescent="0.25">
      <c r="A217" s="22"/>
      <c r="B217" s="24"/>
      <c r="C217" s="20"/>
      <c r="D217" s="21"/>
      <c r="E217" t="s">
        <v>36</v>
      </c>
      <c r="F217">
        <f t="shared" si="88"/>
        <v>0</v>
      </c>
      <c r="G217">
        <f t="shared" si="88"/>
        <v>0</v>
      </c>
      <c r="H217">
        <f>AI33+AE33+AA33+W33</f>
        <v>0</v>
      </c>
      <c r="I217">
        <f t="shared" si="89"/>
        <v>0</v>
      </c>
      <c r="J217">
        <f t="shared" si="89"/>
        <v>0</v>
      </c>
      <c r="K217">
        <f>AI40+AE40+AA40+W40</f>
        <v>0</v>
      </c>
      <c r="N217" s="24"/>
      <c r="O217" s="20"/>
      <c r="P217" s="21"/>
      <c r="Q217" t="s">
        <v>36</v>
      </c>
      <c r="R217">
        <f t="shared" si="90"/>
        <v>0</v>
      </c>
      <c r="S217">
        <f t="shared" si="90"/>
        <v>0</v>
      </c>
      <c r="U217">
        <f t="shared" si="91"/>
        <v>0</v>
      </c>
      <c r="V217">
        <f t="shared" si="91"/>
        <v>0</v>
      </c>
    </row>
    <row r="218" spans="1:25" x14ac:dyDescent="0.25">
      <c r="A218" s="22"/>
      <c r="B218" s="24"/>
      <c r="C218" s="20"/>
      <c r="D218" s="21"/>
      <c r="E218" t="s">
        <v>37</v>
      </c>
      <c r="F218">
        <f t="shared" si="88"/>
        <v>5.9081191249999994E-4</v>
      </c>
      <c r="G218">
        <f t="shared" si="88"/>
        <v>6.3683425000000005E-4</v>
      </c>
      <c r="H218">
        <f>AI34+AE34+AA34+W34</f>
        <v>4.4543220000000003</v>
      </c>
      <c r="I218">
        <f t="shared" si="89"/>
        <v>5.9204322499999996E-4</v>
      </c>
      <c r="J218">
        <f t="shared" si="89"/>
        <v>6.3683425000000005E-4</v>
      </c>
      <c r="K218">
        <f>AI41+AE41+AA41+W41</f>
        <v>4.0728369999999998</v>
      </c>
      <c r="L218">
        <f>3*0.05*(1-0.05)*(1-0.05)*X46+3*0.05*0.05*(1-0.05)*AB46+0.05*0.05*0.05*AF46+(1-3*0.05*(1-0.05)*(1-0.05)-3*0.05*0.05*(1-0.05)-0.05*0.05*0.05)*T46</f>
        <v>6.1229647499999986E-4</v>
      </c>
      <c r="M218">
        <f>AI46+AE46+AA46+W46</f>
        <v>7.993170000000001</v>
      </c>
      <c r="N218" s="24"/>
      <c r="O218" s="20"/>
      <c r="P218" s="21"/>
      <c r="Q218" t="s">
        <v>37</v>
      </c>
      <c r="R218">
        <f t="shared" si="90"/>
        <v>6.0519029999999991E-4</v>
      </c>
      <c r="S218">
        <f t="shared" si="90"/>
        <v>6.5223699999999996E-4</v>
      </c>
      <c r="U218">
        <f t="shared" si="91"/>
        <v>6.0750780000000002E-4</v>
      </c>
      <c r="V218">
        <f t="shared" si="91"/>
        <v>6.5223699999999996E-4</v>
      </c>
      <c r="X218">
        <f>3*0.1*(1-0.1)*(1-0.1)*X46+3*0.1*0.1*(1-0.1)*AB46+0.1*0.1*0.1*AF46+(1-3*0.1*(1-0.1)*(1-0.1)-3*0.1*0.1*(1-0.1)-0.1*0.1*0.1)*T46</f>
        <v>6.2892679999999998E-4</v>
      </c>
    </row>
    <row r="219" spans="1:25" x14ac:dyDescent="0.25">
      <c r="A219" s="22"/>
      <c r="C219" s="4"/>
    </row>
    <row r="220" spans="1:25" x14ac:dyDescent="0.25">
      <c r="A220" s="22"/>
      <c r="C220" s="4"/>
    </row>
    <row r="221" spans="1:25" x14ac:dyDescent="0.25">
      <c r="A221" s="22"/>
      <c r="C221" s="4"/>
    </row>
    <row r="222" spans="1:25" x14ac:dyDescent="0.25">
      <c r="A222" s="22"/>
      <c r="B222" s="24" t="s">
        <v>46</v>
      </c>
      <c r="C222" s="20" t="s">
        <v>42</v>
      </c>
      <c r="D222" s="21" t="s">
        <v>38</v>
      </c>
      <c r="E222" t="s">
        <v>34</v>
      </c>
      <c r="F222">
        <f t="shared" ref="F222:G224" si="92">3*0.2*(1-0.2)*(1-0.2)*Y32+3*0.2*0.2*(1-0.2)*AC32+0.2*0.2*0.2*AG32+(1-3*0.2*(1-0.2)*(1-0.2)-3*0.2*0.2*(1-0.2)-0.2*0.2*0.2)*U32</f>
        <v>0</v>
      </c>
      <c r="G222">
        <f t="shared" si="92"/>
        <v>0</v>
      </c>
      <c r="I222">
        <f t="shared" ref="I222:J224" si="93">3*0.2*(1-0.2)*(1-0.2)*Y39+3*0.2*0.2*(1-0.2)*AC39+0.2*0.2*0.2*AG39+(1-3*0.2*(1-0.2)*(1-0.2)-3*0.2*0.2*(1-0.2)-0.2*0.2*0.2)*U39</f>
        <v>0</v>
      </c>
      <c r="J222">
        <f t="shared" si="93"/>
        <v>0</v>
      </c>
      <c r="N222" s="24" t="s">
        <v>47</v>
      </c>
      <c r="O222" s="20" t="s">
        <v>43</v>
      </c>
      <c r="P222" s="21" t="s">
        <v>39</v>
      </c>
      <c r="Q222" t="s">
        <v>34</v>
      </c>
      <c r="R222">
        <f t="shared" ref="R222:S224" si="94">3*0.3*(1-0.3)*(1-0.3)*Y32+3*0.3*0.3*(1-0.3)*AC32+0.3*0.3*0.3*AG32+(1-3*0.3*(1-0.3)*(1-0.3)-3*0.3*0.3*(1-0.3)-0.3*0.3*0.3)*U32</f>
        <v>0</v>
      </c>
      <c r="S222">
        <f t="shared" si="94"/>
        <v>0</v>
      </c>
      <c r="U222">
        <f t="shared" ref="U222:V224" si="95">3*0.3*(1-0.3)*(1-0.3)*Y39+3*0.3*0.3*(1-0.3)*AC39+0.3*0.3*0.3*AG39+(1-3*0.3*(1-0.3)*(1-0.3)-3*0.3*0.3*(1-0.3)-0.3*0.3*0.3)*U39</f>
        <v>0</v>
      </c>
      <c r="V222">
        <f t="shared" si="95"/>
        <v>0</v>
      </c>
    </row>
    <row r="223" spans="1:25" x14ac:dyDescent="0.25">
      <c r="A223" s="22"/>
      <c r="B223" s="24"/>
      <c r="C223" s="20"/>
      <c r="D223" s="21"/>
      <c r="E223" t="s">
        <v>36</v>
      </c>
      <c r="F223">
        <f t="shared" si="92"/>
        <v>0</v>
      </c>
      <c r="G223">
        <f t="shared" si="92"/>
        <v>0</v>
      </c>
      <c r="I223">
        <f t="shared" si="93"/>
        <v>0</v>
      </c>
      <c r="J223">
        <f t="shared" si="93"/>
        <v>0</v>
      </c>
      <c r="N223" s="24"/>
      <c r="O223" s="20"/>
      <c r="P223" s="21"/>
      <c r="Q223" t="s">
        <v>36</v>
      </c>
      <c r="R223">
        <f t="shared" si="94"/>
        <v>0</v>
      </c>
      <c r="S223">
        <f t="shared" si="94"/>
        <v>0</v>
      </c>
      <c r="U223">
        <f t="shared" si="95"/>
        <v>0</v>
      </c>
      <c r="V223">
        <f t="shared" si="95"/>
        <v>0</v>
      </c>
    </row>
    <row r="224" spans="1:25" x14ac:dyDescent="0.25">
      <c r="A224" s="22"/>
      <c r="B224" s="24"/>
      <c r="C224" s="20"/>
      <c r="D224" s="21"/>
      <c r="E224" t="s">
        <v>37</v>
      </c>
      <c r="F224">
        <f t="shared" si="92"/>
        <v>6.3386239999999993E-4</v>
      </c>
      <c r="G224">
        <f t="shared" si="92"/>
        <v>6.8294800000000006E-4</v>
      </c>
      <c r="I224">
        <f t="shared" si="93"/>
        <v>6.3793040000000001E-4</v>
      </c>
      <c r="J224">
        <f t="shared" si="93"/>
        <v>6.8294800000000006E-4</v>
      </c>
      <c r="L224">
        <f>3*0.2*(1-0.2)*(1-0.2)*X46+3*0.2*0.2*(1-0.2)*AB46+0.2*0.2*0.2*AF46+(1-3*0.2*(1-0.2)*(1-0.2)-3*0.2*0.2*(1-0.2)-0.2*0.2*0.2)*T46</f>
        <v>6.6121439999999995E-4</v>
      </c>
      <c r="N224" s="24"/>
      <c r="O224" s="20"/>
      <c r="P224" s="21"/>
      <c r="Q224" t="s">
        <v>37</v>
      </c>
      <c r="R224">
        <f t="shared" si="94"/>
        <v>6.6244809999999998E-4</v>
      </c>
      <c r="S224">
        <f t="shared" si="94"/>
        <v>7.1353299999999992E-4</v>
      </c>
      <c r="U224">
        <f t="shared" si="95"/>
        <v>6.6772659999999998E-4</v>
      </c>
      <c r="V224">
        <f t="shared" si="95"/>
        <v>7.1353299999999992E-4</v>
      </c>
      <c r="X224">
        <f>3*0.3*(1-0.3)*(1-0.3)*X46+3*0.3*0.3*(1-0.3)*AB46+0.3*0.3*0.3*AF46+(1-3*0.3*(1-0.3)*(1-0.3)-3*0.3*0.3*(1-0.3)-0.3*0.3*0.3)*T46</f>
        <v>6.9241359999999989E-4</v>
      </c>
    </row>
    <row r="227" spans="1:25" x14ac:dyDescent="0.25">
      <c r="A227" s="1" t="s">
        <v>28</v>
      </c>
      <c r="D227" s="17" t="s">
        <v>12</v>
      </c>
      <c r="E227" s="17"/>
      <c r="F227" s="17"/>
      <c r="G227" s="17"/>
      <c r="H227" s="17"/>
      <c r="I227" s="18" t="s">
        <v>23</v>
      </c>
      <c r="J227" s="18"/>
      <c r="K227" s="18"/>
      <c r="L227" s="19" t="s">
        <v>24</v>
      </c>
      <c r="M227" s="19"/>
      <c r="N227" s="7"/>
      <c r="P227" s="17" t="s">
        <v>12</v>
      </c>
      <c r="Q227" s="17"/>
      <c r="R227" s="17"/>
      <c r="S227" s="17"/>
      <c r="T227" s="17"/>
      <c r="U227" s="18" t="s">
        <v>23</v>
      </c>
      <c r="V227" s="18"/>
      <c r="W227" s="18"/>
      <c r="X227" s="19" t="s">
        <v>24</v>
      </c>
      <c r="Y227" s="19"/>
    </row>
    <row r="228" spans="1:25" x14ac:dyDescent="0.25">
      <c r="F228" t="s">
        <v>17</v>
      </c>
      <c r="G228" t="s">
        <v>18</v>
      </c>
      <c r="H228" t="s">
        <v>31</v>
      </c>
      <c r="I228" t="s">
        <v>17</v>
      </c>
      <c r="J228" t="s">
        <v>18</v>
      </c>
      <c r="K228" t="s">
        <v>31</v>
      </c>
      <c r="L228" t="s">
        <v>25</v>
      </c>
      <c r="M228" t="s">
        <v>32</v>
      </c>
      <c r="R228" t="s">
        <v>17</v>
      </c>
      <c r="S228" t="s">
        <v>18</v>
      </c>
      <c r="T228" t="s">
        <v>31</v>
      </c>
      <c r="U228" t="s">
        <v>17</v>
      </c>
      <c r="V228" t="s">
        <v>18</v>
      </c>
      <c r="W228" t="s">
        <v>31</v>
      </c>
      <c r="X228" t="s">
        <v>25</v>
      </c>
      <c r="Y228" t="s">
        <v>32</v>
      </c>
    </row>
    <row r="229" spans="1:25" x14ac:dyDescent="0.25">
      <c r="C229" s="22" t="s">
        <v>9</v>
      </c>
      <c r="D229" s="21" t="s">
        <v>33</v>
      </c>
      <c r="E229" t="s">
        <v>34</v>
      </c>
      <c r="F229">
        <f t="shared" ref="F229:G231" si="96">0.05*G52+(1-0.05)*C52</f>
        <v>0</v>
      </c>
      <c r="G229">
        <f t="shared" si="96"/>
        <v>0</v>
      </c>
      <c r="H229">
        <f>I52+E52</f>
        <v>0</v>
      </c>
      <c r="I229">
        <f t="shared" ref="I229:J231" si="97">0.05*G59+(1-0.05)*C59</f>
        <v>0</v>
      </c>
      <c r="J229">
        <f t="shared" si="97"/>
        <v>0</v>
      </c>
      <c r="K229">
        <f>I59+E59</f>
        <v>0</v>
      </c>
      <c r="P229" s="21" t="s">
        <v>35</v>
      </c>
      <c r="Q229" t="s">
        <v>34</v>
      </c>
      <c r="R229">
        <f t="shared" ref="R229:S231" si="98">0.1*G52+(1-0.1)*C52</f>
        <v>0</v>
      </c>
      <c r="S229">
        <f t="shared" si="98"/>
        <v>0</v>
      </c>
      <c r="U229">
        <f t="shared" ref="U229:V231" si="99">0.1*G59+(1-0.1)*C59</f>
        <v>0</v>
      </c>
      <c r="V229">
        <f t="shared" si="99"/>
        <v>0</v>
      </c>
    </row>
    <row r="230" spans="1:25" x14ac:dyDescent="0.25">
      <c r="C230" s="22"/>
      <c r="D230" s="21"/>
      <c r="E230" t="s">
        <v>36</v>
      </c>
      <c r="F230">
        <f t="shared" si="96"/>
        <v>0</v>
      </c>
      <c r="G230">
        <f t="shared" si="96"/>
        <v>0</v>
      </c>
      <c r="H230">
        <f>I53+E53</f>
        <v>0</v>
      </c>
      <c r="I230">
        <f t="shared" si="97"/>
        <v>0</v>
      </c>
      <c r="J230">
        <f t="shared" si="97"/>
        <v>0</v>
      </c>
      <c r="K230">
        <f>I60+E60</f>
        <v>0</v>
      </c>
      <c r="P230" s="21"/>
      <c r="Q230" t="s">
        <v>36</v>
      </c>
      <c r="R230">
        <f t="shared" si="98"/>
        <v>0</v>
      </c>
      <c r="S230">
        <f t="shared" si="98"/>
        <v>0</v>
      </c>
      <c r="U230">
        <f t="shared" si="99"/>
        <v>0</v>
      </c>
      <c r="V230">
        <f t="shared" si="99"/>
        <v>0</v>
      </c>
    </row>
    <row r="231" spans="1:25" x14ac:dyDescent="0.25">
      <c r="C231" s="22"/>
      <c r="D231" s="21"/>
      <c r="E231" t="s">
        <v>37</v>
      </c>
      <c r="F231">
        <f t="shared" si="96"/>
        <v>3.0237500000000002E-4</v>
      </c>
      <c r="G231">
        <f t="shared" si="96"/>
        <v>4.2317499999999997E-4</v>
      </c>
      <c r="H231">
        <f>I54+E54</f>
        <v>2.0266859999999998</v>
      </c>
      <c r="I231">
        <f t="shared" si="97"/>
        <v>3.0370499999999998E-4</v>
      </c>
      <c r="J231">
        <f t="shared" si="97"/>
        <v>4.2243499999999998E-4</v>
      </c>
      <c r="K231">
        <f>I61+E61</f>
        <v>2.0064630000000001</v>
      </c>
      <c r="L231">
        <f>0.05*F66+(1-0.05)*B66</f>
        <v>3.7704000000000004E-4</v>
      </c>
      <c r="M231">
        <f>I66+E66</f>
        <v>3.3433539999999997</v>
      </c>
      <c r="P231" s="21"/>
      <c r="Q231" t="s">
        <v>37</v>
      </c>
      <c r="R231">
        <f t="shared" si="98"/>
        <v>3.0525000000000002E-4</v>
      </c>
      <c r="S231">
        <f t="shared" si="98"/>
        <v>4.2705000000000005E-4</v>
      </c>
      <c r="U231">
        <f t="shared" si="99"/>
        <v>3.0791E-4</v>
      </c>
      <c r="V231">
        <f t="shared" si="99"/>
        <v>4.2547000000000006E-4</v>
      </c>
      <c r="X231">
        <f>0.1*F66+(1-0.1)*B66</f>
        <v>3.8078000000000005E-4</v>
      </c>
    </row>
    <row r="232" spans="1:25" x14ac:dyDescent="0.25">
      <c r="C232" s="22"/>
    </row>
    <row r="233" spans="1:25" x14ac:dyDescent="0.25">
      <c r="C233" s="22"/>
    </row>
    <row r="234" spans="1:25" x14ac:dyDescent="0.25">
      <c r="C234" s="22"/>
    </row>
    <row r="235" spans="1:25" x14ac:dyDescent="0.25">
      <c r="C235" s="22"/>
      <c r="D235" s="21" t="s">
        <v>38</v>
      </c>
      <c r="E235" t="s">
        <v>34</v>
      </c>
      <c r="F235">
        <f t="shared" ref="F235:G237" si="100">0.2*G52+(1-0.2)*C52</f>
        <v>0</v>
      </c>
      <c r="G235">
        <f t="shared" si="100"/>
        <v>0</v>
      </c>
      <c r="I235">
        <f t="shared" ref="I235:J237" si="101">0.2*G59+(1-0.2)*C59</f>
        <v>0</v>
      </c>
      <c r="J235">
        <f t="shared" si="101"/>
        <v>0</v>
      </c>
      <c r="P235" s="21" t="s">
        <v>39</v>
      </c>
      <c r="Q235" t="s">
        <v>34</v>
      </c>
      <c r="R235">
        <f t="shared" ref="R235:S237" si="102">0.3*G52+(1-0.3)*C52</f>
        <v>0</v>
      </c>
      <c r="S235">
        <f t="shared" si="102"/>
        <v>0</v>
      </c>
      <c r="U235">
        <f t="shared" ref="U235:V237" si="103">0.3*G59+(1-0.3)*C59</f>
        <v>0</v>
      </c>
      <c r="V235">
        <f t="shared" si="103"/>
        <v>0</v>
      </c>
    </row>
    <row r="236" spans="1:25" x14ac:dyDescent="0.25">
      <c r="C236" s="22"/>
      <c r="D236" s="21"/>
      <c r="E236" t="s">
        <v>36</v>
      </c>
      <c r="F236">
        <f t="shared" si="100"/>
        <v>0</v>
      </c>
      <c r="G236">
        <f t="shared" si="100"/>
        <v>0</v>
      </c>
      <c r="I236">
        <f t="shared" si="101"/>
        <v>0</v>
      </c>
      <c r="J236">
        <f t="shared" si="101"/>
        <v>0</v>
      </c>
      <c r="P236" s="21"/>
      <c r="Q236" t="s">
        <v>36</v>
      </c>
      <c r="R236">
        <f t="shared" si="102"/>
        <v>0</v>
      </c>
      <c r="S236">
        <f t="shared" si="102"/>
        <v>0</v>
      </c>
      <c r="U236">
        <f t="shared" si="103"/>
        <v>0</v>
      </c>
      <c r="V236">
        <f t="shared" si="103"/>
        <v>0</v>
      </c>
    </row>
    <row r="237" spans="1:25" x14ac:dyDescent="0.25">
      <c r="C237" s="22"/>
      <c r="D237" s="21"/>
      <c r="E237" t="s">
        <v>37</v>
      </c>
      <c r="F237">
        <f t="shared" si="100"/>
        <v>3.1100000000000002E-4</v>
      </c>
      <c r="G237">
        <f t="shared" si="100"/>
        <v>4.348E-4</v>
      </c>
      <c r="I237">
        <f t="shared" si="101"/>
        <v>3.1632000000000003E-4</v>
      </c>
      <c r="J237">
        <f t="shared" si="101"/>
        <v>4.3154000000000001E-4</v>
      </c>
      <c r="L237">
        <f>0.2*F66+(1-0.2)*B66</f>
        <v>3.8826000000000003E-4</v>
      </c>
      <c r="P237" s="21"/>
      <c r="Q237" t="s">
        <v>37</v>
      </c>
      <c r="R237">
        <f t="shared" si="102"/>
        <v>3.1674999999999997E-4</v>
      </c>
      <c r="S237">
        <f t="shared" si="102"/>
        <v>4.4255E-4</v>
      </c>
      <c r="U237">
        <f t="shared" si="103"/>
        <v>3.2472999999999996E-4</v>
      </c>
      <c r="V237">
        <f t="shared" si="103"/>
        <v>4.3760999999999995E-4</v>
      </c>
      <c r="X237">
        <f>0.3*F66+(1-0.3)*B66</f>
        <v>3.9574E-4</v>
      </c>
    </row>
    <row r="240" spans="1:25" x14ac:dyDescent="0.25">
      <c r="D240" s="17" t="s">
        <v>12</v>
      </c>
      <c r="E240" s="17"/>
      <c r="F240" s="17"/>
      <c r="G240" s="17"/>
      <c r="H240" s="17"/>
      <c r="I240" s="18" t="s">
        <v>23</v>
      </c>
      <c r="J240" s="18"/>
      <c r="K240" s="18"/>
      <c r="L240" s="19" t="s">
        <v>24</v>
      </c>
      <c r="M240" s="19"/>
      <c r="N240" s="4"/>
      <c r="P240" s="17" t="s">
        <v>12</v>
      </c>
      <c r="Q240" s="17"/>
      <c r="R240" s="17"/>
      <c r="S240" s="17"/>
      <c r="T240" s="17"/>
      <c r="U240" s="18" t="s">
        <v>23</v>
      </c>
      <c r="V240" s="18"/>
      <c r="W240" s="18"/>
      <c r="X240" s="19" t="s">
        <v>24</v>
      </c>
      <c r="Y240" s="19"/>
    </row>
    <row r="241" spans="1:25" x14ac:dyDescent="0.25">
      <c r="F241" t="s">
        <v>17</v>
      </c>
      <c r="G241" t="s">
        <v>18</v>
      </c>
      <c r="H241" t="s">
        <v>31</v>
      </c>
      <c r="I241" t="s">
        <v>17</v>
      </c>
      <c r="J241" t="s">
        <v>18</v>
      </c>
      <c r="K241" t="s">
        <v>31</v>
      </c>
      <c r="L241" t="s">
        <v>25</v>
      </c>
      <c r="M241" t="s">
        <v>32</v>
      </c>
      <c r="R241" t="s">
        <v>17</v>
      </c>
      <c r="S241" t="s">
        <v>18</v>
      </c>
      <c r="T241" t="s">
        <v>31</v>
      </c>
      <c r="U241" t="s">
        <v>17</v>
      </c>
      <c r="V241" t="s">
        <v>18</v>
      </c>
      <c r="W241" t="s">
        <v>31</v>
      </c>
      <c r="X241" t="s">
        <v>25</v>
      </c>
      <c r="Y241" t="s">
        <v>32</v>
      </c>
    </row>
    <row r="242" spans="1:25" x14ac:dyDescent="0.25">
      <c r="B242" s="22" t="s">
        <v>10</v>
      </c>
      <c r="C242" s="20" t="s">
        <v>40</v>
      </c>
      <c r="D242" s="21" t="s">
        <v>33</v>
      </c>
      <c r="E242" t="s">
        <v>34</v>
      </c>
      <c r="F242">
        <f t="shared" ref="F242:G244" si="104">(0.05*(1-0.05)+0.05*(1-0.05))*G52+0.05*0.05*K52+(1-0.05*(1-0.05)-0.05*(1-0.05)-0.05*0.05)*C52</f>
        <v>0</v>
      </c>
      <c r="G242">
        <f t="shared" si="104"/>
        <v>0</v>
      </c>
      <c r="H242">
        <f>M52+I52+E52</f>
        <v>0</v>
      </c>
      <c r="I242">
        <f t="shared" ref="I242:J244" si="105">(0.05*(1-0.05)+0.05*(1-0.05))*G59+0.05*0.05*K59+(1-0.05*(1-0.05)-0.05*(1-0.05)-0.05*0.05)*C59</f>
        <v>0</v>
      </c>
      <c r="J242">
        <f t="shared" si="105"/>
        <v>0</v>
      </c>
      <c r="K242">
        <f>M59+I59+E59</f>
        <v>0</v>
      </c>
      <c r="O242" s="20" t="s">
        <v>41</v>
      </c>
      <c r="P242" s="21" t="s">
        <v>35</v>
      </c>
      <c r="Q242" t="s">
        <v>34</v>
      </c>
      <c r="R242">
        <f t="shared" ref="R242:S244" si="106">(0.1*0.9+0.1*0.9)*G52+0.1*0.1*K52+(1-0.1*0.9-0.1*0.9-0.1*0.1)*C52</f>
        <v>0</v>
      </c>
      <c r="S242">
        <f t="shared" si="106"/>
        <v>0</v>
      </c>
      <c r="U242">
        <f t="shared" ref="U242:V244" si="107">(0.1*0.9+0.1*0.9)*G59+0.1*0.1*K59+(1-0.1*0.9-0.1*0.9-0.1*0.1)*C59</f>
        <v>0</v>
      </c>
      <c r="V242">
        <f t="shared" si="107"/>
        <v>0</v>
      </c>
    </row>
    <row r="243" spans="1:25" x14ac:dyDescent="0.25">
      <c r="B243" s="22"/>
      <c r="C243" s="20"/>
      <c r="D243" s="21"/>
      <c r="E243" t="s">
        <v>36</v>
      </c>
      <c r="F243">
        <f t="shared" si="104"/>
        <v>0</v>
      </c>
      <c r="G243">
        <f t="shared" si="104"/>
        <v>0</v>
      </c>
      <c r="H243">
        <f>M53+I53+E53</f>
        <v>0</v>
      </c>
      <c r="I243">
        <f t="shared" si="105"/>
        <v>0</v>
      </c>
      <c r="J243">
        <f t="shared" si="105"/>
        <v>0</v>
      </c>
      <c r="K243">
        <f>M60+I60+E60</f>
        <v>0</v>
      </c>
      <c r="O243" s="20"/>
      <c r="P243" s="21"/>
      <c r="Q243" t="s">
        <v>36</v>
      </c>
      <c r="R243">
        <f t="shared" si="106"/>
        <v>0</v>
      </c>
      <c r="S243">
        <f t="shared" si="106"/>
        <v>0</v>
      </c>
      <c r="U243">
        <f t="shared" si="107"/>
        <v>0</v>
      </c>
      <c r="V243">
        <f t="shared" si="107"/>
        <v>0</v>
      </c>
    </row>
    <row r="244" spans="1:25" x14ac:dyDescent="0.25">
      <c r="B244" s="22"/>
      <c r="C244" s="20"/>
      <c r="D244" s="21"/>
      <c r="E244" t="s">
        <v>37</v>
      </c>
      <c r="F244">
        <f t="shared" si="104"/>
        <v>3.0525925000000003E-4</v>
      </c>
      <c r="G244">
        <f t="shared" si="104"/>
        <v>4.2703750000000002E-4</v>
      </c>
      <c r="H244">
        <f>M54+I54+E54</f>
        <v>3.0969860000000002</v>
      </c>
      <c r="I244">
        <f t="shared" si="105"/>
        <v>3.0786150000000005E-4</v>
      </c>
      <c r="J244">
        <f t="shared" si="105"/>
        <v>4.2545050000000002E-4</v>
      </c>
      <c r="K244">
        <f>M61+I61+E61</f>
        <v>3.1350669999999998</v>
      </c>
      <c r="L244">
        <f>(0.05*(1-0.05)+0.05*(1-0.05))*F66+0.05*0.05*J66+(1-0.05*(1-0.05)-0.05*(1-0.05)-0.05*0.05)*B66</f>
        <v>3.8076725000000004E-4</v>
      </c>
      <c r="M244">
        <f>M66+I66+E66</f>
        <v>5.1890090000000004</v>
      </c>
      <c r="O244" s="20"/>
      <c r="P244" s="21"/>
      <c r="Q244" t="s">
        <v>37</v>
      </c>
      <c r="R244">
        <f t="shared" si="106"/>
        <v>3.1103700000000001E-4</v>
      </c>
      <c r="S244">
        <f t="shared" si="106"/>
        <v>4.3475000000000008E-4</v>
      </c>
      <c r="U244">
        <f t="shared" si="107"/>
        <v>3.1612600000000002E-4</v>
      </c>
      <c r="V244">
        <f t="shared" si="107"/>
        <v>4.3146200000000002E-4</v>
      </c>
      <c r="X244">
        <f>(0.1*0.9+0.1*0.9)*F66+0.1*0.1*J66+(1-0.1*0.9-0.1*0.9-0.1*0.1)*B66</f>
        <v>3.8820900000000004E-4</v>
      </c>
    </row>
    <row r="245" spans="1:25" x14ac:dyDescent="0.25">
      <c r="B245" s="22"/>
      <c r="C245" s="4"/>
    </row>
    <row r="246" spans="1:25" x14ac:dyDescent="0.25">
      <c r="B246" s="22"/>
      <c r="C246" s="4"/>
    </row>
    <row r="247" spans="1:25" x14ac:dyDescent="0.25">
      <c r="B247" s="22"/>
      <c r="C247" s="4"/>
    </row>
    <row r="248" spans="1:25" x14ac:dyDescent="0.25">
      <c r="B248" s="22"/>
      <c r="C248" s="20" t="s">
        <v>42</v>
      </c>
      <c r="D248" s="21" t="s">
        <v>38</v>
      </c>
      <c r="E248" t="s">
        <v>34</v>
      </c>
      <c r="F248">
        <f t="shared" ref="F248:G250" si="108">(0.2*0.8+0.2*0.8)*G52+0.2*0.2*K52+(1-0.2*0.8-0.2*0.8-0.2*0.2)*C52</f>
        <v>0</v>
      </c>
      <c r="G248">
        <f t="shared" si="108"/>
        <v>0</v>
      </c>
      <c r="I248">
        <f t="shared" ref="I248:J250" si="109">(0.2*0.8+0.2*0.8)*G59+0.2*0.2*K59+(1-0.2*0.8-0.2*0.8-0.2*0.2)*C59</f>
        <v>0</v>
      </c>
      <c r="J248">
        <f t="shared" si="109"/>
        <v>0</v>
      </c>
      <c r="O248" s="20" t="s">
        <v>43</v>
      </c>
      <c r="P248" s="21" t="s">
        <v>39</v>
      </c>
      <c r="Q248" t="s">
        <v>34</v>
      </c>
      <c r="R248">
        <f t="shared" ref="R248:S250" si="110">(0.3*0.7+0.3*0.7)*G52+0.3*0.3*K52+(1-0.3*0.7-0.3*0.7-0.3*0.3)*C52</f>
        <v>0</v>
      </c>
      <c r="S248">
        <f t="shared" si="110"/>
        <v>0</v>
      </c>
      <c r="U248">
        <f t="shared" ref="U248:V250" si="111">(0.3*0.7+0.3*0.7)*G59+0.3*0.3*K59+(1-0.3*0.7-0.3*0.7-0.3*0.3)*C59</f>
        <v>0</v>
      </c>
      <c r="V248">
        <f t="shared" si="111"/>
        <v>0</v>
      </c>
    </row>
    <row r="249" spans="1:25" x14ac:dyDescent="0.25">
      <c r="B249" s="22"/>
      <c r="C249" s="20"/>
      <c r="D249" s="21"/>
      <c r="E249" t="s">
        <v>36</v>
      </c>
      <c r="F249">
        <f t="shared" si="108"/>
        <v>0</v>
      </c>
      <c r="G249">
        <f t="shared" si="108"/>
        <v>0</v>
      </c>
      <c r="I249">
        <f t="shared" si="109"/>
        <v>0</v>
      </c>
      <c r="J249">
        <f t="shared" si="109"/>
        <v>0</v>
      </c>
      <c r="O249" s="20"/>
      <c r="P249" s="21"/>
      <c r="Q249" t="s">
        <v>36</v>
      </c>
      <c r="R249">
        <f t="shared" si="110"/>
        <v>0</v>
      </c>
      <c r="S249">
        <f t="shared" si="110"/>
        <v>0</v>
      </c>
      <c r="U249">
        <f t="shared" si="111"/>
        <v>0</v>
      </c>
      <c r="V249">
        <f t="shared" si="111"/>
        <v>0</v>
      </c>
    </row>
    <row r="250" spans="1:25" x14ac:dyDescent="0.25">
      <c r="B250" s="22"/>
      <c r="C250" s="20"/>
      <c r="D250" s="21"/>
      <c r="E250" t="s">
        <v>37</v>
      </c>
      <c r="F250">
        <f t="shared" si="108"/>
        <v>3.2264800000000003E-4</v>
      </c>
      <c r="G250">
        <f t="shared" si="108"/>
        <v>4.5010000000000004E-4</v>
      </c>
      <c r="I250">
        <f t="shared" si="109"/>
        <v>3.3236400000000003E-4</v>
      </c>
      <c r="J250">
        <f t="shared" si="109"/>
        <v>4.4336799999999997E-4</v>
      </c>
      <c r="L250">
        <f>(0.2*0.8+0.2*0.8)*F66+0.2*0.2*J66+(1-0.2*0.8-0.2*0.8-0.2*0.2)*B66</f>
        <v>4.0301600000000002E-4</v>
      </c>
      <c r="O250" s="20"/>
      <c r="P250" s="21"/>
      <c r="Q250" t="s">
        <v>37</v>
      </c>
      <c r="R250">
        <f t="shared" si="110"/>
        <v>3.3433300000000003E-4</v>
      </c>
      <c r="S250">
        <f t="shared" si="110"/>
        <v>4.6535000000000006E-4</v>
      </c>
      <c r="U250">
        <f t="shared" si="111"/>
        <v>3.4821400000000001E-4</v>
      </c>
      <c r="V250">
        <f t="shared" si="111"/>
        <v>4.5511800000000007E-4</v>
      </c>
      <c r="X250">
        <f>(0.3*0.7+0.3*0.7)*F66+0.3*0.3*J66+(1-0.3*0.7-0.3*0.7-0.3*0.3)*B66</f>
        <v>4.1772100000000002E-4</v>
      </c>
    </row>
    <row r="253" spans="1:25" x14ac:dyDescent="0.25">
      <c r="D253" s="17" t="s">
        <v>12</v>
      </c>
      <c r="E253" s="17"/>
      <c r="F253" s="17"/>
      <c r="G253" s="17"/>
      <c r="H253" s="17"/>
      <c r="I253" s="18" t="s">
        <v>23</v>
      </c>
      <c r="J253" s="18"/>
      <c r="K253" s="18"/>
      <c r="L253" s="19" t="s">
        <v>24</v>
      </c>
      <c r="M253" s="19"/>
      <c r="N253" s="4"/>
      <c r="P253" s="17" t="s">
        <v>12</v>
      </c>
      <c r="Q253" s="17"/>
      <c r="R253" s="17"/>
      <c r="S253" s="17"/>
      <c r="T253" s="17"/>
      <c r="U253" s="18" t="s">
        <v>23</v>
      </c>
      <c r="V253" s="18"/>
      <c r="W253" s="18"/>
      <c r="X253" s="19" t="s">
        <v>24</v>
      </c>
      <c r="Y253" s="19"/>
    </row>
    <row r="254" spans="1:25" x14ac:dyDescent="0.25">
      <c r="B254" s="4"/>
      <c r="F254" t="s">
        <v>17</v>
      </c>
      <c r="G254" t="s">
        <v>18</v>
      </c>
      <c r="H254" t="s">
        <v>31</v>
      </c>
      <c r="I254" t="s">
        <v>17</v>
      </c>
      <c r="J254" t="s">
        <v>18</v>
      </c>
      <c r="K254" t="s">
        <v>31</v>
      </c>
      <c r="L254" t="s">
        <v>25</v>
      </c>
      <c r="M254" t="s">
        <v>32</v>
      </c>
      <c r="R254" t="s">
        <v>17</v>
      </c>
      <c r="S254" t="s">
        <v>18</v>
      </c>
      <c r="T254" t="s">
        <v>31</v>
      </c>
      <c r="U254" t="s">
        <v>17</v>
      </c>
      <c r="V254" t="s">
        <v>18</v>
      </c>
      <c r="W254" t="s">
        <v>31</v>
      </c>
      <c r="X254" t="s">
        <v>25</v>
      </c>
      <c r="Y254" t="s">
        <v>32</v>
      </c>
    </row>
    <row r="255" spans="1:25" x14ac:dyDescent="0.25">
      <c r="A255" s="22" t="s">
        <v>11</v>
      </c>
      <c r="B255" s="24" t="s">
        <v>44</v>
      </c>
      <c r="C255" s="20" t="s">
        <v>40</v>
      </c>
      <c r="D255" s="21" t="s">
        <v>33</v>
      </c>
      <c r="E255" t="s">
        <v>34</v>
      </c>
      <c r="F255">
        <f t="shared" ref="F255:G257" si="112">3*0.05*(1-0.05)*(1-0.05)*G52+3*0.05*0.05*(1-0.05)*K52+0.05*0.05*0.05*O52+(1-3*0.05*(1-0.05)*(1-0.05)-3*0.05*0.05*(1-0.05)-0.05*0.05*0.05)*C52</f>
        <v>0</v>
      </c>
      <c r="G255">
        <f t="shared" si="112"/>
        <v>0</v>
      </c>
      <c r="H255">
        <f>Q52+M52+I52+E52</f>
        <v>0</v>
      </c>
      <c r="I255">
        <f t="shared" ref="I255:J257" si="113">3*0.05*(1-0.05)*(1-0.05)*G59+3*0.05*0.05*(1-0.05)*K59+0.05*0.05*0.05*O59+(1-3*0.05*(1-0.05)*(1-0.05)-3*0.05*0.05*(1-0.05)-0.05*0.05*0.05)*C59</f>
        <v>0</v>
      </c>
      <c r="J255">
        <f t="shared" si="113"/>
        <v>0</v>
      </c>
      <c r="K255">
        <f>Q59+M59+I59+E59</f>
        <v>0</v>
      </c>
      <c r="N255" s="24" t="s">
        <v>45</v>
      </c>
      <c r="O255" s="20" t="s">
        <v>41</v>
      </c>
      <c r="P255" s="21" t="s">
        <v>35</v>
      </c>
      <c r="Q255" t="s">
        <v>34</v>
      </c>
      <c r="R255">
        <f t="shared" ref="R255:S257" si="114">3*0.1*(1-0.1)*(1-0.1)*G52+3*0.1*0.1*(1-0.1)*K52+0.1*0.1*0.1*O52+(1-3*0.1*(1-0.1)*(1-0.1)-3*0.1*0.1*(1-0.1)-0.1*0.1*0.1)*C52</f>
        <v>0</v>
      </c>
      <c r="S255">
        <f t="shared" si="114"/>
        <v>0</v>
      </c>
      <c r="U255">
        <f t="shared" ref="U255:V257" si="115">3*0.1*(1-0.1)*(1-0.1)*G59+3*0.1*0.1*(1-0.1)*K59+0.1*0.1*0.1*O59+(1-3*0.1*(1-0.1)*(1-0.1)-3*0.1*0.1*(1-0.1)-0.1*0.1*0.1)*C59</f>
        <v>0</v>
      </c>
      <c r="V255">
        <f t="shared" si="115"/>
        <v>0</v>
      </c>
    </row>
    <row r="256" spans="1:25" x14ac:dyDescent="0.25">
      <c r="A256" s="22"/>
      <c r="B256" s="24"/>
      <c r="C256" s="20"/>
      <c r="D256" s="21"/>
      <c r="E256" t="s">
        <v>36</v>
      </c>
      <c r="F256">
        <f t="shared" si="112"/>
        <v>0</v>
      </c>
      <c r="G256">
        <f t="shared" si="112"/>
        <v>0</v>
      </c>
      <c r="H256">
        <f>Q53+M53+I53+E53</f>
        <v>0</v>
      </c>
      <c r="I256">
        <f t="shared" si="113"/>
        <v>0</v>
      </c>
      <c r="J256">
        <f t="shared" si="113"/>
        <v>0</v>
      </c>
      <c r="K256">
        <f>Q60+M60+I60+E60</f>
        <v>0</v>
      </c>
      <c r="N256" s="24"/>
      <c r="O256" s="20"/>
      <c r="P256" s="21"/>
      <c r="Q256" t="s">
        <v>36</v>
      </c>
      <c r="R256">
        <f t="shared" si="114"/>
        <v>0</v>
      </c>
      <c r="S256">
        <f t="shared" si="114"/>
        <v>0</v>
      </c>
      <c r="U256">
        <f t="shared" si="115"/>
        <v>0</v>
      </c>
      <c r="V256">
        <f t="shared" si="115"/>
        <v>0</v>
      </c>
    </row>
    <row r="257" spans="1:24" x14ac:dyDescent="0.25">
      <c r="A257" s="22"/>
      <c r="B257" s="24"/>
      <c r="C257" s="20"/>
      <c r="D257" s="21"/>
      <c r="E257" t="s">
        <v>37</v>
      </c>
      <c r="F257">
        <f t="shared" si="112"/>
        <v>3.0815197499999995E-4</v>
      </c>
      <c r="G257">
        <f t="shared" si="112"/>
        <v>4.3088748749999997E-4</v>
      </c>
      <c r="H257">
        <f>Q54+M54+I54+E54</f>
        <v>4.1184120000000002</v>
      </c>
      <c r="I257">
        <f t="shared" si="113"/>
        <v>3.1197026249999999E-4</v>
      </c>
      <c r="J257">
        <f t="shared" si="113"/>
        <v>4.2845007499999995E-4</v>
      </c>
      <c r="K257">
        <f>Q61+M61+I61+E61</f>
        <v>4.1481240000000001</v>
      </c>
      <c r="L257">
        <f>3*0.05*(1-0.05)*(1-0.05)*F66+3*0.05*0.05*(1-0.05)*J66+0.05*0.05*0.05*N66+(1-3*0.05*(1-0.05)*(1-0.05)-3*0.05*0.05*(1-0.05)-0.05*0.05*0.05)*B66</f>
        <v>3.8448014999999997E-4</v>
      </c>
      <c r="M257">
        <f>Q66+M66+I66+E66</f>
        <v>6.8520139999999996</v>
      </c>
      <c r="N257" s="24"/>
      <c r="O257" s="20"/>
      <c r="P257" s="21"/>
      <c r="Q257" t="s">
        <v>37</v>
      </c>
      <c r="R257">
        <f t="shared" si="114"/>
        <v>3.1685479999999999E-4</v>
      </c>
      <c r="S257">
        <f t="shared" si="114"/>
        <v>4.4239989999999999E-4</v>
      </c>
      <c r="U257">
        <f t="shared" si="115"/>
        <v>3.2415410000000003E-4</v>
      </c>
      <c r="V257">
        <f t="shared" si="115"/>
        <v>4.3740459999999995E-4</v>
      </c>
      <c r="X257">
        <f>3*0.1*(1-0.1)*(1-0.1)*F66+3*0.1*0.1*(1-0.1)*J66+0.1*0.1*0.1*N66+(1-3*0.1*(1-0.1)*(1-0.1)-3*0.1*0.1*(1-0.1)-0.1*0.1*0.1)*B66</f>
        <v>3.9557420000000006E-4</v>
      </c>
    </row>
    <row r="258" spans="1:24" x14ac:dyDescent="0.25">
      <c r="A258" s="22"/>
      <c r="C258" s="4"/>
    </row>
    <row r="259" spans="1:24" x14ac:dyDescent="0.25">
      <c r="A259" s="22"/>
      <c r="C259" s="4"/>
    </row>
    <row r="260" spans="1:24" x14ac:dyDescent="0.25">
      <c r="A260" s="22"/>
      <c r="C260" s="4"/>
    </row>
    <row r="261" spans="1:24" x14ac:dyDescent="0.25">
      <c r="A261" s="22"/>
      <c r="B261" s="24" t="s">
        <v>46</v>
      </c>
      <c r="C261" s="20" t="s">
        <v>42</v>
      </c>
      <c r="D261" s="21" t="s">
        <v>38</v>
      </c>
      <c r="E261" t="s">
        <v>34</v>
      </c>
      <c r="F261">
        <f t="shared" ref="F261:G263" si="116">3*0.2*(1-0.2)*(1-0.2)*G52+3*0.2*0.2*(1-0.2)*K52+0.2*0.2*0.2*O52+(1-3*0.2*(1-0.2)*(1-0.2)-3*0.2*0.2*(1-0.2)-0.2*0.2*0.2)*C52</f>
        <v>0</v>
      </c>
      <c r="G261">
        <f t="shared" si="116"/>
        <v>0</v>
      </c>
      <c r="I261">
        <f t="shared" ref="I261:J263" si="117">3*0.2*(1-0.2)*(1-0.2)*G59+3*0.2*0.2*(1-0.2)*K59+0.2*0.2*0.2*O59+(1-3*0.2*(1-0.2)*(1-0.2)-3*0.2*0.2*(1-0.2)-0.2*0.2*0.2)*C59</f>
        <v>0</v>
      </c>
      <c r="J261">
        <f t="shared" si="117"/>
        <v>0</v>
      </c>
      <c r="N261" s="24" t="s">
        <v>47</v>
      </c>
      <c r="O261" s="20" t="s">
        <v>43</v>
      </c>
      <c r="P261" s="21" t="s">
        <v>39</v>
      </c>
      <c r="Q261" t="s">
        <v>34</v>
      </c>
      <c r="R261">
        <f t="shared" ref="R261:S263" si="118">3*0.3*(1-0.3)*(1-0.3)*G52+3*0.3*0.3*(1-0.3)*K52+0.3*0.3*0.3*O52+(1-3*0.3*(1-0.3)*(1-0.3)-3*0.3*0.3*(1-0.3)-0.3*0.3*0.3)*C52</f>
        <v>0</v>
      </c>
      <c r="S261">
        <f t="shared" si="118"/>
        <v>0</v>
      </c>
      <c r="U261">
        <f t="shared" ref="U261:V263" si="119">3*0.3*(1-0.3)*(1-0.3)*G59+3*0.3*0.3*(1-0.3)*K59+0.3*0.3*0.3*O59+(1-3*0.3*(1-0.3)*(1-0.3)-3*0.3*0.3*(1-0.3)-0.3*0.3*0.3)*C59</f>
        <v>0</v>
      </c>
      <c r="V261">
        <f t="shared" si="119"/>
        <v>0</v>
      </c>
    </row>
    <row r="262" spans="1:24" x14ac:dyDescent="0.25">
      <c r="A262" s="22"/>
      <c r="B262" s="24"/>
      <c r="C262" s="20"/>
      <c r="D262" s="21"/>
      <c r="E262" t="s">
        <v>36</v>
      </c>
      <c r="F262">
        <f t="shared" si="116"/>
        <v>0</v>
      </c>
      <c r="G262">
        <f t="shared" si="116"/>
        <v>0</v>
      </c>
      <c r="I262">
        <f t="shared" si="117"/>
        <v>0</v>
      </c>
      <c r="J262">
        <f t="shared" si="117"/>
        <v>0</v>
      </c>
      <c r="N262" s="24"/>
      <c r="O262" s="20"/>
      <c r="P262" s="21"/>
      <c r="Q262" t="s">
        <v>36</v>
      </c>
      <c r="R262">
        <f t="shared" si="118"/>
        <v>0</v>
      </c>
      <c r="S262">
        <f t="shared" si="118"/>
        <v>0</v>
      </c>
      <c r="U262">
        <f t="shared" si="119"/>
        <v>0</v>
      </c>
      <c r="V262">
        <f t="shared" si="119"/>
        <v>0</v>
      </c>
    </row>
    <row r="263" spans="1:24" x14ac:dyDescent="0.25">
      <c r="A263" s="22"/>
      <c r="B263" s="24"/>
      <c r="C263" s="20"/>
      <c r="D263" s="21"/>
      <c r="E263" t="s">
        <v>37</v>
      </c>
      <c r="F263">
        <f t="shared" si="116"/>
        <v>3.3439439999999998E-4</v>
      </c>
      <c r="G263">
        <f t="shared" si="116"/>
        <v>4.6519920000000003E-4</v>
      </c>
      <c r="I263">
        <f t="shared" si="117"/>
        <v>3.4768080000000001E-4</v>
      </c>
      <c r="J263">
        <f t="shared" si="117"/>
        <v>4.5511279999999998E-4</v>
      </c>
      <c r="L263">
        <f>3*0.2*(1-0.2)*(1-0.2)*F66+3*0.2*0.2*(1-0.2)*J66+0.2*0.2*0.2*N66+(1-3*0.2*(1-0.2)*(1-0.2)-3*0.2*0.2*(1-0.2)-0.2*0.2*0.2)*B66</f>
        <v>4.1746559999999999E-4</v>
      </c>
      <c r="N263" s="24"/>
      <c r="O263" s="20"/>
      <c r="P263" s="21"/>
      <c r="Q263" t="s">
        <v>37</v>
      </c>
      <c r="R263">
        <f t="shared" si="118"/>
        <v>3.5208160000000001E-4</v>
      </c>
      <c r="S263">
        <f t="shared" si="118"/>
        <v>4.8769730000000004E-4</v>
      </c>
      <c r="U263">
        <f t="shared" si="119"/>
        <v>3.701167E-4</v>
      </c>
      <c r="V263">
        <f t="shared" si="119"/>
        <v>4.726962E-4</v>
      </c>
      <c r="X263">
        <f>3*0.3*(1-0.3)*(1-0.3)*F66+3*0.3*0.3*(1-0.3)*J66+0.3*0.3*0.3*N66+(1-3*0.3*(1-0.3)*(1-0.3)-3*0.3*0.3*(1-0.3)-0.3*0.3*0.3)*B66</f>
        <v>4.3889739999999997E-4</v>
      </c>
    </row>
  </sheetData>
  <mergeCells count="341"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O248:O25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</mergeCells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50根构件</vt:lpstr>
      <vt:lpstr>47根构件 </vt:lpstr>
      <vt:lpstr>45根构件 </vt:lpstr>
      <vt:lpstr>43根构件 </vt:lpstr>
      <vt:lpstr>40根构件 </vt:lpstr>
      <vt:lpstr>39根构件  </vt:lpstr>
      <vt:lpstr>35根构件 </vt:lpstr>
      <vt:lpstr>31根构件  </vt:lpstr>
      <vt:lpstr>30根构件 </vt:lpstr>
      <vt:lpstr>28根构件</vt:lpstr>
      <vt:lpstr>27根构件 </vt:lpstr>
      <vt:lpstr>26根构件</vt:lpstr>
      <vt:lpstr>24根构件</vt:lpstr>
      <vt:lpstr>23根构件 </vt:lpstr>
      <vt:lpstr>22根构件 </vt:lpstr>
      <vt:lpstr>20根构件</vt:lpstr>
      <vt:lpstr>19根构件 </vt:lpstr>
      <vt:lpstr>18根构件  </vt:lpstr>
      <vt:lpstr>16根构件  </vt:lpstr>
      <vt:lpstr>15根构件 </vt:lpstr>
      <vt:lpstr>14根构件</vt:lpstr>
      <vt:lpstr>13根构件</vt:lpstr>
      <vt:lpstr>12根构件  </vt:lpstr>
      <vt:lpstr>11根构件 </vt:lpstr>
      <vt:lpstr>10根构件 </vt:lpstr>
      <vt:lpstr>9根构件</vt:lpstr>
      <vt:lpstr>8根构件 </vt:lpstr>
      <vt:lpstr>7根构件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Windows 用户</cp:lastModifiedBy>
  <dcterms:created xsi:type="dcterms:W3CDTF">2018-02-27T11:14:00Z</dcterms:created>
  <dcterms:modified xsi:type="dcterms:W3CDTF">2019-06-23T09:37:10Z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