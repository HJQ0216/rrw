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相关系数对比" sheetId="2" r:id="rId1"/>
    <sheet name="构件总数对比" sheetId="3" r:id="rId2"/>
    <sheet name="可靠度指标对比" sheetId="4" r:id="rId3"/>
    <sheet name="潜在脆性数量对比" sheetId="5" r:id="rId4"/>
  </sheets>
  <definedNames>
    <definedName name="_xlnm._FilterDatabase" localSheetId="0" hidden="1">相关系数对比!$A$3:$V$8</definedName>
    <definedName name="_xlnm._FilterDatabase" localSheetId="1" hidden="1">构件总数对比!$A$3:$T$14</definedName>
    <definedName name="_xlnm._FilterDatabase" localSheetId="2" hidden="1">可靠度指标对比!$A$3:$V$11</definedName>
    <definedName name="_xlnm._FilterDatabase" localSheetId="3" hidden="1">潜在脆性数量对比!$A$3:$V$6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<sst xmlns="http://schemas.openxmlformats.org/spreadsheetml/2006/main" count="153" uniqueCount="54">
  <si>
    <t>相关系数单参数：RAW复现与论文数据对比</t>
  </si>
  <si>
    <t>固定参数：n=8，n₁=1，β=3.0，Pbi=0.2；ρ=0.1、0.3、0.5、0.7、0.9</t>
  </si>
  <si>
    <t>相关系数 ρ</t>
  </si>
  <si>
    <t>构件总数 n</t>
  </si>
  <si>
    <t>潜在脆性构件数 n₁</t>
  </si>
  <si>
    <t>可靠度指标 β</t>
  </si>
  <si>
    <t>脆性发生概率 Pbi</t>
  </si>
  <si>
    <t>复现 Ps 下界</t>
  </si>
  <si>
    <t>复现 Ps 上界</t>
  </si>
  <si>
    <t>复现 Psnew 下界</t>
  </si>
  <si>
    <t>复现 Psnew 上界</t>
  </si>
  <si>
    <t>复现 RAW 下界</t>
  </si>
  <si>
    <t>复现 RAW 上界</t>
  </si>
  <si>
    <t>复现 RAW 平均值</t>
  </si>
  <si>
    <t>论文 RAW 下界</t>
  </si>
  <si>
    <t>论文 RAW 上界</t>
  </si>
  <si>
    <t>论文 RAW 平均值</t>
  </si>
  <si>
    <t>下界差值</t>
  </si>
  <si>
    <t>上界差值</t>
  </si>
  <si>
    <t>平均值差值</t>
  </si>
  <si>
    <t>比对结论</t>
  </si>
  <si>
    <t>原始数据来源</t>
  </si>
  <si>
    <t>论文数据来源</t>
  </si>
  <si>
    <t>一致</t>
  </si>
  <si>
    <t>Ps={8根构件:C13/D13×0.8; G13/H13×0.2}; Psnew={7根构件:C13/D13×1}</t>
  </si>
  <si>
    <t>数据串联系统.xlsx!A3</t>
  </si>
  <si>
    <t>Ps={8根构件:U13/V13×0.8; Y13/Z13×0.2}; Psnew={7根构件:U13/V13×1}</t>
  </si>
  <si>
    <t>数据串联系统.xlsx!A6</t>
  </si>
  <si>
    <t>Ps={8根构件:C34/D34×0.8; G34/H34×0.2}; Psnew={7根构件:C34/D34×1}</t>
  </si>
  <si>
    <t>数据串联系统.xlsx!A9</t>
  </si>
  <si>
    <t>Ps={8根构件:U34/V34×0.8; Y34/Z34×0.2}; Psnew={7根构件:U34/V34×1}</t>
  </si>
  <si>
    <t>数据串联系统.xlsx!A12</t>
  </si>
  <si>
    <t>Ps={8根构件:C54/D54×0.8; G54/H54×0.2}; Psnew={7根构件:C54/D54×1}</t>
  </si>
  <si>
    <t>数据串联系统.xlsx!A15</t>
  </si>
  <si>
    <t>构件总数单参数：RAW复现与论文数据对比</t>
  </si>
  <si>
    <t>固定参数：n₁=1，β=3.0，ρ=0.1，Pbi=0.2；n=8、12、16、20、24、28、32、36、40、44、48</t>
  </si>
  <si>
    <t>不一致</t>
  </si>
  <si>
    <t>可靠度指标单参数：RAW复现与论文数据对比</t>
  </si>
  <si>
    <t>固定参数：n=10，n₁=1，ρ=0.1，Pbi=0.2；论文图2.8参数范围β=3.0~3.6。当前原始RLP文件仅有β=3.0。</t>
  </si>
  <si>
    <t>Ps={10根构件:C13/D13×0.8; G13/H13×0.2}; Psnew={9根构件:C13/D13×1}</t>
  </si>
  <si>
    <t>数据串联系统.xlsx!Z130:AB130</t>
  </si>
  <si>
    <t>缺少该β的原始RLP Ps/Psnew，无法复现</t>
  </si>
  <si>
    <t/>
  </si>
  <si>
    <t>数据串联系统.xlsx中未找到该β对应的最终精确RAW数据</t>
  </si>
  <si>
    <t>数据串联系统.xlsx!Z131:AB131（该值与最终论文图2.8曲线不一致）</t>
  </si>
  <si>
    <t>数据文件额外点；缺少β=3.7原始RLP数据</t>
  </si>
  <si>
    <t>数据串联系统.xlsx!Z132:AB132（β=3.7不属于论文图2.8的3.0~3.6范围）</t>
  </si>
  <si>
    <t>潜在脆性构件数量单参数：RAW复现与论文数据对比</t>
  </si>
  <si>
    <t>固定参数：n=8，β=3.0，ρ=0.1，Pbi=0.2；n₁=1、2、3</t>
  </si>
  <si>
    <t>数据串联系统.xlsx!B147</t>
  </si>
  <si>
    <t>Ps={8根构件:C13/D13×0.64; G13/H13×0.32; K13/L13×0.04}; Psnew={7根构件:C13/D13×0.8; G13/H13×0.2}</t>
  </si>
  <si>
    <t>数据串联系统.xlsx!B148</t>
  </si>
  <si>
    <t>Ps={8根构件:C13/D13×0.512; G13/H13×0.384; K13/L13×0.096; O13/P13×0.008}; Psnew={7根构件:C13/D13×0.64; G13/H13×0.32; K13/L13×0.04}</t>
  </si>
  <si>
    <t>数据串联系统.xlsx!B149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</si>
</sst>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00000000"/>
  </numFmts>
  <fonts count="24">
    <font>
      <sz val="10.5"/>
      <name val="等线"/>
      <charset val="134"/>
    </font>
    <font>
      <b/>
      <sz val="15"/>
      <color rgb="FF1F4E78"/>
      <name val="等线"/>
      <charset val="134"/>
    </font>
    <font>
      <b/>
      <sz val="10.5"/>
      <color rgb="FFFFFFFF"/>
      <name val="等线"/>
      <charset val="134"/>
    </font>
    <font>
      <b/>
      <sz val="10.5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NumberFormat="1"/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tabSelected="1" workbookViewId="0">
      <pane ySplit="3" topLeftCell="A4" activePane="bottomLeft" state="frozen"/>
      <selection/>
      <selection pane="bottomLeft" activeCell="F20" sqref="F20"/>
    </sheetView>
  </sheetViews>
  <sheetFormatPr defaultColWidth="9" defaultRowHeight="13.8" outlineLevelRow="7"/>
  <cols>
    <col min="1" max="2" width="12" customWidth="1"/>
    <col min="3" max="3" width="16" customWidth="1"/>
    <col min="4" max="5" width="12" customWidth="1"/>
    <col min="6" max="6" width="16" customWidth="1"/>
    <col min="7" max="8" width="15" style="1" customWidth="1"/>
    <col min="9" max="16" width="17" style="1" customWidth="1"/>
    <col min="17" max="19" width="15" style="1" customWidth="1"/>
    <col min="20" max="20" width="20" customWidth="1"/>
    <col min="21" max="21" width="52" customWidth="1"/>
    <col min="22" max="22" width="30" customWidth="1"/>
  </cols>
  <sheetData>
    <row r="1" ht="24" customHeight="1" spans="1:22">
      <c r="A1" s="2" t="s">
        <v>0</v>
      </c>
    </row>
    <row r="2" ht="30" customHeight="1" spans="1:22">
      <c r="A2" s="3" t="s">
        <v>1</v>
      </c>
    </row>
    <row r="3" ht="27.6" spans="1:22">
      <c r="A3" s="4" t="s">
        <v>2</v>
      </c>
      <c r="B3" s="4" t="s">
        <v>3</v>
      </c>
      <c r="C3" s="4" t="s">
        <v>4</v>
      </c>
      <c r="D3" s="4" t="s">
        <v>5</v>
      </c>
      <c r="E3" s="4" t="s">
        <v>2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4" t="s">
        <v>20</v>
      </c>
      <c r="U3" s="4" t="s">
        <v>21</v>
      </c>
      <c r="V3" s="4" t="s">
        <v>22</v>
      </c>
    </row>
    <row r="4" ht="27.6" spans="1:22">
      <c r="A4" s="6">
        <v>0.1</v>
      </c>
      <c r="B4" s="6">
        <v>8</v>
      </c>
      <c r="C4" s="6">
        <v>1</v>
      </c>
      <c r="D4" s="6">
        <v>3</v>
      </c>
      <c r="E4" s="6">
        <v>0.1</v>
      </c>
      <c r="F4" s="6">
        <v>0.2</v>
      </c>
      <c r="G4" s="7">
        <v>0.01092</v>
      </c>
      <c r="H4" s="7">
        <v>0.01092</v>
      </c>
      <c r="I4" s="7">
        <v>0.0093</v>
      </c>
      <c r="J4" s="7">
        <v>0.0093</v>
      </c>
      <c r="K4" s="7">
        <f>I4/G4</f>
        <v>0.851648351648352</v>
      </c>
      <c r="L4" s="7">
        <f>J4/H4</f>
        <v>0.851648351648352</v>
      </c>
      <c r="M4" s="7">
        <f>AVERAGE(K4:L4)</f>
        <v>0.851648351648352</v>
      </c>
      <c r="N4" s="7">
        <v>0.851648351648352</v>
      </c>
      <c r="O4" s="7">
        <v>0.851648351648352</v>
      </c>
      <c r="P4" s="7">
        <v>0.851648351648352</v>
      </c>
      <c r="Q4" s="7">
        <f>K4-N4</f>
        <v>0</v>
      </c>
      <c r="R4" s="7">
        <f>L4-O4</f>
        <v>0</v>
      </c>
      <c r="S4" s="7">
        <f>M4-P4</f>
        <v>0</v>
      </c>
      <c r="T4" s="9" t="s">
        <v>23</v>
      </c>
      <c r="U4" s="10" t="s">
        <v>24</v>
      </c>
      <c r="V4" s="10" t="s">
        <v>25</v>
      </c>
    </row>
    <row r="5" ht="27.6" spans="1:22">
      <c r="A5" s="6">
        <v>0.3</v>
      </c>
      <c r="B5" s="6">
        <v>8</v>
      </c>
      <c r="C5" s="6">
        <v>1</v>
      </c>
      <c r="D5" s="6">
        <v>3</v>
      </c>
      <c r="E5" s="6">
        <v>0.3</v>
      </c>
      <c r="F5" s="6">
        <v>0.2</v>
      </c>
      <c r="G5" s="7">
        <v>0.01042</v>
      </c>
      <c r="H5" s="7">
        <v>0.01042</v>
      </c>
      <c r="I5" s="7">
        <v>0.009</v>
      </c>
      <c r="J5" s="7">
        <v>0.009</v>
      </c>
      <c r="K5" s="7">
        <f>I5/G5</f>
        <v>0.863723608445297</v>
      </c>
      <c r="L5" s="7">
        <f>J5/H5</f>
        <v>0.863723608445297</v>
      </c>
      <c r="M5" s="7">
        <f>AVERAGE(K5:L5)</f>
        <v>0.863723608445297</v>
      </c>
      <c r="N5" s="7">
        <v>0.863723608445297</v>
      </c>
      <c r="O5" s="7">
        <v>0.863723608445297</v>
      </c>
      <c r="P5" s="7">
        <v>0.863723608445297</v>
      </c>
      <c r="Q5" s="7">
        <f>K5-N5</f>
        <v>0</v>
      </c>
      <c r="R5" s="7">
        <f>L5-O5</f>
        <v>0</v>
      </c>
      <c r="S5" s="7">
        <f>M5-P5</f>
        <v>0</v>
      </c>
      <c r="T5" s="9" t="s">
        <v>23</v>
      </c>
      <c r="U5" s="10" t="s">
        <v>26</v>
      </c>
      <c r="V5" s="10" t="s">
        <v>27</v>
      </c>
    </row>
    <row r="6" ht="27.6" spans="1:22">
      <c r="A6" s="6">
        <v>0.5</v>
      </c>
      <c r="B6" s="6">
        <v>8</v>
      </c>
      <c r="C6" s="6">
        <v>1</v>
      </c>
      <c r="D6" s="6">
        <v>3</v>
      </c>
      <c r="E6" s="6">
        <v>0.5</v>
      </c>
      <c r="F6" s="6">
        <v>0.2</v>
      </c>
      <c r="G6" s="7">
        <v>0.009</v>
      </c>
      <c r="H6" s="7">
        <v>0.0095</v>
      </c>
      <c r="I6" s="7">
        <v>0.008</v>
      </c>
      <c r="J6" s="7">
        <v>0.0083</v>
      </c>
      <c r="K6" s="7">
        <f>I6/G6</f>
        <v>0.888888888888889</v>
      </c>
      <c r="L6" s="7">
        <f>J6/H6</f>
        <v>0.873684210526316</v>
      </c>
      <c r="M6" s="7">
        <f>AVERAGE(K6:L6)</f>
        <v>0.881286549707602</v>
      </c>
      <c r="N6" s="7">
        <v>0.888888888888889</v>
      </c>
      <c r="O6" s="7">
        <v>0.873684210526316</v>
      </c>
      <c r="P6" s="7">
        <v>0.881286549707602</v>
      </c>
      <c r="Q6" s="7">
        <f>K6-N6</f>
        <v>0</v>
      </c>
      <c r="R6" s="7">
        <f>L6-O6</f>
        <v>0</v>
      </c>
      <c r="S6" s="7">
        <f>M6-P6</f>
        <v>0</v>
      </c>
      <c r="T6" s="9" t="s">
        <v>23</v>
      </c>
      <c r="U6" s="10" t="s">
        <v>28</v>
      </c>
      <c r="V6" s="10" t="s">
        <v>29</v>
      </c>
    </row>
    <row r="7" ht="27.6" spans="1:22">
      <c r="A7" s="6">
        <v>0.7</v>
      </c>
      <c r="B7" s="6">
        <v>8</v>
      </c>
      <c r="C7" s="6">
        <v>1</v>
      </c>
      <c r="D7" s="6">
        <v>3</v>
      </c>
      <c r="E7" s="6">
        <v>0.7</v>
      </c>
      <c r="F7" s="6">
        <v>0.2</v>
      </c>
      <c r="G7" s="7">
        <v>0.00634</v>
      </c>
      <c r="H7" s="7">
        <v>0.00788</v>
      </c>
      <c r="I7" s="7">
        <v>0.0059</v>
      </c>
      <c r="J7" s="7">
        <v>0.0069</v>
      </c>
      <c r="K7" s="7">
        <f>I7/G7</f>
        <v>0.930599369085173</v>
      </c>
      <c r="L7" s="7">
        <f>J7/H7</f>
        <v>0.875634517766497</v>
      </c>
      <c r="M7" s="7">
        <f>AVERAGE(K7:L7)</f>
        <v>0.903116943425835</v>
      </c>
      <c r="N7" s="7">
        <v>0.930599369085173</v>
      </c>
      <c r="O7" s="7">
        <v>0.875634517766497</v>
      </c>
      <c r="P7" s="7">
        <v>0.903116943425835</v>
      </c>
      <c r="Q7" s="7">
        <f>K7-N7</f>
        <v>0</v>
      </c>
      <c r="R7" s="7">
        <f>L7-O7</f>
        <v>0</v>
      </c>
      <c r="S7" s="7">
        <f>M7-P7</f>
        <v>0</v>
      </c>
      <c r="T7" s="9" t="s">
        <v>23</v>
      </c>
      <c r="U7" s="10" t="s">
        <v>30</v>
      </c>
      <c r="V7" s="10" t="s">
        <v>31</v>
      </c>
    </row>
    <row r="8" ht="27.6" spans="1:22">
      <c r="A8" s="6">
        <v>0.9</v>
      </c>
      <c r="B8" s="6">
        <v>8</v>
      </c>
      <c r="C8" s="6">
        <v>1</v>
      </c>
      <c r="D8" s="6">
        <v>3</v>
      </c>
      <c r="E8" s="6">
        <v>0.9</v>
      </c>
      <c r="F8" s="6">
        <v>0.2</v>
      </c>
      <c r="G8" s="7">
        <v>0.0034</v>
      </c>
      <c r="H8" s="7">
        <v>0.00514</v>
      </c>
      <c r="I8" s="7">
        <v>0.0033</v>
      </c>
      <c r="J8" s="7">
        <v>0.0046</v>
      </c>
      <c r="K8" s="7">
        <f>I8/G8</f>
        <v>0.970588235294118</v>
      </c>
      <c r="L8" s="7">
        <f>J8/H8</f>
        <v>0.894941634241245</v>
      </c>
      <c r="M8" s="7">
        <f>AVERAGE(K8:L8)</f>
        <v>0.932764934767681</v>
      </c>
      <c r="N8" s="7">
        <v>0.970588235294118</v>
      </c>
      <c r="O8" s="7">
        <v>0.894941634241245</v>
      </c>
      <c r="P8" s="7">
        <v>0.932764934767681</v>
      </c>
      <c r="Q8" s="7">
        <f>K8-N8</f>
        <v>0</v>
      </c>
      <c r="R8" s="7">
        <f>L8-O8</f>
        <v>0</v>
      </c>
      <c r="S8" s="7">
        <f>M8-P8</f>
        <v>0</v>
      </c>
      <c r="T8" s="9" t="s">
        <v>23</v>
      </c>
      <c r="U8" s="10" t="s">
        <v>32</v>
      </c>
      <c r="V8" s="10" t="s">
        <v>33</v>
      </c>
    </row>
  </sheetData>
  <autoFilter xmlns:etc="http://www.wps.cn/officeDocument/2017/etCustomData" ref="A3:V8" etc:filterBottomFollowUsedRange="0">
    <extLst/>
  </autoFilter>
  <mergeCells count="2">
    <mergeCell ref="A1:V1"/>
    <mergeCell ref="A2:V2"/>
  </mergeCells>
  <pageMargins left="0.3" right="0.3" top="0.5" bottom="0.5" header="0.3" footer="0.3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workbookViewId="0">
      <pane ySplit="3" topLeftCell="A4" activePane="bottomLeft" state="frozen"/>
      <selection/>
      <selection pane="bottomLeft" activeCell="R20" sqref="R20"/>
    </sheetView>
  </sheetViews>
  <sheetFormatPr defaultColWidth="9" defaultRowHeight="13.8"/>
  <cols>
    <col min="1" max="2" width="12" customWidth="1"/>
    <col min="3" max="3" width="16" customWidth="1"/>
    <col min="4" max="5" width="12" customWidth="1"/>
    <col min="6" max="6" width="16" customWidth="1"/>
    <col min="7" max="8" width="15" style="1" customWidth="1"/>
    <col min="9" max="16" width="17" style="1" customWidth="1"/>
    <col min="17" max="19" width="15" style="1" customWidth="1"/>
    <col min="20" max="20" width="20" customWidth="1"/>
  </cols>
  <sheetData>
    <row r="1" ht="24" customHeight="1" spans="1:20">
      <c r="A1" s="2" t="s">
        <v>34</v>
      </c>
    </row>
    <row r="2" ht="30" customHeight="1" spans="1:20">
      <c r="A2" s="3" t="s">
        <v>35</v>
      </c>
    </row>
    <row r="3" ht="27.6" spans="1:20">
      <c r="A3" s="4" t="s">
        <v>3</v>
      </c>
      <c r="B3" s="4" t="s">
        <v>3</v>
      </c>
      <c r="C3" s="4" t="s">
        <v>4</v>
      </c>
      <c r="D3" s="4" t="s">
        <v>5</v>
      </c>
      <c r="E3" s="4" t="s">
        <v>2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4" t="s">
        <v>20</v>
      </c>
    </row>
    <row r="4" spans="1:20">
      <c r="A4" s="6">
        <v>8</v>
      </c>
      <c r="B4" s="6">
        <v>8</v>
      </c>
      <c r="C4" s="6">
        <v>1</v>
      </c>
      <c r="D4" s="6">
        <v>3</v>
      </c>
      <c r="E4" s="6">
        <v>0.1</v>
      </c>
      <c r="F4" s="6">
        <v>0.2</v>
      </c>
      <c r="G4" s="7">
        <v>0.01092</v>
      </c>
      <c r="H4" s="7">
        <v>0.01092</v>
      </c>
      <c r="I4" s="7">
        <v>0.0093</v>
      </c>
      <c r="J4" s="7">
        <v>0.0093</v>
      </c>
      <c r="K4" s="7">
        <f t="shared" ref="K4:K14" si="0">I4/G4</f>
        <v>0.851648351648352</v>
      </c>
      <c r="L4" s="7">
        <f t="shared" ref="L4:L14" si="1">J4/H4</f>
        <v>0.851648351648352</v>
      </c>
      <c r="M4" s="7">
        <f t="shared" ref="M4:M14" si="2">AVERAGE(K4:L4)</f>
        <v>0.851648351648352</v>
      </c>
      <c r="N4" s="7">
        <v>0.851648351648352</v>
      </c>
      <c r="O4" s="7">
        <v>0.851648351648352</v>
      </c>
      <c r="P4" s="7">
        <v>0.851648351648352</v>
      </c>
      <c r="Q4" s="7">
        <f t="shared" ref="Q4:Q14" si="3">K4-N4</f>
        <v>0</v>
      </c>
      <c r="R4" s="7">
        <f t="shared" ref="R4:R14" si="4">L4-O4</f>
        <v>0</v>
      </c>
      <c r="S4" s="7">
        <f t="shared" ref="S4:S14" si="5">M4-P4</f>
        <v>0</v>
      </c>
      <c r="T4" s="9" t="s">
        <v>23</v>
      </c>
    </row>
    <row r="5" spans="1:20">
      <c r="A5" s="6">
        <v>12</v>
      </c>
      <c r="B5" s="6">
        <v>12</v>
      </c>
      <c r="C5" s="6">
        <v>1</v>
      </c>
      <c r="D5" s="6">
        <v>3</v>
      </c>
      <c r="E5" s="6">
        <v>0.1</v>
      </c>
      <c r="F5" s="6">
        <v>0.2</v>
      </c>
      <c r="G5" s="7">
        <v>0.01612</v>
      </c>
      <c r="H5" s="7">
        <v>0.01612</v>
      </c>
      <c r="I5" s="7">
        <v>0.0146</v>
      </c>
      <c r="J5" s="7">
        <v>0.0146</v>
      </c>
      <c r="K5" s="7">
        <f t="shared" si="0"/>
        <v>0.905707196029777</v>
      </c>
      <c r="L5" s="7">
        <f t="shared" si="1"/>
        <v>0.905707196029777</v>
      </c>
      <c r="M5" s="7">
        <f t="shared" si="2"/>
        <v>0.905707196029777</v>
      </c>
      <c r="N5" s="7">
        <v>0.905707196029777</v>
      </c>
      <c r="O5" s="7">
        <v>0.905707196029777</v>
      </c>
      <c r="P5" s="7">
        <v>0.905707196029777</v>
      </c>
      <c r="Q5" s="7">
        <f t="shared" si="3"/>
        <v>0</v>
      </c>
      <c r="R5" s="7">
        <f t="shared" si="4"/>
        <v>0</v>
      </c>
      <c r="S5" s="7">
        <f t="shared" si="5"/>
        <v>0</v>
      </c>
      <c r="T5" s="9" t="s">
        <v>23</v>
      </c>
    </row>
    <row r="6" spans="1:20">
      <c r="A6" s="6">
        <v>16</v>
      </c>
      <c r="B6" s="6">
        <v>16</v>
      </c>
      <c r="C6" s="6">
        <v>1</v>
      </c>
      <c r="D6" s="6">
        <v>3</v>
      </c>
      <c r="E6" s="6">
        <v>0.1</v>
      </c>
      <c r="F6" s="6">
        <v>0.2</v>
      </c>
      <c r="G6" s="7">
        <v>0.02124</v>
      </c>
      <c r="H6" s="7">
        <v>0.02124</v>
      </c>
      <c r="I6" s="7">
        <v>0.0197</v>
      </c>
      <c r="J6" s="7">
        <v>0.0198</v>
      </c>
      <c r="K6" s="7">
        <f t="shared" si="0"/>
        <v>0.927495291902071</v>
      </c>
      <c r="L6" s="7">
        <f t="shared" si="1"/>
        <v>0.932203389830508</v>
      </c>
      <c r="M6" s="7">
        <f t="shared" si="2"/>
        <v>0.92984934086629</v>
      </c>
      <c r="N6" s="7">
        <v>0.927495291902071</v>
      </c>
      <c r="O6" s="7">
        <v>0.932203389830508</v>
      </c>
      <c r="P6" s="7">
        <v>0.92984934086629</v>
      </c>
      <c r="Q6" s="7">
        <f t="shared" si="3"/>
        <v>0</v>
      </c>
      <c r="R6" s="7">
        <f t="shared" si="4"/>
        <v>0</v>
      </c>
      <c r="S6" s="7">
        <f t="shared" si="5"/>
        <v>0</v>
      </c>
      <c r="T6" s="9" t="s">
        <v>23</v>
      </c>
    </row>
    <row r="7" spans="1:20">
      <c r="A7" s="6">
        <v>20</v>
      </c>
      <c r="B7" s="6">
        <v>20</v>
      </c>
      <c r="C7" s="6">
        <v>1</v>
      </c>
      <c r="D7" s="6">
        <v>3</v>
      </c>
      <c r="E7" s="6">
        <v>0.1</v>
      </c>
      <c r="F7" s="6">
        <v>0.2</v>
      </c>
      <c r="G7" s="7">
        <v>0.02632</v>
      </c>
      <c r="H7" s="7">
        <v>0.02632</v>
      </c>
      <c r="I7" s="7">
        <v>0.0248</v>
      </c>
      <c r="J7" s="7">
        <v>0.0248</v>
      </c>
      <c r="K7" s="7">
        <f t="shared" si="0"/>
        <v>0.94224924012158</v>
      </c>
      <c r="L7" s="7">
        <f t="shared" si="1"/>
        <v>0.94224924012158</v>
      </c>
      <c r="M7" s="7">
        <f t="shared" si="2"/>
        <v>0.94224924012158</v>
      </c>
      <c r="N7" s="7">
        <v>0.94224924012158</v>
      </c>
      <c r="O7" s="7">
        <v>0.94224924012158</v>
      </c>
      <c r="P7" s="7">
        <v>0.94224924012158</v>
      </c>
      <c r="Q7" s="7">
        <f t="shared" si="3"/>
        <v>0</v>
      </c>
      <c r="R7" s="7">
        <f t="shared" si="4"/>
        <v>0</v>
      </c>
      <c r="S7" s="7">
        <f t="shared" si="5"/>
        <v>0</v>
      </c>
      <c r="T7" s="9" t="s">
        <v>23</v>
      </c>
    </row>
    <row r="8" spans="1:20">
      <c r="A8" s="6">
        <v>24</v>
      </c>
      <c r="B8" s="6">
        <v>24</v>
      </c>
      <c r="C8" s="6">
        <v>1</v>
      </c>
      <c r="D8" s="6">
        <v>3</v>
      </c>
      <c r="E8" s="6">
        <v>0.1</v>
      </c>
      <c r="F8" s="6">
        <v>0.2</v>
      </c>
      <c r="G8" s="7">
        <v>0.03132</v>
      </c>
      <c r="H8" s="7">
        <v>0.03132</v>
      </c>
      <c r="I8" s="7">
        <v>0.0298</v>
      </c>
      <c r="J8" s="7">
        <v>0.0299</v>
      </c>
      <c r="K8" s="7">
        <f t="shared" si="0"/>
        <v>0.9514687100894</v>
      </c>
      <c r="L8" s="7">
        <f t="shared" si="1"/>
        <v>0.954661558109834</v>
      </c>
      <c r="M8" s="7">
        <f t="shared" si="2"/>
        <v>0.953065134099617</v>
      </c>
      <c r="N8" s="7">
        <v>0.9514687100894</v>
      </c>
      <c r="O8" s="7">
        <v>0.954661558109834</v>
      </c>
      <c r="P8" s="7">
        <v>0.953065134099617</v>
      </c>
      <c r="Q8" s="7">
        <f t="shared" si="3"/>
        <v>0</v>
      </c>
      <c r="R8" s="7">
        <f t="shared" si="4"/>
        <v>0</v>
      </c>
      <c r="S8" s="7">
        <f t="shared" si="5"/>
        <v>0</v>
      </c>
      <c r="T8" s="9" t="s">
        <v>23</v>
      </c>
    </row>
    <row r="9" spans="1:20">
      <c r="A9" s="6">
        <v>28</v>
      </c>
      <c r="B9" s="6">
        <v>28</v>
      </c>
      <c r="C9" s="6">
        <v>1</v>
      </c>
      <c r="D9" s="6">
        <v>3</v>
      </c>
      <c r="E9" s="6">
        <v>0.1</v>
      </c>
      <c r="F9" s="6">
        <v>0.2</v>
      </c>
      <c r="G9" s="7">
        <v>0.03614</v>
      </c>
      <c r="H9" s="7">
        <v>0.03632</v>
      </c>
      <c r="I9" s="7">
        <v>0.0347</v>
      </c>
      <c r="J9" s="7">
        <v>0.0348</v>
      </c>
      <c r="K9" s="7">
        <f t="shared" si="0"/>
        <v>0.960154952960708</v>
      </c>
      <c r="L9" s="7">
        <f t="shared" si="1"/>
        <v>0.958149779735683</v>
      </c>
      <c r="M9" s="7">
        <f t="shared" si="2"/>
        <v>0.959152366348195</v>
      </c>
      <c r="N9" s="7">
        <v>0.958034235229155</v>
      </c>
      <c r="O9" s="7">
        <v>0.958149779735683</v>
      </c>
      <c r="P9" s="7">
        <v>0.958092007482419</v>
      </c>
      <c r="Q9" s="7">
        <f t="shared" si="3"/>
        <v>0.00212071773155309</v>
      </c>
      <c r="R9" s="7">
        <f t="shared" si="4"/>
        <v>0</v>
      </c>
      <c r="S9" s="7">
        <f t="shared" si="5"/>
        <v>0.0010603588657766</v>
      </c>
      <c r="T9" s="12" t="s">
        <v>36</v>
      </c>
    </row>
    <row r="10" spans="1:20">
      <c r="A10" s="6">
        <v>32</v>
      </c>
      <c r="B10" s="6">
        <v>32</v>
      </c>
      <c r="C10" s="6">
        <v>1</v>
      </c>
      <c r="D10" s="6">
        <v>3</v>
      </c>
      <c r="E10" s="6">
        <v>0.1</v>
      </c>
      <c r="F10" s="6">
        <v>0.2</v>
      </c>
      <c r="G10" s="7">
        <v>0.04102</v>
      </c>
      <c r="H10" s="7">
        <v>0.0412</v>
      </c>
      <c r="I10" s="7">
        <v>0.0396</v>
      </c>
      <c r="J10" s="7">
        <v>0.0397</v>
      </c>
      <c r="K10" s="7">
        <f t="shared" si="0"/>
        <v>0.965382740126768</v>
      </c>
      <c r="L10" s="7">
        <f t="shared" si="1"/>
        <v>0.963592233009709</v>
      </c>
      <c r="M10" s="7">
        <f t="shared" si="2"/>
        <v>0.964487486568238</v>
      </c>
      <c r="N10" s="7">
        <v>0.965382740126768</v>
      </c>
      <c r="O10" s="7">
        <v>0.963592233009709</v>
      </c>
      <c r="P10" s="7">
        <v>0.964487486568238</v>
      </c>
      <c r="Q10" s="7">
        <f t="shared" si="3"/>
        <v>0</v>
      </c>
      <c r="R10" s="7">
        <f t="shared" si="4"/>
        <v>0</v>
      </c>
      <c r="S10" s="7">
        <f t="shared" si="5"/>
        <v>0</v>
      </c>
      <c r="T10" s="9" t="s">
        <v>23</v>
      </c>
    </row>
    <row r="11" spans="1:20">
      <c r="A11" s="6">
        <v>36</v>
      </c>
      <c r="B11" s="6">
        <v>36</v>
      </c>
      <c r="C11" s="6">
        <v>1</v>
      </c>
      <c r="D11" s="6">
        <v>3</v>
      </c>
      <c r="E11" s="6">
        <v>0.1</v>
      </c>
      <c r="F11" s="6">
        <v>0.2</v>
      </c>
      <c r="G11" s="7">
        <v>0.04572</v>
      </c>
      <c r="H11" s="7">
        <v>0.04602</v>
      </c>
      <c r="I11" s="7">
        <v>0.0443</v>
      </c>
      <c r="J11" s="7">
        <v>0.0446</v>
      </c>
      <c r="K11" s="7">
        <f t="shared" si="0"/>
        <v>0.968941382327209</v>
      </c>
      <c r="L11" s="7">
        <f t="shared" si="1"/>
        <v>0.969143850499783</v>
      </c>
      <c r="M11" s="7">
        <f t="shared" si="2"/>
        <v>0.969042616413496</v>
      </c>
      <c r="N11" s="7">
        <v>0.968941382327209</v>
      </c>
      <c r="O11" s="7">
        <v>0.969143850499783</v>
      </c>
      <c r="P11" s="7">
        <v>0.969042616413496</v>
      </c>
      <c r="Q11" s="7">
        <f t="shared" si="3"/>
        <v>0</v>
      </c>
      <c r="R11" s="7">
        <f t="shared" si="4"/>
        <v>0</v>
      </c>
      <c r="S11" s="7">
        <f t="shared" si="5"/>
        <v>0</v>
      </c>
      <c r="T11" s="9" t="s">
        <v>23</v>
      </c>
    </row>
    <row r="12" spans="1:20">
      <c r="A12" s="6">
        <v>40</v>
      </c>
      <c r="B12" s="6">
        <v>40</v>
      </c>
      <c r="C12" s="6">
        <v>1</v>
      </c>
      <c r="D12" s="6">
        <v>3</v>
      </c>
      <c r="E12" s="6">
        <v>0.1</v>
      </c>
      <c r="F12" s="6">
        <v>0.2</v>
      </c>
      <c r="G12" s="7">
        <v>0.05042</v>
      </c>
      <c r="H12" s="7">
        <v>0.05072</v>
      </c>
      <c r="I12" s="7">
        <v>0.049</v>
      </c>
      <c r="J12" s="7">
        <v>0.0494</v>
      </c>
      <c r="K12" s="7">
        <f t="shared" si="0"/>
        <v>0.971836572788576</v>
      </c>
      <c r="L12" s="7">
        <f t="shared" si="1"/>
        <v>0.97397476340694</v>
      </c>
      <c r="M12" s="7">
        <f t="shared" si="2"/>
        <v>0.972905668097758</v>
      </c>
      <c r="N12" s="7">
        <v>0.971836572788576</v>
      </c>
      <c r="O12" s="7">
        <v>0.97397476340694</v>
      </c>
      <c r="P12" s="7">
        <v>0.972905668097758</v>
      </c>
      <c r="Q12" s="7">
        <f t="shared" si="3"/>
        <v>0</v>
      </c>
      <c r="R12" s="7">
        <f t="shared" si="4"/>
        <v>0</v>
      </c>
      <c r="S12" s="7">
        <f t="shared" si="5"/>
        <v>0</v>
      </c>
      <c r="T12" s="9" t="s">
        <v>23</v>
      </c>
    </row>
    <row r="13" spans="1:20">
      <c r="A13" s="6">
        <v>44</v>
      </c>
      <c r="B13" s="6">
        <v>44</v>
      </c>
      <c r="C13" s="6">
        <v>1</v>
      </c>
      <c r="D13" s="6">
        <v>3</v>
      </c>
      <c r="E13" s="6">
        <v>0.1</v>
      </c>
      <c r="F13" s="6">
        <v>0.2</v>
      </c>
      <c r="G13" s="7">
        <v>0.055</v>
      </c>
      <c r="H13" s="7">
        <v>0.0555</v>
      </c>
      <c r="I13" s="7">
        <v>0.0536</v>
      </c>
      <c r="J13" s="7">
        <v>0.0541</v>
      </c>
      <c r="K13" s="7">
        <f t="shared" si="0"/>
        <v>0.974545454545454</v>
      </c>
      <c r="L13" s="7">
        <f t="shared" si="1"/>
        <v>0.974774774774775</v>
      </c>
      <c r="M13" s="7">
        <f t="shared" si="2"/>
        <v>0.974660114660115</v>
      </c>
      <c r="N13" s="7">
        <v>0.974545454545454</v>
      </c>
      <c r="O13" s="7">
        <v>0.974774774774775</v>
      </c>
      <c r="P13" s="7">
        <v>0.974660114660115</v>
      </c>
      <c r="Q13" s="7">
        <f t="shared" si="3"/>
        <v>0</v>
      </c>
      <c r="R13" s="7">
        <f t="shared" si="4"/>
        <v>0</v>
      </c>
      <c r="S13" s="7">
        <f t="shared" si="5"/>
        <v>0</v>
      </c>
      <c r="T13" s="9" t="s">
        <v>23</v>
      </c>
    </row>
    <row r="14" spans="1:20">
      <c r="A14" s="6">
        <v>48</v>
      </c>
      <c r="B14" s="6">
        <v>48</v>
      </c>
      <c r="C14" s="6">
        <v>1</v>
      </c>
      <c r="D14" s="6">
        <v>3</v>
      </c>
      <c r="E14" s="6">
        <v>0.1</v>
      </c>
      <c r="F14" s="6">
        <v>0.2</v>
      </c>
      <c r="G14" s="7">
        <v>0.0595</v>
      </c>
      <c r="H14" s="7">
        <v>0.06012</v>
      </c>
      <c r="I14" s="7">
        <v>0.0582</v>
      </c>
      <c r="J14" s="7">
        <v>0.0588</v>
      </c>
      <c r="K14" s="7">
        <f t="shared" si="0"/>
        <v>0.978151260504202</v>
      </c>
      <c r="L14" s="7">
        <f t="shared" si="1"/>
        <v>0.978043912175649</v>
      </c>
      <c r="M14" s="7">
        <f t="shared" si="2"/>
        <v>0.978097586339925</v>
      </c>
      <c r="N14" s="7">
        <v>0.978151260504202</v>
      </c>
      <c r="O14" s="7">
        <v>0.978043912175649</v>
      </c>
      <c r="P14" s="7">
        <v>0.978097586339925</v>
      </c>
      <c r="Q14" s="7">
        <f t="shared" si="3"/>
        <v>0</v>
      </c>
      <c r="R14" s="7">
        <f t="shared" si="4"/>
        <v>0</v>
      </c>
      <c r="S14" s="7">
        <f t="shared" si="5"/>
        <v>0</v>
      </c>
      <c r="T14" s="9" t="s">
        <v>23</v>
      </c>
    </row>
  </sheetData>
  <autoFilter xmlns:etc="http://www.wps.cn/officeDocument/2017/etCustomData" ref="A3:T14" etc:filterBottomFollowUsedRange="0">
    <extLst/>
  </autoFilter>
  <mergeCells count="2">
    <mergeCell ref="A1:T1"/>
    <mergeCell ref="A2:T2"/>
  </mergeCells>
  <pageMargins left="0.3" right="0.3" top="0.5" bottom="0.5" header="0.3" footer="0.3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workbookViewId="0">
      <pane ySplit="3" topLeftCell="A4" activePane="bottomLeft" state="frozen"/>
      <selection/>
      <selection pane="bottomLeft" activeCell="A4" sqref="A4"/>
    </sheetView>
  </sheetViews>
  <sheetFormatPr defaultColWidth="9" defaultRowHeight="13.8"/>
  <cols>
    <col min="1" max="2" width="12" customWidth="1"/>
    <col min="3" max="3" width="16" customWidth="1"/>
    <col min="4" max="5" width="12" customWidth="1"/>
    <col min="6" max="6" width="16" customWidth="1"/>
    <col min="7" max="8" width="15" customWidth="1"/>
    <col min="9" max="16" width="17" customWidth="1"/>
    <col min="17" max="19" width="15" customWidth="1"/>
    <col min="20" max="20" width="20" customWidth="1"/>
    <col min="21" max="21" width="52" customWidth="1"/>
    <col min="22" max="22" width="30" customWidth="1"/>
  </cols>
  <sheetData>
    <row r="1" ht="24" customHeight="1" spans="1:22">
      <c r="A1" s="2" t="s">
        <v>37</v>
      </c>
    </row>
    <row r="2" ht="30" customHeight="1" spans="1:22">
      <c r="A2" s="3" t="s">
        <v>38</v>
      </c>
    </row>
    <row r="3" ht="27.6" spans="1:22">
      <c r="A3" s="4" t="s">
        <v>5</v>
      </c>
      <c r="B3" s="4" t="s">
        <v>3</v>
      </c>
      <c r="C3" s="4" t="s">
        <v>4</v>
      </c>
      <c r="D3" s="4" t="s">
        <v>5</v>
      </c>
      <c r="E3" s="4" t="s">
        <v>2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 ht="27.6" spans="1:22">
      <c r="A4" s="6">
        <v>3</v>
      </c>
      <c r="B4" s="6">
        <v>10</v>
      </c>
      <c r="C4" s="6">
        <v>1</v>
      </c>
      <c r="D4" s="6">
        <v>3</v>
      </c>
      <c r="E4" s="6">
        <v>0.1</v>
      </c>
      <c r="F4" s="6">
        <v>0.2</v>
      </c>
      <c r="G4" s="8">
        <v>0.01354</v>
      </c>
      <c r="H4" s="8">
        <v>0.01354</v>
      </c>
      <c r="I4" s="8">
        <v>0.012</v>
      </c>
      <c r="J4" s="8">
        <v>0.012</v>
      </c>
      <c r="K4" s="8">
        <f>I4/G4</f>
        <v>0.886262924667651</v>
      </c>
      <c r="L4" s="8">
        <f>J4/H4</f>
        <v>0.886262924667651</v>
      </c>
      <c r="M4" s="8">
        <f>AVERAGE(K4:L4)</f>
        <v>0.886262924667651</v>
      </c>
      <c r="N4" s="8">
        <v>0.886262924667651</v>
      </c>
      <c r="O4" s="8">
        <v>0.886262924667651</v>
      </c>
      <c r="P4" s="8">
        <v>0.886262924667651</v>
      </c>
      <c r="Q4" s="8">
        <f>K4-N4</f>
        <v>0</v>
      </c>
      <c r="R4" s="8">
        <f>L4-O4</f>
        <v>0</v>
      </c>
      <c r="S4" s="8">
        <f>M4-P4</f>
        <v>0</v>
      </c>
      <c r="T4" s="9" t="s">
        <v>23</v>
      </c>
      <c r="U4" s="10" t="s">
        <v>39</v>
      </c>
      <c r="V4" s="10" t="s">
        <v>40</v>
      </c>
    </row>
    <row r="5" ht="27.6" spans="1:22">
      <c r="A5" s="6">
        <v>3.1</v>
      </c>
      <c r="B5" s="6">
        <v>10</v>
      </c>
      <c r="C5" s="6">
        <v>1</v>
      </c>
      <c r="D5" s="6">
        <v>3.1</v>
      </c>
      <c r="E5" s="6">
        <v>0.1</v>
      </c>
      <c r="F5" s="6">
        <v>0.2</v>
      </c>
      <c r="T5" s="11" t="s">
        <v>41</v>
      </c>
      <c r="U5" s="10" t="s">
        <v>42</v>
      </c>
      <c r="V5" s="10" t="s">
        <v>43</v>
      </c>
    </row>
    <row r="6" ht="41.4" spans="1:22">
      <c r="A6" s="6">
        <v>3.2</v>
      </c>
      <c r="B6" s="6">
        <v>10</v>
      </c>
      <c r="C6" s="6">
        <v>1</v>
      </c>
      <c r="D6" s="6">
        <v>3.2</v>
      </c>
      <c r="E6" s="6">
        <v>0.1</v>
      </c>
      <c r="F6" s="6">
        <v>0.2</v>
      </c>
      <c r="N6" s="8">
        <v>0.878962536023055</v>
      </c>
      <c r="O6" s="8">
        <v>0.878962536023055</v>
      </c>
      <c r="P6" s="8">
        <v>0.878962536023055</v>
      </c>
      <c r="T6" s="11" t="s">
        <v>41</v>
      </c>
      <c r="U6" s="10" t="s">
        <v>42</v>
      </c>
      <c r="V6" s="10" t="s">
        <v>44</v>
      </c>
    </row>
    <row r="7" ht="27.6" spans="1:22">
      <c r="A7" s="6">
        <v>3.3</v>
      </c>
      <c r="B7" s="6">
        <v>10</v>
      </c>
      <c r="C7" s="6">
        <v>1</v>
      </c>
      <c r="D7" s="6">
        <v>3.3</v>
      </c>
      <c r="E7" s="6">
        <v>0.1</v>
      </c>
      <c r="F7" s="6">
        <v>0.2</v>
      </c>
      <c r="T7" s="11" t="s">
        <v>41</v>
      </c>
      <c r="U7" s="10" t="s">
        <v>42</v>
      </c>
      <c r="V7" s="10" t="s">
        <v>43</v>
      </c>
    </row>
    <row r="8" ht="27.6" spans="1:22">
      <c r="A8" s="6">
        <v>3.4</v>
      </c>
      <c r="B8" s="6">
        <v>10</v>
      </c>
      <c r="C8" s="6">
        <v>1</v>
      </c>
      <c r="D8" s="6">
        <v>3.4</v>
      </c>
      <c r="E8" s="6">
        <v>0.1</v>
      </c>
      <c r="F8" s="6">
        <v>0.2</v>
      </c>
      <c r="T8" s="11" t="s">
        <v>41</v>
      </c>
      <c r="U8" s="10" t="s">
        <v>42</v>
      </c>
      <c r="V8" s="10" t="s">
        <v>43</v>
      </c>
    </row>
    <row r="9" ht="27.6" spans="1:22">
      <c r="A9" s="6">
        <v>3.5</v>
      </c>
      <c r="B9" s="6">
        <v>10</v>
      </c>
      <c r="C9" s="6">
        <v>1</v>
      </c>
      <c r="D9" s="6">
        <v>3.5</v>
      </c>
      <c r="E9" s="6">
        <v>0.1</v>
      </c>
      <c r="F9" s="6">
        <v>0.2</v>
      </c>
      <c r="T9" s="11" t="s">
        <v>41</v>
      </c>
      <c r="U9" s="10" t="s">
        <v>42</v>
      </c>
      <c r="V9" s="10" t="s">
        <v>43</v>
      </c>
    </row>
    <row r="10" ht="27.6" spans="1:22">
      <c r="A10" s="6">
        <v>3.6</v>
      </c>
      <c r="B10" s="6">
        <v>10</v>
      </c>
      <c r="C10" s="6">
        <v>1</v>
      </c>
      <c r="D10" s="6">
        <v>3.6</v>
      </c>
      <c r="E10" s="6">
        <v>0.1</v>
      </c>
      <c r="F10" s="6">
        <v>0.2</v>
      </c>
      <c r="T10" s="11" t="s">
        <v>41</v>
      </c>
      <c r="U10" s="10" t="s">
        <v>42</v>
      </c>
      <c r="V10" s="10" t="s">
        <v>43</v>
      </c>
    </row>
    <row r="11" ht="41.4" spans="1:22">
      <c r="A11" s="6">
        <v>3.7</v>
      </c>
      <c r="B11" s="6">
        <v>10</v>
      </c>
      <c r="C11" s="6">
        <v>1</v>
      </c>
      <c r="D11" s="6">
        <v>3.7</v>
      </c>
      <c r="E11" s="6">
        <v>0.1</v>
      </c>
      <c r="F11" s="6">
        <v>0.2</v>
      </c>
      <c r="N11" s="8">
        <v>0.864732142857143</v>
      </c>
      <c r="O11" s="8">
        <v>0.864732142857143</v>
      </c>
      <c r="P11" s="8">
        <v>0.864732142857143</v>
      </c>
      <c r="T11" s="11" t="s">
        <v>45</v>
      </c>
      <c r="U11" s="10" t="s">
        <v>42</v>
      </c>
      <c r="V11" s="10" t="s">
        <v>46</v>
      </c>
    </row>
  </sheetData>
  <autoFilter xmlns:etc="http://www.wps.cn/officeDocument/2017/etCustomData" ref="A3:V11" etc:filterBottomFollowUsedRange="0">
    <extLst/>
  </autoFilter>
  <mergeCells count="2">
    <mergeCell ref="A1:V1"/>
    <mergeCell ref="A2:V2"/>
  </mergeCells>
  <pageMargins left="0.3" right="0.3" top="0.5" bottom="0.5" header="0.3" footer="0.3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workbookViewId="0">
      <pane ySplit="3" topLeftCell="A4" activePane="bottomLeft" state="frozen"/>
      <selection/>
      <selection pane="bottomLeft" activeCell="J6" sqref="J6"/>
    </sheetView>
  </sheetViews>
  <sheetFormatPr defaultColWidth="9" defaultRowHeight="13.8" outlineLevelRow="5"/>
  <cols>
    <col min="1" max="2" width="12" customWidth="1"/>
    <col min="3" max="3" width="16" customWidth="1"/>
    <col min="4" max="5" width="12" customWidth="1"/>
    <col min="6" max="6" width="16" customWidth="1"/>
    <col min="7" max="8" width="15" style="1" customWidth="1"/>
    <col min="9" max="16" width="17" style="1" customWidth="1"/>
    <col min="17" max="18" width="15" style="1" customWidth="1"/>
    <col min="19" max="19" width="15" customWidth="1"/>
    <col min="20" max="20" width="20" customWidth="1"/>
    <col min="21" max="21" width="52" customWidth="1"/>
    <col min="22" max="22" width="30" customWidth="1"/>
  </cols>
  <sheetData>
    <row r="1" ht="24" customHeight="1" spans="1:22">
      <c r="A1" s="2" t="s">
        <v>47</v>
      </c>
    </row>
    <row r="2" ht="30" customHeight="1" spans="1:22">
      <c r="A2" s="3" t="s">
        <v>48</v>
      </c>
    </row>
    <row r="3" ht="27.6" spans="1:22">
      <c r="A3" s="4" t="s">
        <v>4</v>
      </c>
      <c r="B3" s="4" t="s">
        <v>3</v>
      </c>
      <c r="C3" s="4" t="s">
        <v>4</v>
      </c>
      <c r="D3" s="4" t="s">
        <v>5</v>
      </c>
      <c r="E3" s="4" t="s">
        <v>2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 ht="27.6" spans="1:22">
      <c r="A4" s="6">
        <v>1</v>
      </c>
      <c r="B4" s="6">
        <v>8</v>
      </c>
      <c r="C4" s="6">
        <v>1</v>
      </c>
      <c r="D4" s="6">
        <v>3</v>
      </c>
      <c r="E4" s="6">
        <v>0.1</v>
      </c>
      <c r="F4" s="6">
        <v>0.2</v>
      </c>
      <c r="G4" s="7">
        <v>0.01092</v>
      </c>
      <c r="H4" s="7">
        <v>0.01092</v>
      </c>
      <c r="I4" s="7">
        <v>0.0093</v>
      </c>
      <c r="J4" s="7">
        <v>0.0093</v>
      </c>
      <c r="K4" s="7">
        <f>I4/G4</f>
        <v>0.851648351648352</v>
      </c>
      <c r="L4" s="7">
        <f>J4/H4</f>
        <v>0.851648351648352</v>
      </c>
      <c r="M4" s="7">
        <f>AVERAGE(K4:L4)</f>
        <v>0.851648351648352</v>
      </c>
      <c r="N4" s="7">
        <v>0.851648351648352</v>
      </c>
      <c r="O4" s="7">
        <v>0.851648351648352</v>
      </c>
      <c r="P4" s="7">
        <v>0.851648351648352</v>
      </c>
      <c r="Q4" s="7">
        <f>K4-N4</f>
        <v>0</v>
      </c>
      <c r="R4" s="7">
        <f>L4-O4</f>
        <v>0</v>
      </c>
      <c r="S4" s="8">
        <f>M4-P4</f>
        <v>0</v>
      </c>
      <c r="T4" s="9" t="s">
        <v>23</v>
      </c>
      <c r="U4" s="10" t="s">
        <v>24</v>
      </c>
      <c r="V4" s="10" t="s">
        <v>49</v>
      </c>
    </row>
    <row r="5" ht="27.6" spans="1:22">
      <c r="A5" s="6">
        <v>2</v>
      </c>
      <c r="B5" s="6">
        <v>8</v>
      </c>
      <c r="C5" s="6">
        <v>2</v>
      </c>
      <c r="D5" s="6">
        <v>3</v>
      </c>
      <c r="E5" s="6">
        <v>0.1</v>
      </c>
      <c r="F5" s="6">
        <v>0.2</v>
      </c>
      <c r="G5" s="7">
        <v>0.011144</v>
      </c>
      <c r="H5" s="7">
        <v>0.011144</v>
      </c>
      <c r="I5" s="7">
        <v>0.00954</v>
      </c>
      <c r="J5" s="7">
        <v>0.00954</v>
      </c>
      <c r="K5" s="7">
        <f>I5/G5</f>
        <v>0.856066044508256</v>
      </c>
      <c r="L5" s="7">
        <f>J5/H5</f>
        <v>0.856066044508256</v>
      </c>
      <c r="M5" s="7">
        <f>AVERAGE(K5:L5)</f>
        <v>0.856066044508256</v>
      </c>
      <c r="N5" s="7">
        <v>0.856066044508256</v>
      </c>
      <c r="O5" s="7">
        <v>0.856066044508256</v>
      </c>
      <c r="P5" s="7">
        <v>0.856066044508256</v>
      </c>
      <c r="Q5" s="7">
        <f>K5-N5</f>
        <v>0</v>
      </c>
      <c r="R5" s="7">
        <f>L5-O5</f>
        <v>0</v>
      </c>
      <c r="S5" s="8">
        <f>M5-P5</f>
        <v>0</v>
      </c>
      <c r="T5" s="9" t="s">
        <v>23</v>
      </c>
      <c r="U5" s="10" t="s">
        <v>50</v>
      </c>
      <c r="V5" s="10" t="s">
        <v>51</v>
      </c>
    </row>
    <row r="6" ht="41.4" spans="1:22">
      <c r="A6" s="6">
        <v>3</v>
      </c>
      <c r="B6" s="6">
        <v>8</v>
      </c>
      <c r="C6" s="6">
        <v>3</v>
      </c>
      <c r="D6" s="6">
        <v>3</v>
      </c>
      <c r="E6" s="6">
        <v>0.1</v>
      </c>
      <c r="F6" s="6">
        <v>0.2</v>
      </c>
      <c r="G6" s="7">
        <v>0.0113712</v>
      </c>
      <c r="H6" s="7">
        <v>0.0113712</v>
      </c>
      <c r="I6" s="7">
        <v>0.00978</v>
      </c>
      <c r="J6" s="7">
        <v>0.00978</v>
      </c>
      <c r="K6" s="7">
        <f>I6/G6</f>
        <v>0.860067539046011</v>
      </c>
      <c r="L6" s="7">
        <f>J6/H6</f>
        <v>0.860067539046011</v>
      </c>
      <c r="M6" s="7">
        <f>AVERAGE(K6:L6)</f>
        <v>0.860067539046011</v>
      </c>
      <c r="N6" s="7">
        <v>0.860067539046011</v>
      </c>
      <c r="O6" s="7">
        <v>0.860067539046011</v>
      </c>
      <c r="P6" s="7">
        <v>0.860067539046011</v>
      </c>
      <c r="Q6" s="7">
        <f>K6-N6</f>
        <v>0</v>
      </c>
      <c r="R6" s="7">
        <f>L6-O6</f>
        <v>0</v>
      </c>
      <c r="S6" s="8">
        <f>M6-P6</f>
        <v>0</v>
      </c>
      <c r="T6" s="9" t="s">
        <v>23</v>
      </c>
      <c r="U6" s="10" t="s">
        <v>52</v>
      </c>
      <c r="V6" s="10" t="s">
        <v>53</v>
      </c>
    </row>
  </sheetData>
  <autoFilter xmlns:etc="http://www.wps.cn/officeDocument/2017/etCustomData" ref="A3:V6" etc:filterBottomFollowUsedRange="0">
    <extLst/>
  </autoFilter>
  <mergeCells count="2">
    <mergeCell ref="A1:V1"/>
    <mergeCell ref="A2:V2"/>
  </mergeCells>
  <pageMargins left="0.3" right="0.3" top="0.5" bottom="0.5" header="0.3" footer="0.3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相关系数对比</vt:lpstr>
      <vt:lpstr>构件总数对比</vt:lpstr>
      <vt:lpstr>可靠度指标对比</vt:lpstr>
      <vt:lpstr>潜在脆性数量对比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RAW论文单参数复现与对比</dc:title>
  <dc:creator>Codex</dc:creator>
  <cp:lastModifiedBy>weixiao</cp:lastModifiedBy>
  <dcterms:created xsi:type="dcterms:W3CDTF">2026-07-19T05:29:00Z</dcterms:created>
  <dcterms:modified xsi:type="dcterms:W3CDTF">2026-07-19T05:53:45Z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80668C32508A4C199B3545DC0B58D1CD_12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