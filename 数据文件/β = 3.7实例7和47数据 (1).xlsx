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/>
  <mc:AlternateContent xmlns:mc="http://schemas.openxmlformats.org/markup-compatibility/2006">
    <mc:Choice Requires="x15">
      <x15ac:absPath xmlns:x15ac="http://schemas.microsoft.com/office/spreadsheetml/2010/11/ac" url="F:\科研数据\"/>
    </mc:Choice>
  </mc:AlternateContent>
  <xr:revisionPtr revIDLastSave="0" documentId="13_ncr:1_{EB3E872F-3912-4BC0-9843-6FE24ED35D13}" xr6:coauthVersionLast="43" xr6:coauthVersionMax="43" xr10:uidLastSave="{00000000-0000-0000-0000-000000000000}"/>
  <bookViews>
    <workbookView xWindow="-108" yWindow="-108" windowWidth="23256" windowHeight="12576" activeTab="1" xr2:uid="{00000000-000D-0000-FFFF-FFFF00000000}"/>
  </bookViews>
  <sheets>
    <sheet name="47根构件 " sheetId="38" r:id="rId1"/>
    <sheet name="7根构件" sheetId="1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27" i="38" l="1"/>
  <c r="F101" i="1"/>
  <c r="F88" i="1"/>
  <c r="F75" i="1"/>
  <c r="G257" i="1"/>
  <c r="F257" i="1"/>
  <c r="G244" i="1"/>
  <c r="F244" i="1"/>
  <c r="F244" i="38"/>
  <c r="G244" i="38"/>
  <c r="G231" i="38"/>
  <c r="G218" i="1"/>
  <c r="F218" i="1"/>
  <c r="F192" i="1"/>
  <c r="S237" i="1" l="1"/>
  <c r="R237" i="1"/>
  <c r="G237" i="1"/>
  <c r="F237" i="1"/>
  <c r="S231" i="1"/>
  <c r="R231" i="1"/>
  <c r="J231" i="1"/>
  <c r="I231" i="1"/>
  <c r="F153" i="1"/>
  <c r="G153" i="1"/>
  <c r="G231" i="1"/>
  <c r="F231" i="1"/>
  <c r="X263" i="1" l="1"/>
  <c r="V263" i="1"/>
  <c r="U263" i="1"/>
  <c r="S263" i="1"/>
  <c r="R263" i="1"/>
  <c r="L263" i="1"/>
  <c r="J263" i="1"/>
  <c r="I263" i="1"/>
  <c r="G263" i="1"/>
  <c r="F263" i="1"/>
  <c r="V262" i="1"/>
  <c r="U262" i="1"/>
  <c r="S262" i="1"/>
  <c r="R262" i="1"/>
  <c r="J262" i="1"/>
  <c r="I262" i="1"/>
  <c r="G262" i="1"/>
  <c r="F262" i="1"/>
  <c r="V261" i="1"/>
  <c r="U261" i="1"/>
  <c r="S261" i="1"/>
  <c r="R261" i="1"/>
  <c r="J261" i="1"/>
  <c r="I261" i="1"/>
  <c r="G261" i="1"/>
  <c r="F261" i="1"/>
  <c r="X257" i="1"/>
  <c r="V257" i="1"/>
  <c r="U257" i="1"/>
  <c r="S257" i="1"/>
  <c r="R257" i="1"/>
  <c r="M257" i="1"/>
  <c r="L257" i="1"/>
  <c r="K257" i="1"/>
  <c r="J257" i="1"/>
  <c r="I257" i="1"/>
  <c r="H257" i="1"/>
  <c r="V256" i="1"/>
  <c r="U256" i="1"/>
  <c r="S256" i="1"/>
  <c r="R256" i="1"/>
  <c r="K256" i="1"/>
  <c r="J256" i="1"/>
  <c r="I256" i="1"/>
  <c r="H256" i="1"/>
  <c r="G256" i="1"/>
  <c r="F256" i="1"/>
  <c r="V255" i="1"/>
  <c r="U255" i="1"/>
  <c r="S255" i="1"/>
  <c r="R255" i="1"/>
  <c r="K255" i="1"/>
  <c r="J255" i="1"/>
  <c r="I255" i="1"/>
  <c r="H255" i="1"/>
  <c r="G255" i="1"/>
  <c r="F255" i="1"/>
  <c r="X250" i="1"/>
  <c r="V250" i="1"/>
  <c r="U250" i="1"/>
  <c r="S250" i="1"/>
  <c r="R250" i="1"/>
  <c r="L250" i="1"/>
  <c r="J250" i="1"/>
  <c r="I250" i="1"/>
  <c r="G250" i="1"/>
  <c r="F250" i="1"/>
  <c r="V249" i="1"/>
  <c r="U249" i="1"/>
  <c r="S249" i="1"/>
  <c r="R249" i="1"/>
  <c r="J249" i="1"/>
  <c r="I249" i="1"/>
  <c r="G249" i="1"/>
  <c r="F249" i="1"/>
  <c r="V248" i="1"/>
  <c r="U248" i="1"/>
  <c r="S248" i="1"/>
  <c r="R248" i="1"/>
  <c r="J248" i="1"/>
  <c r="I248" i="1"/>
  <c r="G248" i="1"/>
  <c r="F248" i="1"/>
  <c r="X244" i="1"/>
  <c r="V244" i="1"/>
  <c r="U244" i="1"/>
  <c r="S244" i="1"/>
  <c r="R244" i="1"/>
  <c r="M244" i="1"/>
  <c r="L244" i="1"/>
  <c r="K244" i="1"/>
  <c r="J244" i="1"/>
  <c r="I244" i="1"/>
  <c r="H244" i="1"/>
  <c r="V243" i="1"/>
  <c r="U243" i="1"/>
  <c r="S243" i="1"/>
  <c r="R243" i="1"/>
  <c r="K243" i="1"/>
  <c r="J243" i="1"/>
  <c r="I243" i="1"/>
  <c r="H243" i="1"/>
  <c r="G243" i="1"/>
  <c r="F243" i="1"/>
  <c r="V242" i="1"/>
  <c r="U242" i="1"/>
  <c r="S242" i="1"/>
  <c r="R242" i="1"/>
  <c r="K242" i="1"/>
  <c r="J242" i="1"/>
  <c r="I242" i="1"/>
  <c r="H242" i="1"/>
  <c r="G242" i="1"/>
  <c r="F242" i="1"/>
  <c r="X237" i="1"/>
  <c r="V237" i="1"/>
  <c r="U237" i="1"/>
  <c r="L237" i="1"/>
  <c r="J237" i="1"/>
  <c r="I237" i="1"/>
  <c r="V236" i="1"/>
  <c r="U236" i="1"/>
  <c r="S236" i="1"/>
  <c r="R236" i="1"/>
  <c r="J236" i="1"/>
  <c r="I236" i="1"/>
  <c r="G236" i="1"/>
  <c r="F236" i="1"/>
  <c r="V235" i="1"/>
  <c r="U235" i="1"/>
  <c r="S235" i="1"/>
  <c r="R235" i="1"/>
  <c r="J235" i="1"/>
  <c r="I235" i="1"/>
  <c r="G235" i="1"/>
  <c r="F235" i="1"/>
  <c r="X231" i="1"/>
  <c r="V231" i="1"/>
  <c r="U231" i="1"/>
  <c r="M231" i="1"/>
  <c r="L231" i="1"/>
  <c r="K231" i="1"/>
  <c r="H231" i="1"/>
  <c r="V230" i="1"/>
  <c r="U230" i="1"/>
  <c r="S230" i="1"/>
  <c r="R230" i="1"/>
  <c r="K230" i="1"/>
  <c r="J230" i="1"/>
  <c r="I230" i="1"/>
  <c r="H230" i="1"/>
  <c r="G230" i="1"/>
  <c r="F230" i="1"/>
  <c r="V229" i="1"/>
  <c r="U229" i="1"/>
  <c r="S229" i="1"/>
  <c r="R229" i="1"/>
  <c r="K229" i="1"/>
  <c r="J229" i="1"/>
  <c r="I229" i="1"/>
  <c r="H229" i="1"/>
  <c r="G229" i="1"/>
  <c r="F229" i="1"/>
  <c r="X224" i="1"/>
  <c r="V224" i="1"/>
  <c r="U224" i="1"/>
  <c r="S224" i="1"/>
  <c r="R224" i="1"/>
  <c r="L224" i="1"/>
  <c r="J224" i="1"/>
  <c r="I224" i="1"/>
  <c r="G224" i="1"/>
  <c r="F224" i="1"/>
  <c r="V223" i="1"/>
  <c r="U223" i="1"/>
  <c r="S223" i="1"/>
  <c r="R223" i="1"/>
  <c r="J223" i="1"/>
  <c r="I223" i="1"/>
  <c r="G223" i="1"/>
  <c r="F223" i="1"/>
  <c r="V222" i="1"/>
  <c r="U222" i="1"/>
  <c r="S222" i="1"/>
  <c r="R222" i="1"/>
  <c r="J222" i="1"/>
  <c r="I222" i="1"/>
  <c r="G222" i="1"/>
  <c r="F222" i="1"/>
  <c r="X218" i="1"/>
  <c r="V218" i="1"/>
  <c r="U218" i="1"/>
  <c r="S218" i="1"/>
  <c r="R218" i="1"/>
  <c r="M218" i="1"/>
  <c r="L218" i="1"/>
  <c r="K218" i="1"/>
  <c r="J218" i="1"/>
  <c r="I218" i="1"/>
  <c r="H218" i="1"/>
  <c r="V217" i="1"/>
  <c r="U217" i="1"/>
  <c r="S217" i="1"/>
  <c r="R217" i="1"/>
  <c r="K217" i="1"/>
  <c r="J217" i="1"/>
  <c r="I217" i="1"/>
  <c r="H217" i="1"/>
  <c r="G217" i="1"/>
  <c r="F217" i="1"/>
  <c r="V216" i="1"/>
  <c r="U216" i="1"/>
  <c r="S216" i="1"/>
  <c r="R216" i="1"/>
  <c r="K216" i="1"/>
  <c r="J216" i="1"/>
  <c r="I216" i="1"/>
  <c r="H216" i="1"/>
  <c r="G216" i="1"/>
  <c r="F216" i="1"/>
  <c r="X211" i="1"/>
  <c r="V211" i="1"/>
  <c r="U211" i="1"/>
  <c r="S211" i="1"/>
  <c r="R211" i="1"/>
  <c r="L211" i="1"/>
  <c r="J211" i="1"/>
  <c r="I211" i="1"/>
  <c r="G211" i="1"/>
  <c r="F211" i="1"/>
  <c r="V210" i="1"/>
  <c r="U210" i="1"/>
  <c r="S210" i="1"/>
  <c r="R210" i="1"/>
  <c r="J210" i="1"/>
  <c r="I210" i="1"/>
  <c r="G210" i="1"/>
  <c r="F210" i="1"/>
  <c r="V209" i="1"/>
  <c r="U209" i="1"/>
  <c r="S209" i="1"/>
  <c r="R209" i="1"/>
  <c r="J209" i="1"/>
  <c r="I209" i="1"/>
  <c r="G209" i="1"/>
  <c r="F209" i="1"/>
  <c r="X205" i="1"/>
  <c r="V205" i="1"/>
  <c r="U205" i="1"/>
  <c r="S205" i="1"/>
  <c r="R205" i="1"/>
  <c r="M205" i="1"/>
  <c r="L205" i="1"/>
  <c r="K205" i="1"/>
  <c r="J205" i="1"/>
  <c r="I205" i="1"/>
  <c r="H205" i="1"/>
  <c r="G205" i="1"/>
  <c r="F205" i="1"/>
  <c r="V204" i="1"/>
  <c r="U204" i="1"/>
  <c r="S204" i="1"/>
  <c r="R204" i="1"/>
  <c r="K204" i="1"/>
  <c r="J204" i="1"/>
  <c r="I204" i="1"/>
  <c r="H204" i="1"/>
  <c r="G204" i="1"/>
  <c r="F204" i="1"/>
  <c r="V203" i="1"/>
  <c r="U203" i="1"/>
  <c r="S203" i="1"/>
  <c r="R203" i="1"/>
  <c r="K203" i="1"/>
  <c r="J203" i="1"/>
  <c r="I203" i="1"/>
  <c r="H203" i="1"/>
  <c r="G203" i="1"/>
  <c r="F203" i="1"/>
  <c r="X198" i="1"/>
  <c r="V198" i="1"/>
  <c r="U198" i="1"/>
  <c r="S198" i="1"/>
  <c r="R198" i="1"/>
  <c r="L198" i="1"/>
  <c r="J198" i="1"/>
  <c r="I198" i="1"/>
  <c r="G198" i="1"/>
  <c r="F198" i="1"/>
  <c r="V197" i="1"/>
  <c r="U197" i="1"/>
  <c r="S197" i="1"/>
  <c r="R197" i="1"/>
  <c r="J197" i="1"/>
  <c r="I197" i="1"/>
  <c r="G197" i="1"/>
  <c r="F197" i="1"/>
  <c r="V196" i="1"/>
  <c r="U196" i="1"/>
  <c r="S196" i="1"/>
  <c r="R196" i="1"/>
  <c r="J196" i="1"/>
  <c r="I196" i="1"/>
  <c r="G196" i="1"/>
  <c r="F196" i="1"/>
  <c r="X192" i="1"/>
  <c r="V192" i="1"/>
  <c r="U192" i="1"/>
  <c r="S192" i="1"/>
  <c r="R192" i="1"/>
  <c r="M192" i="1"/>
  <c r="L192" i="1"/>
  <c r="K192" i="1"/>
  <c r="J192" i="1"/>
  <c r="I192" i="1"/>
  <c r="H192" i="1"/>
  <c r="G192" i="1"/>
  <c r="V191" i="1"/>
  <c r="U191" i="1"/>
  <c r="S191" i="1"/>
  <c r="R191" i="1"/>
  <c r="K191" i="1"/>
  <c r="J191" i="1"/>
  <c r="I191" i="1"/>
  <c r="H191" i="1"/>
  <c r="G191" i="1"/>
  <c r="F191" i="1"/>
  <c r="V190" i="1"/>
  <c r="U190" i="1"/>
  <c r="S190" i="1"/>
  <c r="R190" i="1"/>
  <c r="K190" i="1"/>
  <c r="J190" i="1"/>
  <c r="I190" i="1"/>
  <c r="H190" i="1"/>
  <c r="G190" i="1"/>
  <c r="F190" i="1"/>
  <c r="X185" i="1"/>
  <c r="V185" i="1"/>
  <c r="U185" i="1"/>
  <c r="S185" i="1"/>
  <c r="R185" i="1"/>
  <c r="L185" i="1"/>
  <c r="J185" i="1"/>
  <c r="I185" i="1"/>
  <c r="G185" i="1"/>
  <c r="F185" i="1"/>
  <c r="V184" i="1"/>
  <c r="U184" i="1"/>
  <c r="S184" i="1"/>
  <c r="R184" i="1"/>
  <c r="J184" i="1"/>
  <c r="I184" i="1"/>
  <c r="G184" i="1"/>
  <c r="F184" i="1"/>
  <c r="V183" i="1"/>
  <c r="U183" i="1"/>
  <c r="S183" i="1"/>
  <c r="R183" i="1"/>
  <c r="J183" i="1"/>
  <c r="I183" i="1"/>
  <c r="G183" i="1"/>
  <c r="F183" i="1"/>
  <c r="X179" i="1"/>
  <c r="V179" i="1"/>
  <c r="U179" i="1"/>
  <c r="S179" i="1"/>
  <c r="R179" i="1"/>
  <c r="M179" i="1"/>
  <c r="L179" i="1"/>
  <c r="K179" i="1"/>
  <c r="J179" i="1"/>
  <c r="I179" i="1"/>
  <c r="H179" i="1"/>
  <c r="G179" i="1"/>
  <c r="F179" i="1"/>
  <c r="V178" i="1"/>
  <c r="U178" i="1"/>
  <c r="S178" i="1"/>
  <c r="R178" i="1"/>
  <c r="K178" i="1"/>
  <c r="J178" i="1"/>
  <c r="I178" i="1"/>
  <c r="H178" i="1"/>
  <c r="G178" i="1"/>
  <c r="F178" i="1"/>
  <c r="V177" i="1"/>
  <c r="U177" i="1"/>
  <c r="S177" i="1"/>
  <c r="R177" i="1"/>
  <c r="K177" i="1"/>
  <c r="J177" i="1"/>
  <c r="I177" i="1"/>
  <c r="H177" i="1"/>
  <c r="G177" i="1"/>
  <c r="F177" i="1"/>
  <c r="X172" i="1"/>
  <c r="V172" i="1"/>
  <c r="U172" i="1"/>
  <c r="S172" i="1"/>
  <c r="R172" i="1"/>
  <c r="L172" i="1"/>
  <c r="J172" i="1"/>
  <c r="I172" i="1"/>
  <c r="G172" i="1"/>
  <c r="F172" i="1"/>
  <c r="V171" i="1"/>
  <c r="U171" i="1"/>
  <c r="S171" i="1"/>
  <c r="R171" i="1"/>
  <c r="J171" i="1"/>
  <c r="I171" i="1"/>
  <c r="G171" i="1"/>
  <c r="F171" i="1"/>
  <c r="V170" i="1"/>
  <c r="U170" i="1"/>
  <c r="S170" i="1"/>
  <c r="R170" i="1"/>
  <c r="J170" i="1"/>
  <c r="I170" i="1"/>
  <c r="G170" i="1"/>
  <c r="F170" i="1"/>
  <c r="X166" i="1"/>
  <c r="V166" i="1"/>
  <c r="U166" i="1"/>
  <c r="S166" i="1"/>
  <c r="R166" i="1"/>
  <c r="M166" i="1"/>
  <c r="L166" i="1"/>
  <c r="K166" i="1"/>
  <c r="J166" i="1"/>
  <c r="I166" i="1"/>
  <c r="H166" i="1"/>
  <c r="G166" i="1"/>
  <c r="F166" i="1"/>
  <c r="V165" i="1"/>
  <c r="U165" i="1"/>
  <c r="S165" i="1"/>
  <c r="R165" i="1"/>
  <c r="K165" i="1"/>
  <c r="J165" i="1"/>
  <c r="I165" i="1"/>
  <c r="H165" i="1"/>
  <c r="G165" i="1"/>
  <c r="F165" i="1"/>
  <c r="V164" i="1"/>
  <c r="U164" i="1"/>
  <c r="S164" i="1"/>
  <c r="R164" i="1"/>
  <c r="K164" i="1"/>
  <c r="J164" i="1"/>
  <c r="I164" i="1"/>
  <c r="H164" i="1"/>
  <c r="G164" i="1"/>
  <c r="F164" i="1"/>
  <c r="X159" i="1"/>
  <c r="V159" i="1"/>
  <c r="U159" i="1"/>
  <c r="S159" i="1"/>
  <c r="R159" i="1"/>
  <c r="L159" i="1"/>
  <c r="J159" i="1"/>
  <c r="I159" i="1"/>
  <c r="G159" i="1"/>
  <c r="F159" i="1"/>
  <c r="V158" i="1"/>
  <c r="U158" i="1"/>
  <c r="S158" i="1"/>
  <c r="R158" i="1"/>
  <c r="J158" i="1"/>
  <c r="I158" i="1"/>
  <c r="G158" i="1"/>
  <c r="F158" i="1"/>
  <c r="V157" i="1"/>
  <c r="U157" i="1"/>
  <c r="S157" i="1"/>
  <c r="R157" i="1"/>
  <c r="J157" i="1"/>
  <c r="I157" i="1"/>
  <c r="G157" i="1"/>
  <c r="F157" i="1"/>
  <c r="X153" i="1"/>
  <c r="V153" i="1"/>
  <c r="U153" i="1"/>
  <c r="S153" i="1"/>
  <c r="R153" i="1"/>
  <c r="M153" i="1"/>
  <c r="L153" i="1"/>
  <c r="K153" i="1"/>
  <c r="J153" i="1"/>
  <c r="I153" i="1"/>
  <c r="H153" i="1"/>
  <c r="V152" i="1"/>
  <c r="U152" i="1"/>
  <c r="S152" i="1"/>
  <c r="R152" i="1"/>
  <c r="K152" i="1"/>
  <c r="J152" i="1"/>
  <c r="I152" i="1"/>
  <c r="H152" i="1"/>
  <c r="G152" i="1"/>
  <c r="F152" i="1"/>
  <c r="V151" i="1"/>
  <c r="U151" i="1"/>
  <c r="S151" i="1"/>
  <c r="R151" i="1"/>
  <c r="K151" i="1"/>
  <c r="J151" i="1"/>
  <c r="I151" i="1"/>
  <c r="H151" i="1"/>
  <c r="G151" i="1"/>
  <c r="F151" i="1"/>
  <c r="X146" i="1"/>
  <c r="V146" i="1"/>
  <c r="U146" i="1"/>
  <c r="S146" i="1"/>
  <c r="R146" i="1"/>
  <c r="L146" i="1"/>
  <c r="J146" i="1"/>
  <c r="I146" i="1"/>
  <c r="G146" i="1"/>
  <c r="F146" i="1"/>
  <c r="V145" i="1"/>
  <c r="U145" i="1"/>
  <c r="S145" i="1"/>
  <c r="R145" i="1"/>
  <c r="J145" i="1"/>
  <c r="I145" i="1"/>
  <c r="G145" i="1"/>
  <c r="F145" i="1"/>
  <c r="V144" i="1"/>
  <c r="U144" i="1"/>
  <c r="S144" i="1"/>
  <c r="R144" i="1"/>
  <c r="J144" i="1"/>
  <c r="I144" i="1"/>
  <c r="G144" i="1"/>
  <c r="F144" i="1"/>
  <c r="X140" i="1"/>
  <c r="V140" i="1"/>
  <c r="U140" i="1"/>
  <c r="S140" i="1"/>
  <c r="R140" i="1"/>
  <c r="M140" i="1"/>
  <c r="L140" i="1"/>
  <c r="K140" i="1"/>
  <c r="J140" i="1"/>
  <c r="I140" i="1"/>
  <c r="H140" i="1"/>
  <c r="G140" i="1"/>
  <c r="F140" i="1"/>
  <c r="V139" i="1"/>
  <c r="U139" i="1"/>
  <c r="S139" i="1"/>
  <c r="R139" i="1"/>
  <c r="K139" i="1"/>
  <c r="J139" i="1"/>
  <c r="I139" i="1"/>
  <c r="H139" i="1"/>
  <c r="G139" i="1"/>
  <c r="F139" i="1"/>
  <c r="V138" i="1"/>
  <c r="U138" i="1"/>
  <c r="S138" i="1"/>
  <c r="R138" i="1"/>
  <c r="K138" i="1"/>
  <c r="J138" i="1"/>
  <c r="I138" i="1"/>
  <c r="H138" i="1"/>
  <c r="G138" i="1"/>
  <c r="F138" i="1"/>
  <c r="X133" i="1"/>
  <c r="V133" i="1"/>
  <c r="U133" i="1"/>
  <c r="S133" i="1"/>
  <c r="R133" i="1"/>
  <c r="L133" i="1"/>
  <c r="J133" i="1"/>
  <c r="I133" i="1"/>
  <c r="G133" i="1"/>
  <c r="F133" i="1"/>
  <c r="V132" i="1"/>
  <c r="U132" i="1"/>
  <c r="S132" i="1"/>
  <c r="R132" i="1"/>
  <c r="J132" i="1"/>
  <c r="I132" i="1"/>
  <c r="G132" i="1"/>
  <c r="F132" i="1"/>
  <c r="V131" i="1"/>
  <c r="U131" i="1"/>
  <c r="S131" i="1"/>
  <c r="R131" i="1"/>
  <c r="J131" i="1"/>
  <c r="I131" i="1"/>
  <c r="G131" i="1"/>
  <c r="F131" i="1"/>
  <c r="X127" i="1"/>
  <c r="V127" i="1"/>
  <c r="U127" i="1"/>
  <c r="S127" i="1"/>
  <c r="R127" i="1"/>
  <c r="M127" i="1"/>
  <c r="L127" i="1"/>
  <c r="K127" i="1"/>
  <c r="J127" i="1"/>
  <c r="I127" i="1"/>
  <c r="H127" i="1"/>
  <c r="G127" i="1"/>
  <c r="F127" i="1"/>
  <c r="V126" i="1"/>
  <c r="U126" i="1"/>
  <c r="S126" i="1"/>
  <c r="R126" i="1"/>
  <c r="K126" i="1"/>
  <c r="J126" i="1"/>
  <c r="I126" i="1"/>
  <c r="H126" i="1"/>
  <c r="G126" i="1"/>
  <c r="F126" i="1"/>
  <c r="V125" i="1"/>
  <c r="U125" i="1"/>
  <c r="S125" i="1"/>
  <c r="R125" i="1"/>
  <c r="K125" i="1"/>
  <c r="J125" i="1"/>
  <c r="I125" i="1"/>
  <c r="H125" i="1"/>
  <c r="G125" i="1"/>
  <c r="F125" i="1"/>
  <c r="X120" i="1"/>
  <c r="V120" i="1"/>
  <c r="U120" i="1"/>
  <c r="S120" i="1"/>
  <c r="R120" i="1"/>
  <c r="L120" i="1"/>
  <c r="J120" i="1"/>
  <c r="I120" i="1"/>
  <c r="G120" i="1"/>
  <c r="F120" i="1"/>
  <c r="V119" i="1"/>
  <c r="U119" i="1"/>
  <c r="S119" i="1"/>
  <c r="R119" i="1"/>
  <c r="J119" i="1"/>
  <c r="I119" i="1"/>
  <c r="G119" i="1"/>
  <c r="F119" i="1"/>
  <c r="V118" i="1"/>
  <c r="U118" i="1"/>
  <c r="S118" i="1"/>
  <c r="R118" i="1"/>
  <c r="J118" i="1"/>
  <c r="I118" i="1"/>
  <c r="G118" i="1"/>
  <c r="F118" i="1"/>
  <c r="X114" i="1"/>
  <c r="V114" i="1"/>
  <c r="U114" i="1"/>
  <c r="S114" i="1"/>
  <c r="R114" i="1"/>
  <c r="M114" i="1"/>
  <c r="L114" i="1"/>
  <c r="K114" i="1"/>
  <c r="J114" i="1"/>
  <c r="I114" i="1"/>
  <c r="H114" i="1"/>
  <c r="G114" i="1"/>
  <c r="F114" i="1"/>
  <c r="V113" i="1"/>
  <c r="U113" i="1"/>
  <c r="S113" i="1"/>
  <c r="R113" i="1"/>
  <c r="K113" i="1"/>
  <c r="J113" i="1"/>
  <c r="I113" i="1"/>
  <c r="H113" i="1"/>
  <c r="G113" i="1"/>
  <c r="F113" i="1"/>
  <c r="V112" i="1"/>
  <c r="U112" i="1"/>
  <c r="S112" i="1"/>
  <c r="R112" i="1"/>
  <c r="K112" i="1"/>
  <c r="J112" i="1"/>
  <c r="I112" i="1"/>
  <c r="H112" i="1"/>
  <c r="G112" i="1"/>
  <c r="F112" i="1"/>
  <c r="X107" i="1"/>
  <c r="V107" i="1"/>
  <c r="U107" i="1"/>
  <c r="S107" i="1"/>
  <c r="R107" i="1"/>
  <c r="L107" i="1"/>
  <c r="J107" i="1"/>
  <c r="I107" i="1"/>
  <c r="G107" i="1"/>
  <c r="F107" i="1"/>
  <c r="V106" i="1"/>
  <c r="U106" i="1"/>
  <c r="S106" i="1"/>
  <c r="R106" i="1"/>
  <c r="J106" i="1"/>
  <c r="I106" i="1"/>
  <c r="G106" i="1"/>
  <c r="F106" i="1"/>
  <c r="V105" i="1"/>
  <c r="U105" i="1"/>
  <c r="S105" i="1"/>
  <c r="R105" i="1"/>
  <c r="J105" i="1"/>
  <c r="I105" i="1"/>
  <c r="G105" i="1"/>
  <c r="F105" i="1"/>
  <c r="X101" i="1"/>
  <c r="V101" i="1"/>
  <c r="U101" i="1"/>
  <c r="S101" i="1"/>
  <c r="R101" i="1"/>
  <c r="M101" i="1"/>
  <c r="L101" i="1"/>
  <c r="K101" i="1"/>
  <c r="J101" i="1"/>
  <c r="I101" i="1"/>
  <c r="H101" i="1"/>
  <c r="G101" i="1"/>
  <c r="V100" i="1"/>
  <c r="U100" i="1"/>
  <c r="S100" i="1"/>
  <c r="R100" i="1"/>
  <c r="K100" i="1"/>
  <c r="J100" i="1"/>
  <c r="I100" i="1"/>
  <c r="H100" i="1"/>
  <c r="G100" i="1"/>
  <c r="F100" i="1"/>
  <c r="V99" i="1"/>
  <c r="U99" i="1"/>
  <c r="S99" i="1"/>
  <c r="R99" i="1"/>
  <c r="K99" i="1"/>
  <c r="J99" i="1"/>
  <c r="I99" i="1"/>
  <c r="H99" i="1"/>
  <c r="G99" i="1"/>
  <c r="F99" i="1"/>
  <c r="X94" i="1"/>
  <c r="V94" i="1"/>
  <c r="U94" i="1"/>
  <c r="S94" i="1"/>
  <c r="R94" i="1"/>
  <c r="L94" i="1"/>
  <c r="J94" i="1"/>
  <c r="I94" i="1"/>
  <c r="G94" i="1"/>
  <c r="F94" i="1"/>
  <c r="V93" i="1"/>
  <c r="U93" i="1"/>
  <c r="S93" i="1"/>
  <c r="R93" i="1"/>
  <c r="J93" i="1"/>
  <c r="I93" i="1"/>
  <c r="G93" i="1"/>
  <c r="F93" i="1"/>
  <c r="V92" i="1"/>
  <c r="U92" i="1"/>
  <c r="S92" i="1"/>
  <c r="R92" i="1"/>
  <c r="J92" i="1"/>
  <c r="I92" i="1"/>
  <c r="G92" i="1"/>
  <c r="F92" i="1"/>
  <c r="X88" i="1"/>
  <c r="V88" i="1"/>
  <c r="U88" i="1"/>
  <c r="S88" i="1"/>
  <c r="R88" i="1"/>
  <c r="M88" i="1"/>
  <c r="L88" i="1"/>
  <c r="K88" i="1"/>
  <c r="J88" i="1"/>
  <c r="I88" i="1"/>
  <c r="H88" i="1"/>
  <c r="G88" i="1"/>
  <c r="V87" i="1"/>
  <c r="U87" i="1"/>
  <c r="S87" i="1"/>
  <c r="R87" i="1"/>
  <c r="K87" i="1"/>
  <c r="J87" i="1"/>
  <c r="I87" i="1"/>
  <c r="H87" i="1"/>
  <c r="G87" i="1"/>
  <c r="F87" i="1"/>
  <c r="V86" i="1"/>
  <c r="U86" i="1"/>
  <c r="S86" i="1"/>
  <c r="R86" i="1"/>
  <c r="K86" i="1"/>
  <c r="J86" i="1"/>
  <c r="I86" i="1"/>
  <c r="H86" i="1"/>
  <c r="G86" i="1"/>
  <c r="F86" i="1"/>
  <c r="X81" i="1"/>
  <c r="V81" i="1"/>
  <c r="U81" i="1"/>
  <c r="S81" i="1"/>
  <c r="R81" i="1"/>
  <c r="L81" i="1"/>
  <c r="J81" i="1"/>
  <c r="I81" i="1"/>
  <c r="G81" i="1"/>
  <c r="F81" i="1"/>
  <c r="V80" i="1"/>
  <c r="U80" i="1"/>
  <c r="S80" i="1"/>
  <c r="R80" i="1"/>
  <c r="J80" i="1"/>
  <c r="I80" i="1"/>
  <c r="G80" i="1"/>
  <c r="F80" i="1"/>
  <c r="V79" i="1"/>
  <c r="U79" i="1"/>
  <c r="S79" i="1"/>
  <c r="R79" i="1"/>
  <c r="J79" i="1"/>
  <c r="I79" i="1"/>
  <c r="G79" i="1"/>
  <c r="F79" i="1"/>
  <c r="X75" i="1"/>
  <c r="V75" i="1"/>
  <c r="U75" i="1"/>
  <c r="S75" i="1"/>
  <c r="R75" i="1"/>
  <c r="M75" i="1"/>
  <c r="L75" i="1"/>
  <c r="K75" i="1"/>
  <c r="J75" i="1"/>
  <c r="I75" i="1"/>
  <c r="H75" i="1"/>
  <c r="G75" i="1"/>
  <c r="V74" i="1"/>
  <c r="U74" i="1"/>
  <c r="S74" i="1"/>
  <c r="R74" i="1"/>
  <c r="K74" i="1"/>
  <c r="J74" i="1"/>
  <c r="I74" i="1"/>
  <c r="H74" i="1"/>
  <c r="G74" i="1"/>
  <c r="F74" i="1"/>
  <c r="V73" i="1"/>
  <c r="U73" i="1"/>
  <c r="S73" i="1"/>
  <c r="R73" i="1"/>
  <c r="K73" i="1"/>
  <c r="J73" i="1"/>
  <c r="I73" i="1"/>
  <c r="H73" i="1"/>
  <c r="G73" i="1"/>
  <c r="F73" i="1"/>
  <c r="X263" i="38"/>
  <c r="V263" i="38"/>
  <c r="U263" i="38"/>
  <c r="S263" i="38"/>
  <c r="R263" i="38"/>
  <c r="L263" i="38"/>
  <c r="J263" i="38"/>
  <c r="I263" i="38"/>
  <c r="G263" i="38"/>
  <c r="F263" i="38"/>
  <c r="V262" i="38"/>
  <c r="U262" i="38"/>
  <c r="S262" i="38"/>
  <c r="R262" i="38"/>
  <c r="J262" i="38"/>
  <c r="I262" i="38"/>
  <c r="G262" i="38"/>
  <c r="F262" i="38"/>
  <c r="V261" i="38"/>
  <c r="U261" i="38"/>
  <c r="S261" i="38"/>
  <c r="R261" i="38"/>
  <c r="J261" i="38"/>
  <c r="I261" i="38"/>
  <c r="G261" i="38"/>
  <c r="F261" i="38"/>
  <c r="X257" i="38"/>
  <c r="V257" i="38"/>
  <c r="U257" i="38"/>
  <c r="S257" i="38"/>
  <c r="R257" i="38"/>
  <c r="M257" i="38"/>
  <c r="L257" i="38"/>
  <c r="K257" i="38"/>
  <c r="J257" i="38"/>
  <c r="I257" i="38"/>
  <c r="H257" i="38"/>
  <c r="G257" i="38"/>
  <c r="F257" i="38"/>
  <c r="V256" i="38"/>
  <c r="U256" i="38"/>
  <c r="S256" i="38"/>
  <c r="R256" i="38"/>
  <c r="K256" i="38"/>
  <c r="J256" i="38"/>
  <c r="I256" i="38"/>
  <c r="H256" i="38"/>
  <c r="G256" i="38"/>
  <c r="F256" i="38"/>
  <c r="V255" i="38"/>
  <c r="U255" i="38"/>
  <c r="S255" i="38"/>
  <c r="R255" i="38"/>
  <c r="K255" i="38"/>
  <c r="J255" i="38"/>
  <c r="I255" i="38"/>
  <c r="H255" i="38"/>
  <c r="G255" i="38"/>
  <c r="F255" i="38"/>
  <c r="X250" i="38"/>
  <c r="V250" i="38"/>
  <c r="U250" i="38"/>
  <c r="S250" i="38"/>
  <c r="R250" i="38"/>
  <c r="L250" i="38"/>
  <c r="J250" i="38"/>
  <c r="I250" i="38"/>
  <c r="G250" i="38"/>
  <c r="F250" i="38"/>
  <c r="V249" i="38"/>
  <c r="U249" i="38"/>
  <c r="S249" i="38"/>
  <c r="R249" i="38"/>
  <c r="J249" i="38"/>
  <c r="I249" i="38"/>
  <c r="G249" i="38"/>
  <c r="F249" i="38"/>
  <c r="V248" i="38"/>
  <c r="U248" i="38"/>
  <c r="S248" i="38"/>
  <c r="R248" i="38"/>
  <c r="J248" i="38"/>
  <c r="I248" i="38"/>
  <c r="G248" i="38"/>
  <c r="F248" i="38"/>
  <c r="X244" i="38"/>
  <c r="V244" i="38"/>
  <c r="U244" i="38"/>
  <c r="S244" i="38"/>
  <c r="R244" i="38"/>
  <c r="M244" i="38"/>
  <c r="L244" i="38"/>
  <c r="K244" i="38"/>
  <c r="J244" i="38"/>
  <c r="I244" i="38"/>
  <c r="H244" i="38"/>
  <c r="V243" i="38"/>
  <c r="U243" i="38"/>
  <c r="S243" i="38"/>
  <c r="R243" i="38"/>
  <c r="K243" i="38"/>
  <c r="J243" i="38"/>
  <c r="I243" i="38"/>
  <c r="H243" i="38"/>
  <c r="G243" i="38"/>
  <c r="F243" i="38"/>
  <c r="V242" i="38"/>
  <c r="U242" i="38"/>
  <c r="S242" i="38"/>
  <c r="R242" i="38"/>
  <c r="K242" i="38"/>
  <c r="J242" i="38"/>
  <c r="I242" i="38"/>
  <c r="H242" i="38"/>
  <c r="G242" i="38"/>
  <c r="F242" i="38"/>
  <c r="X237" i="38"/>
  <c r="V237" i="38"/>
  <c r="U237" i="38"/>
  <c r="S237" i="38"/>
  <c r="R237" i="38"/>
  <c r="L237" i="38"/>
  <c r="J237" i="38"/>
  <c r="I237" i="38"/>
  <c r="G237" i="38"/>
  <c r="F237" i="38"/>
  <c r="V236" i="38"/>
  <c r="U236" i="38"/>
  <c r="S236" i="38"/>
  <c r="R236" i="38"/>
  <c r="J236" i="38"/>
  <c r="I236" i="38"/>
  <c r="G236" i="38"/>
  <c r="F236" i="38"/>
  <c r="V235" i="38"/>
  <c r="U235" i="38"/>
  <c r="S235" i="38"/>
  <c r="R235" i="38"/>
  <c r="J235" i="38"/>
  <c r="I235" i="38"/>
  <c r="G235" i="38"/>
  <c r="F235" i="38"/>
  <c r="X231" i="38"/>
  <c r="V231" i="38"/>
  <c r="U231" i="38"/>
  <c r="S231" i="38"/>
  <c r="R231" i="38"/>
  <c r="M231" i="38"/>
  <c r="L231" i="38"/>
  <c r="K231" i="38"/>
  <c r="J231" i="38"/>
  <c r="I231" i="38"/>
  <c r="H231" i="38"/>
  <c r="F231" i="38"/>
  <c r="V230" i="38"/>
  <c r="U230" i="38"/>
  <c r="S230" i="38"/>
  <c r="R230" i="38"/>
  <c r="K230" i="38"/>
  <c r="J230" i="38"/>
  <c r="I230" i="38"/>
  <c r="H230" i="38"/>
  <c r="G230" i="38"/>
  <c r="F230" i="38"/>
  <c r="V229" i="38"/>
  <c r="U229" i="38"/>
  <c r="S229" i="38"/>
  <c r="R229" i="38"/>
  <c r="K229" i="38"/>
  <c r="J229" i="38"/>
  <c r="I229" i="38"/>
  <c r="H229" i="38"/>
  <c r="G229" i="38"/>
  <c r="F229" i="38"/>
  <c r="X224" i="38"/>
  <c r="V224" i="38"/>
  <c r="U224" i="38"/>
  <c r="S224" i="38"/>
  <c r="R224" i="38"/>
  <c r="L224" i="38"/>
  <c r="J224" i="38"/>
  <c r="I224" i="38"/>
  <c r="G224" i="38"/>
  <c r="F224" i="38"/>
  <c r="V223" i="38"/>
  <c r="U223" i="38"/>
  <c r="S223" i="38"/>
  <c r="R223" i="38"/>
  <c r="J223" i="38"/>
  <c r="I223" i="38"/>
  <c r="G223" i="38"/>
  <c r="F223" i="38"/>
  <c r="V222" i="38"/>
  <c r="U222" i="38"/>
  <c r="S222" i="38"/>
  <c r="R222" i="38"/>
  <c r="J222" i="38"/>
  <c r="I222" i="38"/>
  <c r="G222" i="38"/>
  <c r="F222" i="38"/>
  <c r="X218" i="38"/>
  <c r="V218" i="38"/>
  <c r="U218" i="38"/>
  <c r="S218" i="38"/>
  <c r="R218" i="38"/>
  <c r="M218" i="38"/>
  <c r="L218" i="38"/>
  <c r="K218" i="38"/>
  <c r="J218" i="38"/>
  <c r="I218" i="38"/>
  <c r="H218" i="38"/>
  <c r="G218" i="38"/>
  <c r="F218" i="38"/>
  <c r="V217" i="38"/>
  <c r="U217" i="38"/>
  <c r="S217" i="38"/>
  <c r="R217" i="38"/>
  <c r="K217" i="38"/>
  <c r="J217" i="38"/>
  <c r="I217" i="38"/>
  <c r="H217" i="38"/>
  <c r="G217" i="38"/>
  <c r="F217" i="38"/>
  <c r="V216" i="38"/>
  <c r="U216" i="38"/>
  <c r="S216" i="38"/>
  <c r="R216" i="38"/>
  <c r="K216" i="38"/>
  <c r="J216" i="38"/>
  <c r="I216" i="38"/>
  <c r="H216" i="38"/>
  <c r="G216" i="38"/>
  <c r="F216" i="38"/>
  <c r="X211" i="38"/>
  <c r="V211" i="38"/>
  <c r="U211" i="38"/>
  <c r="S211" i="38"/>
  <c r="R211" i="38"/>
  <c r="L211" i="38"/>
  <c r="J211" i="38"/>
  <c r="I211" i="38"/>
  <c r="G211" i="38"/>
  <c r="F211" i="38"/>
  <c r="V210" i="38"/>
  <c r="U210" i="38"/>
  <c r="S210" i="38"/>
  <c r="R210" i="38"/>
  <c r="J210" i="38"/>
  <c r="I210" i="38"/>
  <c r="G210" i="38"/>
  <c r="F210" i="38"/>
  <c r="V209" i="38"/>
  <c r="U209" i="38"/>
  <c r="S209" i="38"/>
  <c r="R209" i="38"/>
  <c r="J209" i="38"/>
  <c r="I209" i="38"/>
  <c r="G209" i="38"/>
  <c r="F209" i="38"/>
  <c r="X205" i="38"/>
  <c r="V205" i="38"/>
  <c r="U205" i="38"/>
  <c r="S205" i="38"/>
  <c r="R205" i="38"/>
  <c r="M205" i="38"/>
  <c r="L205" i="38"/>
  <c r="K205" i="38"/>
  <c r="J205" i="38"/>
  <c r="I205" i="38"/>
  <c r="H205" i="38"/>
  <c r="G205" i="38"/>
  <c r="F205" i="38"/>
  <c r="V204" i="38"/>
  <c r="U204" i="38"/>
  <c r="S204" i="38"/>
  <c r="R204" i="38"/>
  <c r="K204" i="38"/>
  <c r="J204" i="38"/>
  <c r="I204" i="38"/>
  <c r="H204" i="38"/>
  <c r="G204" i="38"/>
  <c r="F204" i="38"/>
  <c r="V203" i="38"/>
  <c r="U203" i="38"/>
  <c r="S203" i="38"/>
  <c r="R203" i="38"/>
  <c r="K203" i="38"/>
  <c r="J203" i="38"/>
  <c r="I203" i="38"/>
  <c r="H203" i="38"/>
  <c r="G203" i="38"/>
  <c r="F203" i="38"/>
  <c r="X198" i="38"/>
  <c r="V198" i="38"/>
  <c r="U198" i="38"/>
  <c r="S198" i="38"/>
  <c r="R198" i="38"/>
  <c r="L198" i="38"/>
  <c r="J198" i="38"/>
  <c r="I198" i="38"/>
  <c r="G198" i="38"/>
  <c r="F198" i="38"/>
  <c r="V197" i="38"/>
  <c r="U197" i="38"/>
  <c r="S197" i="38"/>
  <c r="R197" i="38"/>
  <c r="J197" i="38"/>
  <c r="I197" i="38"/>
  <c r="G197" i="38"/>
  <c r="F197" i="38"/>
  <c r="V196" i="38"/>
  <c r="U196" i="38"/>
  <c r="S196" i="38"/>
  <c r="R196" i="38"/>
  <c r="J196" i="38"/>
  <c r="I196" i="38"/>
  <c r="G196" i="38"/>
  <c r="F196" i="38"/>
  <c r="X192" i="38"/>
  <c r="V192" i="38"/>
  <c r="U192" i="38"/>
  <c r="S192" i="38"/>
  <c r="R192" i="38"/>
  <c r="M192" i="38"/>
  <c r="L192" i="38"/>
  <c r="K192" i="38"/>
  <c r="J192" i="38"/>
  <c r="I192" i="38"/>
  <c r="H192" i="38"/>
  <c r="G192" i="38"/>
  <c r="F192" i="38"/>
  <c r="V191" i="38"/>
  <c r="U191" i="38"/>
  <c r="S191" i="38"/>
  <c r="R191" i="38"/>
  <c r="K191" i="38"/>
  <c r="J191" i="38"/>
  <c r="I191" i="38"/>
  <c r="H191" i="38"/>
  <c r="G191" i="38"/>
  <c r="F191" i="38"/>
  <c r="V190" i="38"/>
  <c r="U190" i="38"/>
  <c r="S190" i="38"/>
  <c r="R190" i="38"/>
  <c r="K190" i="38"/>
  <c r="J190" i="38"/>
  <c r="I190" i="38"/>
  <c r="H190" i="38"/>
  <c r="G190" i="38"/>
  <c r="F190" i="38"/>
  <c r="X185" i="38"/>
  <c r="V185" i="38"/>
  <c r="U185" i="38"/>
  <c r="S185" i="38"/>
  <c r="R185" i="38"/>
  <c r="L185" i="38"/>
  <c r="J185" i="38"/>
  <c r="I185" i="38"/>
  <c r="G185" i="38"/>
  <c r="F185" i="38"/>
  <c r="V184" i="38"/>
  <c r="U184" i="38"/>
  <c r="S184" i="38"/>
  <c r="R184" i="38"/>
  <c r="J184" i="38"/>
  <c r="I184" i="38"/>
  <c r="G184" i="38"/>
  <c r="F184" i="38"/>
  <c r="V183" i="38"/>
  <c r="U183" i="38"/>
  <c r="S183" i="38"/>
  <c r="R183" i="38"/>
  <c r="J183" i="38"/>
  <c r="I183" i="38"/>
  <c r="G183" i="38"/>
  <c r="F183" i="38"/>
  <c r="X179" i="38"/>
  <c r="V179" i="38"/>
  <c r="U179" i="38"/>
  <c r="S179" i="38"/>
  <c r="R179" i="38"/>
  <c r="M179" i="38"/>
  <c r="L179" i="38"/>
  <c r="K179" i="38"/>
  <c r="J179" i="38"/>
  <c r="I179" i="38"/>
  <c r="H179" i="38"/>
  <c r="G179" i="38"/>
  <c r="F179" i="38"/>
  <c r="V178" i="38"/>
  <c r="U178" i="38"/>
  <c r="S178" i="38"/>
  <c r="R178" i="38"/>
  <c r="K178" i="38"/>
  <c r="J178" i="38"/>
  <c r="I178" i="38"/>
  <c r="H178" i="38"/>
  <c r="G178" i="38"/>
  <c r="F178" i="38"/>
  <c r="V177" i="38"/>
  <c r="U177" i="38"/>
  <c r="S177" i="38"/>
  <c r="R177" i="38"/>
  <c r="K177" i="38"/>
  <c r="J177" i="38"/>
  <c r="I177" i="38"/>
  <c r="H177" i="38"/>
  <c r="G177" i="38"/>
  <c r="F177" i="38"/>
  <c r="X172" i="38"/>
  <c r="V172" i="38"/>
  <c r="U172" i="38"/>
  <c r="S172" i="38"/>
  <c r="R172" i="38"/>
  <c r="L172" i="38"/>
  <c r="J172" i="38"/>
  <c r="I172" i="38"/>
  <c r="G172" i="38"/>
  <c r="F172" i="38"/>
  <c r="V171" i="38"/>
  <c r="U171" i="38"/>
  <c r="S171" i="38"/>
  <c r="R171" i="38"/>
  <c r="J171" i="38"/>
  <c r="I171" i="38"/>
  <c r="G171" i="38"/>
  <c r="F171" i="38"/>
  <c r="V170" i="38"/>
  <c r="U170" i="38"/>
  <c r="S170" i="38"/>
  <c r="R170" i="38"/>
  <c r="J170" i="38"/>
  <c r="I170" i="38"/>
  <c r="G170" i="38"/>
  <c r="F170" i="38"/>
  <c r="X166" i="38"/>
  <c r="V166" i="38"/>
  <c r="U166" i="38"/>
  <c r="S166" i="38"/>
  <c r="R166" i="38"/>
  <c r="M166" i="38"/>
  <c r="L166" i="38"/>
  <c r="K166" i="38"/>
  <c r="J166" i="38"/>
  <c r="I166" i="38"/>
  <c r="H166" i="38"/>
  <c r="G166" i="38"/>
  <c r="F166" i="38"/>
  <c r="V165" i="38"/>
  <c r="U165" i="38"/>
  <c r="S165" i="38"/>
  <c r="R165" i="38"/>
  <c r="K165" i="38"/>
  <c r="J165" i="38"/>
  <c r="I165" i="38"/>
  <c r="H165" i="38"/>
  <c r="G165" i="38"/>
  <c r="F165" i="38"/>
  <c r="V164" i="38"/>
  <c r="U164" i="38"/>
  <c r="S164" i="38"/>
  <c r="R164" i="38"/>
  <c r="K164" i="38"/>
  <c r="J164" i="38"/>
  <c r="I164" i="38"/>
  <c r="H164" i="38"/>
  <c r="G164" i="38"/>
  <c r="F164" i="38"/>
  <c r="X159" i="38"/>
  <c r="V159" i="38"/>
  <c r="U159" i="38"/>
  <c r="S159" i="38"/>
  <c r="R159" i="38"/>
  <c r="L159" i="38"/>
  <c r="J159" i="38"/>
  <c r="I159" i="38"/>
  <c r="G159" i="38"/>
  <c r="F159" i="38"/>
  <c r="V158" i="38"/>
  <c r="U158" i="38"/>
  <c r="S158" i="38"/>
  <c r="R158" i="38"/>
  <c r="J158" i="38"/>
  <c r="I158" i="38"/>
  <c r="G158" i="38"/>
  <c r="F158" i="38"/>
  <c r="V157" i="38"/>
  <c r="U157" i="38"/>
  <c r="S157" i="38"/>
  <c r="R157" i="38"/>
  <c r="J157" i="38"/>
  <c r="I157" i="38"/>
  <c r="G157" i="38"/>
  <c r="F157" i="38"/>
  <c r="X153" i="38"/>
  <c r="V153" i="38"/>
  <c r="U153" i="38"/>
  <c r="S153" i="38"/>
  <c r="R153" i="38"/>
  <c r="M153" i="38"/>
  <c r="L153" i="38"/>
  <c r="K153" i="38"/>
  <c r="J153" i="38"/>
  <c r="I153" i="38"/>
  <c r="H153" i="38"/>
  <c r="G153" i="38"/>
  <c r="F153" i="38"/>
  <c r="V152" i="38"/>
  <c r="U152" i="38"/>
  <c r="S152" i="38"/>
  <c r="R152" i="38"/>
  <c r="K152" i="38"/>
  <c r="J152" i="38"/>
  <c r="I152" i="38"/>
  <c r="H152" i="38"/>
  <c r="G152" i="38"/>
  <c r="F152" i="38"/>
  <c r="V151" i="38"/>
  <c r="U151" i="38"/>
  <c r="S151" i="38"/>
  <c r="R151" i="38"/>
  <c r="K151" i="38"/>
  <c r="J151" i="38"/>
  <c r="I151" i="38"/>
  <c r="H151" i="38"/>
  <c r="G151" i="38"/>
  <c r="F151" i="38"/>
  <c r="X146" i="38"/>
  <c r="V146" i="38"/>
  <c r="U146" i="38"/>
  <c r="S146" i="38"/>
  <c r="R146" i="38"/>
  <c r="L146" i="38"/>
  <c r="J146" i="38"/>
  <c r="I146" i="38"/>
  <c r="G146" i="38"/>
  <c r="F146" i="38"/>
  <c r="V145" i="38"/>
  <c r="U145" i="38"/>
  <c r="S145" i="38"/>
  <c r="R145" i="38"/>
  <c r="J145" i="38"/>
  <c r="I145" i="38"/>
  <c r="G145" i="38"/>
  <c r="F145" i="38"/>
  <c r="V144" i="38"/>
  <c r="U144" i="38"/>
  <c r="S144" i="38"/>
  <c r="R144" i="38"/>
  <c r="J144" i="38"/>
  <c r="I144" i="38"/>
  <c r="G144" i="38"/>
  <c r="F144" i="38"/>
  <c r="X140" i="38"/>
  <c r="V140" i="38"/>
  <c r="U140" i="38"/>
  <c r="S140" i="38"/>
  <c r="R140" i="38"/>
  <c r="M140" i="38"/>
  <c r="L140" i="38"/>
  <c r="K140" i="38"/>
  <c r="J140" i="38"/>
  <c r="I140" i="38"/>
  <c r="H140" i="38"/>
  <c r="G140" i="38"/>
  <c r="F140" i="38"/>
  <c r="V139" i="38"/>
  <c r="U139" i="38"/>
  <c r="S139" i="38"/>
  <c r="R139" i="38"/>
  <c r="K139" i="38"/>
  <c r="J139" i="38"/>
  <c r="I139" i="38"/>
  <c r="H139" i="38"/>
  <c r="G139" i="38"/>
  <c r="F139" i="38"/>
  <c r="V138" i="38"/>
  <c r="U138" i="38"/>
  <c r="S138" i="38"/>
  <c r="R138" i="38"/>
  <c r="K138" i="38"/>
  <c r="J138" i="38"/>
  <c r="I138" i="38"/>
  <c r="H138" i="38"/>
  <c r="G138" i="38"/>
  <c r="F138" i="38"/>
  <c r="X133" i="38"/>
  <c r="V133" i="38"/>
  <c r="U133" i="38"/>
  <c r="S133" i="38"/>
  <c r="R133" i="38"/>
  <c r="L133" i="38"/>
  <c r="J133" i="38"/>
  <c r="I133" i="38"/>
  <c r="G133" i="38"/>
  <c r="F133" i="38"/>
  <c r="V132" i="38"/>
  <c r="U132" i="38"/>
  <c r="S132" i="38"/>
  <c r="R132" i="38"/>
  <c r="J132" i="38"/>
  <c r="I132" i="38"/>
  <c r="G132" i="38"/>
  <c r="F132" i="38"/>
  <c r="V131" i="38"/>
  <c r="U131" i="38"/>
  <c r="S131" i="38"/>
  <c r="R131" i="38"/>
  <c r="J131" i="38"/>
  <c r="I131" i="38"/>
  <c r="G131" i="38"/>
  <c r="F131" i="38"/>
  <c r="X127" i="38"/>
  <c r="V127" i="38"/>
  <c r="U127" i="38"/>
  <c r="S127" i="38"/>
  <c r="R127" i="38"/>
  <c r="M127" i="38"/>
  <c r="L127" i="38"/>
  <c r="K127" i="38"/>
  <c r="J127" i="38"/>
  <c r="I127" i="38"/>
  <c r="H127" i="38"/>
  <c r="G127" i="38"/>
  <c r="V126" i="38"/>
  <c r="U126" i="38"/>
  <c r="S126" i="38"/>
  <c r="R126" i="38"/>
  <c r="K126" i="38"/>
  <c r="J126" i="38"/>
  <c r="I126" i="38"/>
  <c r="H126" i="38"/>
  <c r="G126" i="38"/>
  <c r="F126" i="38"/>
  <c r="V125" i="38"/>
  <c r="U125" i="38"/>
  <c r="S125" i="38"/>
  <c r="R125" i="38"/>
  <c r="K125" i="38"/>
  <c r="J125" i="38"/>
  <c r="I125" i="38"/>
  <c r="H125" i="38"/>
  <c r="G125" i="38"/>
  <c r="F125" i="38"/>
  <c r="X120" i="38"/>
  <c r="V120" i="38"/>
  <c r="U120" i="38"/>
  <c r="S120" i="38"/>
  <c r="R120" i="38"/>
  <c r="L120" i="38"/>
  <c r="J120" i="38"/>
  <c r="I120" i="38"/>
  <c r="G120" i="38"/>
  <c r="F120" i="38"/>
  <c r="V119" i="38"/>
  <c r="U119" i="38"/>
  <c r="S119" i="38"/>
  <c r="R119" i="38"/>
  <c r="J119" i="38"/>
  <c r="I119" i="38"/>
  <c r="G119" i="38"/>
  <c r="F119" i="38"/>
  <c r="V118" i="38"/>
  <c r="U118" i="38"/>
  <c r="S118" i="38"/>
  <c r="R118" i="38"/>
  <c r="J118" i="38"/>
  <c r="I118" i="38"/>
  <c r="G118" i="38"/>
  <c r="F118" i="38"/>
  <c r="X114" i="38"/>
  <c r="V114" i="38"/>
  <c r="U114" i="38"/>
  <c r="S114" i="38"/>
  <c r="R114" i="38"/>
  <c r="M114" i="38"/>
  <c r="L114" i="38"/>
  <c r="K114" i="38"/>
  <c r="J114" i="38"/>
  <c r="I114" i="38"/>
  <c r="H114" i="38"/>
  <c r="G114" i="38"/>
  <c r="F114" i="38"/>
  <c r="V113" i="38"/>
  <c r="U113" i="38"/>
  <c r="S113" i="38"/>
  <c r="R113" i="38"/>
  <c r="K113" i="38"/>
  <c r="J113" i="38"/>
  <c r="I113" i="38"/>
  <c r="H113" i="38"/>
  <c r="G113" i="38"/>
  <c r="F113" i="38"/>
  <c r="V112" i="38"/>
  <c r="U112" i="38"/>
  <c r="S112" i="38"/>
  <c r="R112" i="38"/>
  <c r="K112" i="38"/>
  <c r="J112" i="38"/>
  <c r="I112" i="38"/>
  <c r="H112" i="38"/>
  <c r="G112" i="38"/>
  <c r="F112" i="38"/>
  <c r="X107" i="38"/>
  <c r="V107" i="38"/>
  <c r="U107" i="38"/>
  <c r="S107" i="38"/>
  <c r="R107" i="38"/>
  <c r="L107" i="38"/>
  <c r="J107" i="38"/>
  <c r="I107" i="38"/>
  <c r="G107" i="38"/>
  <c r="F107" i="38"/>
  <c r="V106" i="38"/>
  <c r="U106" i="38"/>
  <c r="S106" i="38"/>
  <c r="R106" i="38"/>
  <c r="J106" i="38"/>
  <c r="I106" i="38"/>
  <c r="G106" i="38"/>
  <c r="F106" i="38"/>
  <c r="V105" i="38"/>
  <c r="U105" i="38"/>
  <c r="S105" i="38"/>
  <c r="R105" i="38"/>
  <c r="J105" i="38"/>
  <c r="I105" i="38"/>
  <c r="G105" i="38"/>
  <c r="F105" i="38"/>
  <c r="X101" i="38"/>
  <c r="V101" i="38"/>
  <c r="U101" i="38"/>
  <c r="S101" i="38"/>
  <c r="R101" i="38"/>
  <c r="M101" i="38"/>
  <c r="L101" i="38"/>
  <c r="K101" i="38"/>
  <c r="J101" i="38"/>
  <c r="I101" i="38"/>
  <c r="H101" i="38"/>
  <c r="G101" i="38"/>
  <c r="F101" i="38"/>
  <c r="V100" i="38"/>
  <c r="U100" i="38"/>
  <c r="S100" i="38"/>
  <c r="R100" i="38"/>
  <c r="K100" i="38"/>
  <c r="J100" i="38"/>
  <c r="I100" i="38"/>
  <c r="H100" i="38"/>
  <c r="G100" i="38"/>
  <c r="F100" i="38"/>
  <c r="V99" i="38"/>
  <c r="U99" i="38"/>
  <c r="S99" i="38"/>
  <c r="R99" i="38"/>
  <c r="K99" i="38"/>
  <c r="J99" i="38"/>
  <c r="I99" i="38"/>
  <c r="H99" i="38"/>
  <c r="G99" i="38"/>
  <c r="F99" i="38"/>
  <c r="X94" i="38"/>
  <c r="V94" i="38"/>
  <c r="U94" i="38"/>
  <c r="S94" i="38"/>
  <c r="R94" i="38"/>
  <c r="L94" i="38"/>
  <c r="J94" i="38"/>
  <c r="I94" i="38"/>
  <c r="G94" i="38"/>
  <c r="F94" i="38"/>
  <c r="V93" i="38"/>
  <c r="U93" i="38"/>
  <c r="S93" i="38"/>
  <c r="R93" i="38"/>
  <c r="J93" i="38"/>
  <c r="I93" i="38"/>
  <c r="G93" i="38"/>
  <c r="F93" i="38"/>
  <c r="V92" i="38"/>
  <c r="U92" i="38"/>
  <c r="S92" i="38"/>
  <c r="R92" i="38"/>
  <c r="J92" i="38"/>
  <c r="I92" i="38"/>
  <c r="G92" i="38"/>
  <c r="F92" i="38"/>
  <c r="X88" i="38"/>
  <c r="V88" i="38"/>
  <c r="U88" i="38"/>
  <c r="S88" i="38"/>
  <c r="R88" i="38"/>
  <c r="M88" i="38"/>
  <c r="L88" i="38"/>
  <c r="K88" i="38"/>
  <c r="J88" i="38"/>
  <c r="I88" i="38"/>
  <c r="H88" i="38"/>
  <c r="G88" i="38"/>
  <c r="F88" i="38"/>
  <c r="V87" i="38"/>
  <c r="U87" i="38"/>
  <c r="S87" i="38"/>
  <c r="R87" i="38"/>
  <c r="K87" i="38"/>
  <c r="J87" i="38"/>
  <c r="I87" i="38"/>
  <c r="H87" i="38"/>
  <c r="G87" i="38"/>
  <c r="F87" i="38"/>
  <c r="V86" i="38"/>
  <c r="U86" i="38"/>
  <c r="S86" i="38"/>
  <c r="R86" i="38"/>
  <c r="K86" i="38"/>
  <c r="J86" i="38"/>
  <c r="I86" i="38"/>
  <c r="H86" i="38"/>
  <c r="G86" i="38"/>
  <c r="F86" i="38"/>
  <c r="X81" i="38"/>
  <c r="V81" i="38"/>
  <c r="U81" i="38"/>
  <c r="S81" i="38"/>
  <c r="R81" i="38"/>
  <c r="L81" i="38"/>
  <c r="J81" i="38"/>
  <c r="I81" i="38"/>
  <c r="G81" i="38"/>
  <c r="F81" i="38"/>
  <c r="V80" i="38"/>
  <c r="U80" i="38"/>
  <c r="S80" i="38"/>
  <c r="R80" i="38"/>
  <c r="J80" i="38"/>
  <c r="I80" i="38"/>
  <c r="G80" i="38"/>
  <c r="F80" i="38"/>
  <c r="V79" i="38"/>
  <c r="U79" i="38"/>
  <c r="S79" i="38"/>
  <c r="R79" i="38"/>
  <c r="J79" i="38"/>
  <c r="I79" i="38"/>
  <c r="G79" i="38"/>
  <c r="F79" i="38"/>
  <c r="X75" i="38"/>
  <c r="V75" i="38"/>
  <c r="U75" i="38"/>
  <c r="S75" i="38"/>
  <c r="R75" i="38"/>
  <c r="M75" i="38"/>
  <c r="L75" i="38"/>
  <c r="K75" i="38"/>
  <c r="J75" i="38"/>
  <c r="I75" i="38"/>
  <c r="H75" i="38"/>
  <c r="G75" i="38"/>
  <c r="F75" i="38"/>
  <c r="V74" i="38"/>
  <c r="U74" i="38"/>
  <c r="S74" i="38"/>
  <c r="R74" i="38"/>
  <c r="K74" i="38"/>
  <c r="J74" i="38"/>
  <c r="I74" i="38"/>
  <c r="H74" i="38"/>
  <c r="G74" i="38"/>
  <c r="F74" i="38"/>
  <c r="V73" i="38"/>
  <c r="U73" i="38"/>
  <c r="S73" i="38"/>
  <c r="R73" i="38"/>
  <c r="K73" i="38"/>
  <c r="J73" i="38"/>
  <c r="I73" i="38"/>
  <c r="H73" i="38"/>
  <c r="G73" i="38"/>
  <c r="F73" i="38"/>
</calcChain>
</file>

<file path=xl/sharedStrings.xml><?xml version="1.0" encoding="utf-8"?>
<sst xmlns="http://schemas.openxmlformats.org/spreadsheetml/2006/main" count="3793" uniqueCount="67">
  <si>
    <t>pbi</t>
  </si>
  <si>
    <t>1-pbi</t>
  </si>
  <si>
    <t>pbj</t>
  </si>
  <si>
    <t>1-pbj</t>
  </si>
  <si>
    <t>pbk</t>
  </si>
  <si>
    <t>1-pbk</t>
  </si>
  <si>
    <t>R0=0.1</t>
  </si>
  <si>
    <t>R0=0.3</t>
  </si>
  <si>
    <t>n1=0</t>
  </si>
  <si>
    <t>n1=1</t>
  </si>
  <si>
    <t>n1=2</t>
  </si>
  <si>
    <t>n1=3</t>
  </si>
  <si>
    <t>RLP</t>
  </si>
  <si>
    <t>50个全塑性</t>
  </si>
  <si>
    <t>49个塑，1个脆</t>
  </si>
  <si>
    <t>48个塑，2个脆</t>
  </si>
  <si>
    <t>47个塑，3个脆</t>
  </si>
  <si>
    <t>下界</t>
  </si>
  <si>
    <t>上界</t>
  </si>
  <si>
    <t>CPU计算时间</t>
  </si>
  <si>
    <t>K=1</t>
  </si>
  <si>
    <t>K=2</t>
  </si>
  <si>
    <t>K=3</t>
  </si>
  <si>
    <t>LP</t>
  </si>
  <si>
    <t>MC</t>
  </si>
  <si>
    <t>计算结果</t>
  </si>
  <si>
    <t>R0=0.5</t>
  </si>
  <si>
    <t>R0=0.7</t>
  </si>
  <si>
    <t>R0=0.9</t>
  </si>
  <si>
    <t xml:space="preserve">    </t>
  </si>
  <si>
    <t>计算最终结果</t>
  </si>
  <si>
    <t xml:space="preserve">cpu计算时间 </t>
  </si>
  <si>
    <t>cpu计算时间</t>
  </si>
  <si>
    <t>Pbi=0.05</t>
  </si>
  <si>
    <t>k=1</t>
  </si>
  <si>
    <t>Pbi=0.1</t>
  </si>
  <si>
    <t>k=2</t>
  </si>
  <si>
    <t>k=3</t>
  </si>
  <si>
    <t>Pbi=0.2</t>
  </si>
  <si>
    <t>Pbi=0.3</t>
  </si>
  <si>
    <t>Pbj=0.05</t>
  </si>
  <si>
    <t>Pbj=0.1</t>
  </si>
  <si>
    <t>Pbj=0.2</t>
  </si>
  <si>
    <t>Pbj=0.3</t>
  </si>
  <si>
    <t>Pbk=0.05</t>
  </si>
  <si>
    <t>Pbk=0.1</t>
  </si>
  <si>
    <t>Pbk=0.2</t>
  </si>
  <si>
    <t>Pbk=0.3</t>
  </si>
  <si>
    <t>单位</t>
  </si>
  <si>
    <t>10^-3</t>
  </si>
  <si>
    <t>7个全塑性</t>
  </si>
  <si>
    <t>6个塑，1个脆</t>
  </si>
  <si>
    <t>5个塑，2个脆</t>
  </si>
  <si>
    <t>4个塑，3个脆</t>
  </si>
  <si>
    <t>6个塑，1个脆</t>
    <phoneticPr fontId="2" type="noConversion"/>
  </si>
  <si>
    <t>4个塑，3个脆</t>
    <phoneticPr fontId="2" type="noConversion"/>
  </si>
  <si>
    <t>R0：构件间的相关系数</t>
    <phoneticPr fontId="2" type="noConversion"/>
  </si>
  <si>
    <t>Pbk:潜在脆性破坏构件k呈现脆性性能的发生概率</t>
    <phoneticPr fontId="2" type="noConversion"/>
  </si>
  <si>
    <t>Pbi:潜在脆性破坏构件i呈现脆性性能的发生概率</t>
    <phoneticPr fontId="2" type="noConversion"/>
  </si>
  <si>
    <t>1-Pbk:潜在脆性破坏构件k呈现塑性性能的发生概率</t>
    <phoneticPr fontId="2" type="noConversion"/>
  </si>
  <si>
    <t>1-Pbi:潜在脆性破坏构件i呈现塑性性能的发生概率</t>
    <phoneticPr fontId="2" type="noConversion"/>
  </si>
  <si>
    <t>n1：潜在脆性破坏构件个数</t>
    <phoneticPr fontId="2" type="noConversion"/>
  </si>
  <si>
    <t>Pbj:潜在脆性破坏构件j呈现脆性性能的发生概率</t>
    <phoneticPr fontId="2" type="noConversion"/>
  </si>
  <si>
    <t>RLP:松弛线性规划法</t>
    <phoneticPr fontId="2" type="noConversion"/>
  </si>
  <si>
    <t>1-Pbj:潜在脆性破坏构件j呈现塑性性能的发生概率</t>
    <phoneticPr fontId="2" type="noConversion"/>
  </si>
  <si>
    <t>LP:线性规划法</t>
    <phoneticPr fontId="2" type="noConversion"/>
  </si>
  <si>
    <t>MC：蒙特卡洛法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</si>
</sst>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63"/>
  <sheetViews>
    <sheetView zoomScale="40" zoomScaleNormal="40" workbookViewId="0">
      <selection activeCell="P1" sqref="P1:X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1.7773437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6" t="s">
        <v>56</v>
      </c>
      <c r="Q1" s="6"/>
      <c r="R1" s="6"/>
      <c r="S1" s="6"/>
      <c r="T1" s="6"/>
      <c r="U1" s="6" t="s">
        <v>57</v>
      </c>
      <c r="V1" s="6"/>
      <c r="W1" s="6"/>
      <c r="X1" s="6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6" t="s">
        <v>58</v>
      </c>
      <c r="Q2" s="6"/>
      <c r="R2" s="6"/>
      <c r="S2" s="6"/>
      <c r="T2" s="6"/>
      <c r="U2" s="6" t="s">
        <v>59</v>
      </c>
      <c r="V2" s="6"/>
      <c r="W2" s="6"/>
      <c r="X2" s="6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6" t="s">
        <v>60</v>
      </c>
      <c r="Q3" s="6"/>
      <c r="R3" s="6"/>
      <c r="S3" s="6"/>
      <c r="T3" s="6"/>
      <c r="U3" s="6" t="s">
        <v>61</v>
      </c>
      <c r="V3" s="6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6" t="s">
        <v>62</v>
      </c>
      <c r="Q4" s="6"/>
      <c r="R4" s="6"/>
      <c r="S4" s="6"/>
      <c r="T4" s="6"/>
      <c r="U4" s="6" t="s">
        <v>63</v>
      </c>
      <c r="V4" s="6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6" t="s">
        <v>64</v>
      </c>
      <c r="Q5" s="6"/>
      <c r="R5" s="6"/>
      <c r="S5" s="6"/>
      <c r="T5" s="6"/>
      <c r="U5" s="6" t="s">
        <v>65</v>
      </c>
      <c r="V5" s="6"/>
      <c r="W5" s="6" t="s">
        <v>66</v>
      </c>
    </row>
    <row r="7" spans="1:35" x14ac:dyDescent="0.25">
      <c r="A7" s="1" t="s">
        <v>6</v>
      </c>
      <c r="S7" s="1" t="s">
        <v>7</v>
      </c>
    </row>
    <row r="8" spans="1:35" x14ac:dyDescent="0.25">
      <c r="B8" s="8" t="s">
        <v>8</v>
      </c>
      <c r="C8" s="8"/>
      <c r="D8" s="8"/>
      <c r="E8" s="8"/>
      <c r="F8" s="8" t="s">
        <v>9</v>
      </c>
      <c r="G8" s="8"/>
      <c r="H8" s="8"/>
      <c r="I8" s="8"/>
      <c r="J8" s="8" t="s">
        <v>10</v>
      </c>
      <c r="K8" s="8"/>
      <c r="L8" s="8"/>
      <c r="M8" s="8"/>
      <c r="N8" s="8" t="s">
        <v>11</v>
      </c>
      <c r="O8" s="8"/>
      <c r="P8" s="8"/>
      <c r="Q8" s="8"/>
      <c r="T8" s="8" t="s">
        <v>8</v>
      </c>
      <c r="U8" s="8"/>
      <c r="V8" s="8"/>
      <c r="W8" s="8"/>
      <c r="X8" s="8" t="s">
        <v>9</v>
      </c>
      <c r="Y8" s="8"/>
      <c r="Z8" s="8"/>
      <c r="AA8" s="8"/>
      <c r="AB8" s="8" t="s">
        <v>10</v>
      </c>
      <c r="AC8" s="8"/>
      <c r="AD8" s="8"/>
      <c r="AE8" s="8"/>
      <c r="AF8" s="8" t="s">
        <v>11</v>
      </c>
      <c r="AG8" s="8"/>
      <c r="AH8" s="8"/>
      <c r="AI8" s="8"/>
    </row>
    <row r="9" spans="1:35" x14ac:dyDescent="0.25">
      <c r="A9" s="14" t="s">
        <v>12</v>
      </c>
      <c r="B9" s="8" t="s">
        <v>13</v>
      </c>
      <c r="C9" s="8"/>
      <c r="D9" s="8"/>
      <c r="E9" s="8"/>
      <c r="F9" s="8" t="s">
        <v>14</v>
      </c>
      <c r="G9" s="8"/>
      <c r="H9" s="8"/>
      <c r="I9" s="8"/>
      <c r="J9" s="8" t="s">
        <v>15</v>
      </c>
      <c r="K9" s="8"/>
      <c r="L9" s="8"/>
      <c r="M9" s="8"/>
      <c r="N9" s="8" t="s">
        <v>16</v>
      </c>
      <c r="O9" s="8"/>
      <c r="P9" s="8"/>
      <c r="Q9" s="8"/>
      <c r="S9" s="14" t="s">
        <v>12</v>
      </c>
      <c r="T9" s="8" t="s">
        <v>13</v>
      </c>
      <c r="U9" s="8"/>
      <c r="V9" s="8"/>
      <c r="W9" s="8"/>
      <c r="X9" s="8" t="s">
        <v>14</v>
      </c>
      <c r="Y9" s="8"/>
      <c r="Z9" s="8"/>
      <c r="AA9" s="8"/>
      <c r="AB9" s="8" t="s">
        <v>15</v>
      </c>
      <c r="AC9" s="8"/>
      <c r="AD9" s="8"/>
      <c r="AE9" s="8"/>
      <c r="AF9" s="8" t="s">
        <v>16</v>
      </c>
      <c r="AG9" s="8"/>
      <c r="AH9" s="8"/>
      <c r="AI9" s="8"/>
    </row>
    <row r="10" spans="1:35" x14ac:dyDescent="0.25">
      <c r="A10" s="14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4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4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4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4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4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4"/>
      <c r="B13" s="18" t="s">
        <v>22</v>
      </c>
      <c r="C13" s="18">
        <v>1.43E-2</v>
      </c>
      <c r="D13" s="18">
        <v>1.43E-2</v>
      </c>
      <c r="E13" s="18">
        <v>26.886119000000001</v>
      </c>
      <c r="F13" s="18" t="s">
        <v>22</v>
      </c>
      <c r="G13" s="18">
        <v>1.8499999999999999E-2</v>
      </c>
      <c r="H13" s="18">
        <v>1.9E-2</v>
      </c>
      <c r="I13" s="18">
        <v>29.071217000000001</v>
      </c>
      <c r="J13" s="18" t="s">
        <v>22</v>
      </c>
      <c r="K13" s="18">
        <v>2.2700000000000001E-2</v>
      </c>
      <c r="L13" s="18">
        <v>2.2700000000000001E-2</v>
      </c>
      <c r="M13" s="18">
        <v>27.328700000000001</v>
      </c>
      <c r="N13" s="18" t="s">
        <v>22</v>
      </c>
      <c r="O13" s="18">
        <v>2.6800000000000001E-2</v>
      </c>
      <c r="P13" s="18">
        <v>2.6800000000000001E-2</v>
      </c>
      <c r="Q13" s="18">
        <v>27.660691</v>
      </c>
      <c r="S13" s="14"/>
      <c r="T13" t="s">
        <v>22</v>
      </c>
      <c r="U13">
        <v>1.2200000000000001E-2</v>
      </c>
      <c r="V13">
        <v>1.32E-2</v>
      </c>
      <c r="W13">
        <v>348.59706899999998</v>
      </c>
      <c r="X13" t="s">
        <v>22</v>
      </c>
      <c r="Y13">
        <v>1.5800000000000002E-2</v>
      </c>
      <c r="Z13">
        <v>1.7100000000000001E-2</v>
      </c>
      <c r="AA13">
        <v>344.48555199999998</v>
      </c>
      <c r="AB13" t="s">
        <v>22</v>
      </c>
      <c r="AC13">
        <v>1.9300000000000001E-2</v>
      </c>
      <c r="AD13">
        <v>2.1000000000000001E-2</v>
      </c>
      <c r="AE13">
        <v>346.92329899999999</v>
      </c>
      <c r="AF13" t="s">
        <v>22</v>
      </c>
      <c r="AG13">
        <v>2.2700000000000001E-2</v>
      </c>
      <c r="AH13">
        <v>2.47E-2</v>
      </c>
      <c r="AI13">
        <v>368.13525199999998</v>
      </c>
    </row>
    <row r="16" spans="1:35" x14ac:dyDescent="0.25">
      <c r="A16" s="10" t="s">
        <v>23</v>
      </c>
      <c r="B16" s="8" t="s">
        <v>13</v>
      </c>
      <c r="C16" s="8"/>
      <c r="D16" s="8"/>
      <c r="E16" s="8"/>
      <c r="F16" s="8" t="s">
        <v>14</v>
      </c>
      <c r="G16" s="8"/>
      <c r="H16" s="8"/>
      <c r="I16" s="8"/>
      <c r="J16" s="8" t="s">
        <v>15</v>
      </c>
      <c r="K16" s="8"/>
      <c r="L16" s="8"/>
      <c r="M16" s="8"/>
      <c r="N16" s="8" t="s">
        <v>16</v>
      </c>
      <c r="O16" s="8"/>
      <c r="P16" s="8"/>
      <c r="Q16" s="8"/>
      <c r="S16" s="10" t="s">
        <v>23</v>
      </c>
      <c r="T16" s="8" t="s">
        <v>13</v>
      </c>
      <c r="U16" s="8"/>
      <c r="V16" s="8"/>
      <c r="W16" s="8"/>
      <c r="X16" s="8" t="s">
        <v>14</v>
      </c>
      <c r="Y16" s="8"/>
      <c r="Z16" s="8"/>
      <c r="AA16" s="8"/>
      <c r="AB16" s="8" t="s">
        <v>15</v>
      </c>
      <c r="AC16" s="8"/>
      <c r="AD16" s="8"/>
      <c r="AE16" s="8"/>
      <c r="AF16" s="8" t="s">
        <v>16</v>
      </c>
      <c r="AG16" s="8"/>
      <c r="AH16" s="8"/>
      <c r="AI16" s="8"/>
    </row>
    <row r="17" spans="1:35" x14ac:dyDescent="0.25">
      <c r="A17" s="10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0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0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0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0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0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0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0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1.9900000000000001E-2</v>
      </c>
      <c r="AD20">
        <v>2.0500000000000001E-2</v>
      </c>
      <c r="AE20">
        <v>520.54528300000004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15" t="s">
        <v>24</v>
      </c>
      <c r="B23" s="8" t="s">
        <v>13</v>
      </c>
      <c r="C23" s="8"/>
      <c r="D23" s="8"/>
      <c r="E23" s="8"/>
      <c r="F23" s="8" t="s">
        <v>14</v>
      </c>
      <c r="G23" s="8"/>
      <c r="H23" s="8"/>
      <c r="I23" s="8"/>
      <c r="J23" s="8" t="s">
        <v>15</v>
      </c>
      <c r="K23" s="8"/>
      <c r="L23" s="8"/>
      <c r="M23" s="8"/>
      <c r="N23" s="8" t="s">
        <v>16</v>
      </c>
      <c r="O23" s="8"/>
      <c r="P23" s="8"/>
      <c r="Q23" s="8"/>
      <c r="S23" s="15" t="s">
        <v>24</v>
      </c>
      <c r="T23" s="8" t="s">
        <v>13</v>
      </c>
      <c r="U23" s="8"/>
      <c r="V23" s="8"/>
      <c r="W23" s="8"/>
      <c r="X23" s="8" t="s">
        <v>14</v>
      </c>
      <c r="Y23" s="8"/>
      <c r="Z23" s="8"/>
      <c r="AA23" s="8"/>
      <c r="AB23" s="8" t="s">
        <v>15</v>
      </c>
      <c r="AC23" s="8"/>
      <c r="AD23" s="8"/>
      <c r="AE23" s="8"/>
      <c r="AF23" s="8" t="s">
        <v>16</v>
      </c>
      <c r="AG23" s="8"/>
      <c r="AH23" s="8"/>
      <c r="AI23" s="8"/>
    </row>
    <row r="24" spans="1:35" x14ac:dyDescent="0.25">
      <c r="A24" s="15"/>
      <c r="B24" s="8" t="s">
        <v>25</v>
      </c>
      <c r="C24" s="8"/>
      <c r="D24" s="8"/>
      <c r="E24" t="s">
        <v>19</v>
      </c>
      <c r="F24" s="8" t="s">
        <v>25</v>
      </c>
      <c r="G24" s="8"/>
      <c r="H24" s="8"/>
      <c r="I24" t="s">
        <v>19</v>
      </c>
      <c r="J24" s="8" t="s">
        <v>25</v>
      </c>
      <c r="K24" s="8"/>
      <c r="L24" s="8"/>
      <c r="M24" t="s">
        <v>19</v>
      </c>
      <c r="N24" s="8" t="s">
        <v>25</v>
      </c>
      <c r="O24" s="8"/>
      <c r="P24" s="8"/>
      <c r="Q24" t="s">
        <v>19</v>
      </c>
      <c r="S24" s="15"/>
      <c r="T24" s="8" t="s">
        <v>25</v>
      </c>
      <c r="U24" s="8"/>
      <c r="V24" s="8"/>
      <c r="W24" t="s">
        <v>19</v>
      </c>
      <c r="X24" s="8" t="s">
        <v>25</v>
      </c>
      <c r="Y24" s="8"/>
      <c r="Z24" s="8"/>
      <c r="AA24" t="s">
        <v>19</v>
      </c>
      <c r="AB24" s="8" t="s">
        <v>25</v>
      </c>
      <c r="AC24" s="8"/>
      <c r="AD24" s="8"/>
      <c r="AE24" t="s">
        <v>19</v>
      </c>
      <c r="AF24" s="8" t="s">
        <v>25</v>
      </c>
      <c r="AG24" s="8"/>
      <c r="AH24" s="8"/>
      <c r="AI24" t="s">
        <v>19</v>
      </c>
    </row>
    <row r="25" spans="1:35" x14ac:dyDescent="0.25">
      <c r="A25" s="15"/>
      <c r="B25">
        <v>1.44E-2</v>
      </c>
      <c r="E25">
        <v>34.082042000000001</v>
      </c>
      <c r="F25">
        <v>1.8499999999999999E-2</v>
      </c>
      <c r="I25">
        <v>25.094287000000001</v>
      </c>
      <c r="J25" s="5">
        <v>2.2700000000000001E-2</v>
      </c>
      <c r="M25">
        <v>22.240565</v>
      </c>
      <c r="N25">
        <v>2.69E-2</v>
      </c>
      <c r="Q25">
        <v>20.925930999999999</v>
      </c>
      <c r="S25" s="15"/>
      <c r="T25">
        <v>1.29E-2</v>
      </c>
      <c r="W25">
        <v>41.854562999999999</v>
      </c>
      <c r="X25">
        <v>1.66E-2</v>
      </c>
      <c r="AA25">
        <v>26.007657999999999</v>
      </c>
      <c r="AB25">
        <v>2.0400000000000001E-2</v>
      </c>
      <c r="AE25">
        <v>30.016611999999999</v>
      </c>
      <c r="AF25">
        <v>2.4E-2</v>
      </c>
      <c r="AI25">
        <v>24.806144</v>
      </c>
    </row>
    <row r="28" spans="1:35" x14ac:dyDescent="0.25">
      <c r="A28" s="1" t="s">
        <v>26</v>
      </c>
      <c r="S28" s="1" t="s">
        <v>27</v>
      </c>
    </row>
    <row r="29" spans="1:35" x14ac:dyDescent="0.25">
      <c r="B29" s="8" t="s">
        <v>8</v>
      </c>
      <c r="C29" s="8"/>
      <c r="D29" s="8"/>
      <c r="E29" s="8"/>
      <c r="F29" s="8" t="s">
        <v>9</v>
      </c>
      <c r="G29" s="8"/>
      <c r="H29" s="8"/>
      <c r="I29" s="8"/>
      <c r="J29" s="8" t="s">
        <v>10</v>
      </c>
      <c r="K29" s="8"/>
      <c r="L29" s="8"/>
      <c r="M29" s="8"/>
      <c r="N29" s="8" t="s">
        <v>11</v>
      </c>
      <c r="O29" s="8"/>
      <c r="P29" s="8"/>
      <c r="Q29" s="8"/>
      <c r="T29" s="8" t="s">
        <v>8</v>
      </c>
      <c r="U29" s="8"/>
      <c r="V29" s="8"/>
      <c r="W29" s="8"/>
      <c r="X29" s="8" t="s">
        <v>9</v>
      </c>
      <c r="Y29" s="8"/>
      <c r="Z29" s="8"/>
      <c r="AA29" s="8"/>
      <c r="AB29" s="8" t="s">
        <v>10</v>
      </c>
      <c r="AC29" s="8"/>
      <c r="AD29" s="8"/>
      <c r="AE29" s="8"/>
      <c r="AF29" s="8" t="s">
        <v>11</v>
      </c>
      <c r="AG29" s="8"/>
      <c r="AH29" s="8"/>
      <c r="AI29" s="8"/>
    </row>
    <row r="30" spans="1:35" x14ac:dyDescent="0.25">
      <c r="A30" s="14" t="s">
        <v>12</v>
      </c>
      <c r="B30" s="8" t="s">
        <v>13</v>
      </c>
      <c r="C30" s="8"/>
      <c r="D30" s="8"/>
      <c r="E30" s="8"/>
      <c r="F30" s="8" t="s">
        <v>14</v>
      </c>
      <c r="G30" s="8"/>
      <c r="H30" s="8"/>
      <c r="I30" s="8"/>
      <c r="J30" s="8" t="s">
        <v>15</v>
      </c>
      <c r="K30" s="8"/>
      <c r="L30" s="8"/>
      <c r="M30" s="8"/>
      <c r="N30" s="8" t="s">
        <v>16</v>
      </c>
      <c r="O30" s="8"/>
      <c r="P30" s="8"/>
      <c r="Q30" s="8"/>
      <c r="S30" s="14" t="s">
        <v>12</v>
      </c>
      <c r="T30" s="8" t="s">
        <v>13</v>
      </c>
      <c r="U30" s="8"/>
      <c r="V30" s="8"/>
      <c r="W30" s="8"/>
      <c r="X30" s="8" t="s">
        <v>14</v>
      </c>
      <c r="Y30" s="8"/>
      <c r="Z30" s="8"/>
      <c r="AA30" s="8"/>
      <c r="AB30" s="8" t="s">
        <v>15</v>
      </c>
      <c r="AC30" s="8"/>
      <c r="AD30" s="8"/>
      <c r="AE30" s="8"/>
      <c r="AF30" s="8" t="s">
        <v>16</v>
      </c>
      <c r="AG30" s="8"/>
      <c r="AH30" s="8"/>
      <c r="AI30" s="8"/>
    </row>
    <row r="31" spans="1:35" x14ac:dyDescent="0.25">
      <c r="A31" s="14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4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4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4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4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4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4"/>
      <c r="B34" t="s">
        <v>22</v>
      </c>
      <c r="C34">
        <v>6.3E-3</v>
      </c>
      <c r="D34">
        <v>1.18E-2</v>
      </c>
      <c r="E34">
        <v>345.02786600000002</v>
      </c>
      <c r="F34" t="s">
        <v>22</v>
      </c>
      <c r="G34">
        <v>8.5000000000000006E-3</v>
      </c>
      <c r="H34">
        <v>1.54E-2</v>
      </c>
      <c r="I34">
        <v>333.69200799999999</v>
      </c>
      <c r="J34" t="s">
        <v>22</v>
      </c>
      <c r="K34">
        <v>1.06E-2</v>
      </c>
      <c r="L34">
        <v>1.9E-2</v>
      </c>
      <c r="M34">
        <v>337.76754499999998</v>
      </c>
      <c r="N34" t="s">
        <v>22</v>
      </c>
      <c r="O34">
        <v>1.2699999999999999E-2</v>
      </c>
      <c r="P34">
        <v>2.2499999999999999E-2</v>
      </c>
      <c r="Q34">
        <v>340.308921</v>
      </c>
      <c r="S34" s="14"/>
      <c r="T34" t="s">
        <v>22</v>
      </c>
      <c r="U34">
        <v>2.7000000000000001E-3</v>
      </c>
      <c r="V34">
        <v>9.5999999999999992E-3</v>
      </c>
      <c r="W34">
        <v>317.49464999999998</v>
      </c>
      <c r="X34" t="s">
        <v>22</v>
      </c>
      <c r="Y34">
        <v>4.7000000000000002E-3</v>
      </c>
      <c r="Z34">
        <v>1.3100000000000001E-2</v>
      </c>
      <c r="AA34">
        <v>316.03844600000002</v>
      </c>
      <c r="AB34" t="s">
        <v>22</v>
      </c>
      <c r="AC34">
        <v>5.1999999999999998E-3</v>
      </c>
      <c r="AD34">
        <v>1.61E-2</v>
      </c>
      <c r="AE34">
        <v>309.31065599999999</v>
      </c>
      <c r="AF34" t="s">
        <v>22</v>
      </c>
      <c r="AG34">
        <v>6.4000000000000003E-3</v>
      </c>
      <c r="AH34">
        <v>1.9400000000000001E-2</v>
      </c>
      <c r="AI34">
        <v>320.46020099999998</v>
      </c>
    </row>
    <row r="37" spans="1:35" x14ac:dyDescent="0.25">
      <c r="A37" s="10" t="s">
        <v>23</v>
      </c>
      <c r="B37" s="8" t="s">
        <v>13</v>
      </c>
      <c r="C37" s="8"/>
      <c r="D37" s="8"/>
      <c r="E37" s="8"/>
      <c r="F37" s="8" t="s">
        <v>14</v>
      </c>
      <c r="G37" s="8"/>
      <c r="H37" s="8"/>
      <c r="I37" s="8"/>
      <c r="J37" s="8" t="s">
        <v>15</v>
      </c>
      <c r="K37" s="8"/>
      <c r="L37" s="8"/>
      <c r="M37" s="8"/>
      <c r="N37" s="8" t="s">
        <v>16</v>
      </c>
      <c r="O37" s="8"/>
      <c r="P37" s="8"/>
      <c r="Q37" s="8"/>
      <c r="S37" s="10" t="s">
        <v>23</v>
      </c>
      <c r="T37" s="8" t="s">
        <v>13</v>
      </c>
      <c r="U37" s="8"/>
      <c r="V37" s="8"/>
      <c r="W37" s="8"/>
      <c r="X37" s="8" t="s">
        <v>14</v>
      </c>
      <c r="Y37" s="8"/>
      <c r="Z37" s="8"/>
      <c r="AA37" s="8"/>
      <c r="AB37" s="8" t="s">
        <v>15</v>
      </c>
      <c r="AC37" s="8"/>
      <c r="AD37" s="8"/>
      <c r="AE37" s="8"/>
      <c r="AF37" s="8" t="s">
        <v>16</v>
      </c>
      <c r="AG37" s="8"/>
      <c r="AH37" s="8"/>
      <c r="AI37" s="8"/>
    </row>
    <row r="38" spans="1:35" x14ac:dyDescent="0.25">
      <c r="A38" s="10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0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0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0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0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0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0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>
        <v>1.4800000000000001E-2</v>
      </c>
      <c r="L41" s="6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0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8.3999999999999995E-3</v>
      </c>
      <c r="Z41">
        <v>1.3899999999999999E-2</v>
      </c>
      <c r="AA41">
        <v>673.61850000000004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6">
        <v>1.5599999999999999E-2</v>
      </c>
      <c r="AI41">
        <v>809.11852099999999</v>
      </c>
    </row>
    <row r="44" spans="1:35" x14ac:dyDescent="0.25">
      <c r="A44" s="15" t="s">
        <v>24</v>
      </c>
      <c r="B44" s="8" t="s">
        <v>13</v>
      </c>
      <c r="C44" s="8"/>
      <c r="D44" s="8"/>
      <c r="E44" s="8"/>
      <c r="F44" s="8" t="s">
        <v>14</v>
      </c>
      <c r="G44" s="8"/>
      <c r="H44" s="8"/>
      <c r="I44" s="8"/>
      <c r="J44" s="8" t="s">
        <v>15</v>
      </c>
      <c r="K44" s="8"/>
      <c r="L44" s="8"/>
      <c r="M44" s="8"/>
      <c r="N44" s="8" t="s">
        <v>16</v>
      </c>
      <c r="O44" s="8"/>
      <c r="P44" s="8"/>
      <c r="Q44" s="8"/>
      <c r="S44" s="15" t="s">
        <v>24</v>
      </c>
      <c r="T44" s="8" t="s">
        <v>13</v>
      </c>
      <c r="U44" s="8"/>
      <c r="V44" s="8"/>
      <c r="W44" s="8"/>
      <c r="X44" s="8" t="s">
        <v>14</v>
      </c>
      <c r="Y44" s="8"/>
      <c r="Z44" s="8"/>
      <c r="AA44" s="8"/>
      <c r="AB44" s="8" t="s">
        <v>15</v>
      </c>
      <c r="AC44" s="8"/>
      <c r="AD44" s="8"/>
      <c r="AE44" s="8"/>
      <c r="AF44" s="8" t="s">
        <v>16</v>
      </c>
      <c r="AG44" s="8"/>
      <c r="AH44" s="8"/>
      <c r="AI44" s="8"/>
    </row>
    <row r="45" spans="1:35" x14ac:dyDescent="0.25">
      <c r="A45" s="15"/>
      <c r="B45" s="8" t="s">
        <v>25</v>
      </c>
      <c r="C45" s="8"/>
      <c r="D45" s="8"/>
      <c r="E45" t="s">
        <v>19</v>
      </c>
      <c r="F45" s="8" t="s">
        <v>25</v>
      </c>
      <c r="G45" s="8"/>
      <c r="H45" s="8"/>
      <c r="I45" t="s">
        <v>19</v>
      </c>
      <c r="J45" s="8" t="s">
        <v>25</v>
      </c>
      <c r="K45" s="8"/>
      <c r="L45" s="8"/>
      <c r="M45" t="s">
        <v>19</v>
      </c>
      <c r="N45" s="8" t="s">
        <v>25</v>
      </c>
      <c r="O45" s="8"/>
      <c r="P45" s="8"/>
      <c r="Q45" t="s">
        <v>19</v>
      </c>
      <c r="S45" s="15"/>
      <c r="T45" s="8" t="s">
        <v>25</v>
      </c>
      <c r="U45" s="8"/>
      <c r="V45" s="8"/>
      <c r="W45" t="s">
        <v>19</v>
      </c>
      <c r="X45" s="8" t="s">
        <v>25</v>
      </c>
      <c r="Y45" s="8"/>
      <c r="Z45" s="8"/>
      <c r="AA45" t="s">
        <v>19</v>
      </c>
      <c r="AB45" s="8" t="s">
        <v>25</v>
      </c>
      <c r="AC45" s="8"/>
      <c r="AD45" s="8"/>
      <c r="AE45" t="s">
        <v>19</v>
      </c>
      <c r="AF45" s="8" t="s">
        <v>25</v>
      </c>
      <c r="AG45" s="8"/>
      <c r="AH45" s="8"/>
      <c r="AI45" t="s">
        <v>19</v>
      </c>
    </row>
    <row r="46" spans="1:35" x14ac:dyDescent="0.25">
      <c r="A46" s="15"/>
      <c r="B46">
        <v>0.01</v>
      </c>
      <c r="E46">
        <v>51.362053000000003</v>
      </c>
      <c r="F46">
        <v>1.32E-2</v>
      </c>
      <c r="I46">
        <v>37.563284000000003</v>
      </c>
      <c r="J46">
        <v>1.6400000000000001E-2</v>
      </c>
      <c r="M46">
        <v>41.231166999999999</v>
      </c>
      <c r="N46">
        <v>1.9400000000000001E-2</v>
      </c>
      <c r="Q46">
        <v>38.554743000000002</v>
      </c>
      <c r="S46" s="15"/>
      <c r="T46">
        <v>6.1999999999999998E-3</v>
      </c>
      <c r="W46">
        <v>44.584705</v>
      </c>
      <c r="X46">
        <v>1.1599999999999999E-2</v>
      </c>
      <c r="AA46">
        <v>30.587966000000002</v>
      </c>
      <c r="AB46">
        <v>1.1599999999999999E-2</v>
      </c>
      <c r="AE46">
        <v>41.338061000000003</v>
      </c>
      <c r="AF46">
        <v>1.3899999999999999E-2</v>
      </c>
      <c r="AI46">
        <v>28.342461</v>
      </c>
    </row>
    <row r="48" spans="1:35" x14ac:dyDescent="0.25">
      <c r="A48" s="1" t="s">
        <v>28</v>
      </c>
    </row>
    <row r="49" spans="1:17" x14ac:dyDescent="0.25">
      <c r="B49" s="8" t="s">
        <v>8</v>
      </c>
      <c r="C49" s="8"/>
      <c r="D49" s="8"/>
      <c r="E49" s="8"/>
      <c r="F49" s="8" t="s">
        <v>9</v>
      </c>
      <c r="G49" s="8"/>
      <c r="H49" s="8"/>
      <c r="I49" s="8"/>
      <c r="J49" s="8" t="s">
        <v>10</v>
      </c>
      <c r="K49" s="8"/>
      <c r="L49" s="8"/>
      <c r="M49" s="8"/>
      <c r="N49" s="8" t="s">
        <v>11</v>
      </c>
      <c r="O49" s="8"/>
      <c r="P49" s="8"/>
      <c r="Q49" s="8"/>
    </row>
    <row r="50" spans="1:17" x14ac:dyDescent="0.25">
      <c r="A50" s="14" t="s">
        <v>12</v>
      </c>
      <c r="B50" s="8" t="s">
        <v>13</v>
      </c>
      <c r="C50" s="8"/>
      <c r="D50" s="8"/>
      <c r="E50" s="8"/>
      <c r="F50" s="8" t="s">
        <v>14</v>
      </c>
      <c r="G50" s="8"/>
      <c r="H50" s="8"/>
      <c r="I50" s="8"/>
      <c r="J50" s="8" t="s">
        <v>15</v>
      </c>
      <c r="K50" s="8"/>
      <c r="L50" s="8"/>
      <c r="M50" s="8"/>
      <c r="N50" s="8" t="s">
        <v>16</v>
      </c>
      <c r="O50" s="8"/>
      <c r="P50" s="8"/>
      <c r="Q50" s="8"/>
    </row>
    <row r="51" spans="1:17" x14ac:dyDescent="0.25">
      <c r="A51" s="14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4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4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4"/>
      <c r="B54" t="s">
        <v>22</v>
      </c>
      <c r="C54">
        <v>1E-3</v>
      </c>
      <c r="D54">
        <v>5.7999999999999996E-3</v>
      </c>
      <c r="E54">
        <v>289.91691900000001</v>
      </c>
      <c r="F54" t="s">
        <v>22</v>
      </c>
      <c r="G54">
        <v>4.7000000000000002E-3</v>
      </c>
      <c r="H54">
        <v>9.2999999999999992E-3</v>
      </c>
      <c r="I54">
        <v>275.10226499999999</v>
      </c>
      <c r="J54" t="s">
        <v>22</v>
      </c>
      <c r="K54">
        <v>4.7000000000000002E-3</v>
      </c>
      <c r="L54">
        <v>1.09E-2</v>
      </c>
      <c r="M54">
        <v>285.96578899999997</v>
      </c>
      <c r="N54" t="s">
        <v>22</v>
      </c>
      <c r="O54">
        <v>4.7000000000000002E-3</v>
      </c>
      <c r="P54">
        <v>1.2999999999999999E-2</v>
      </c>
      <c r="Q54">
        <v>287.94146699999999</v>
      </c>
    </row>
    <row r="57" spans="1:17" x14ac:dyDescent="0.25">
      <c r="A57" s="10" t="s">
        <v>23</v>
      </c>
      <c r="B57" s="8" t="s">
        <v>13</v>
      </c>
      <c r="C57" s="8"/>
      <c r="D57" s="8"/>
      <c r="E57" s="8"/>
      <c r="F57" s="8" t="s">
        <v>14</v>
      </c>
      <c r="G57" s="8"/>
      <c r="H57" s="8"/>
      <c r="I57" s="8"/>
      <c r="J57" s="8" t="s">
        <v>15</v>
      </c>
      <c r="K57" s="8"/>
      <c r="L57" s="8"/>
      <c r="M57" s="8"/>
      <c r="N57" s="8" t="s">
        <v>16</v>
      </c>
      <c r="O57" s="8"/>
      <c r="P57" s="8"/>
      <c r="Q57" s="8"/>
    </row>
    <row r="58" spans="1:17" x14ac:dyDescent="0.25">
      <c r="A58" s="10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0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0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0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15" t="s">
        <v>24</v>
      </c>
      <c r="B64" s="8" t="s">
        <v>13</v>
      </c>
      <c r="C64" s="8"/>
      <c r="D64" s="8"/>
      <c r="E64" s="8"/>
      <c r="F64" s="8" t="s">
        <v>14</v>
      </c>
      <c r="G64" s="8"/>
      <c r="H64" s="8"/>
      <c r="I64" s="8"/>
      <c r="J64" s="8" t="s">
        <v>15</v>
      </c>
      <c r="K64" s="8"/>
      <c r="L64" s="8"/>
      <c r="M64" s="8"/>
      <c r="N64" s="8" t="s">
        <v>16</v>
      </c>
      <c r="O64" s="8"/>
      <c r="P64" s="8"/>
      <c r="Q64" s="8"/>
    </row>
    <row r="65" spans="1:27" x14ac:dyDescent="0.25">
      <c r="A65" s="15"/>
      <c r="B65" s="8" t="s">
        <v>25</v>
      </c>
      <c r="C65" s="8"/>
      <c r="D65" s="8"/>
      <c r="E65" t="s">
        <v>19</v>
      </c>
      <c r="F65" s="8" t="s">
        <v>25</v>
      </c>
      <c r="G65" s="8"/>
      <c r="H65" s="8"/>
      <c r="I65" t="s">
        <v>19</v>
      </c>
      <c r="J65" s="8" t="s">
        <v>25</v>
      </c>
      <c r="K65" s="8"/>
      <c r="L65" s="8"/>
      <c r="M65" t="s">
        <v>19</v>
      </c>
      <c r="N65" s="8" t="s">
        <v>25</v>
      </c>
      <c r="O65" s="8"/>
      <c r="P65" s="8"/>
      <c r="Q65" t="s">
        <v>19</v>
      </c>
    </row>
    <row r="66" spans="1:27" x14ac:dyDescent="0.25">
      <c r="A66" s="15"/>
      <c r="B66" s="3">
        <v>9.012E-4</v>
      </c>
      <c r="E66">
        <v>23.135960000000001</v>
      </c>
      <c r="F66" s="3">
        <v>5.1999999999999998E-3</v>
      </c>
      <c r="I66">
        <v>24.731605999999999</v>
      </c>
      <c r="J66" s="3">
        <v>7.1999999999999998E-3</v>
      </c>
      <c r="M66">
        <v>31.137241</v>
      </c>
      <c r="N66" s="3">
        <v>8.6999999999999994E-3</v>
      </c>
      <c r="Q66">
        <v>29.121687000000001</v>
      </c>
    </row>
    <row r="67" spans="1:27" x14ac:dyDescent="0.25">
      <c r="J67" t="s">
        <v>29</v>
      </c>
    </row>
    <row r="68" spans="1:27" x14ac:dyDescent="0.25">
      <c r="A68" s="14" t="s">
        <v>30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x14ac:dyDescent="0.25">
      <c r="A71" s="1" t="s">
        <v>6</v>
      </c>
      <c r="D71" s="9" t="s">
        <v>12</v>
      </c>
      <c r="E71" s="9"/>
      <c r="F71" s="9"/>
      <c r="G71" s="9"/>
      <c r="H71" s="9"/>
      <c r="I71" s="10" t="s">
        <v>23</v>
      </c>
      <c r="J71" s="10"/>
      <c r="K71" s="10"/>
      <c r="L71" s="11" t="s">
        <v>24</v>
      </c>
      <c r="M71" s="11"/>
      <c r="N71" s="2"/>
      <c r="P71" s="9" t="s">
        <v>12</v>
      </c>
      <c r="Q71" s="9"/>
      <c r="R71" s="9"/>
      <c r="S71" s="9"/>
      <c r="T71" s="9"/>
      <c r="U71" s="10" t="s">
        <v>23</v>
      </c>
      <c r="V71" s="10"/>
      <c r="W71" s="10"/>
      <c r="X71" s="11" t="s">
        <v>24</v>
      </c>
      <c r="Y71" s="11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14" t="s">
        <v>9</v>
      </c>
      <c r="D73" s="13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13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14"/>
      <c r="D74" s="13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3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14"/>
      <c r="D75" s="13"/>
      <c r="E75" t="s">
        <v>37</v>
      </c>
      <c r="F75">
        <f t="shared" si="0"/>
        <v>1.451E-2</v>
      </c>
      <c r="G75">
        <f t="shared" si="1"/>
        <v>1.4534999999999999E-2</v>
      </c>
      <c r="H75">
        <f t="shared" si="2"/>
        <v>55.957335999999998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1.4605E-2</v>
      </c>
      <c r="M75">
        <f>I25+E25</f>
        <v>59.176329000000003</v>
      </c>
      <c r="P75" s="13"/>
      <c r="Q75" t="s">
        <v>37</v>
      </c>
      <c r="R75">
        <f t="shared" si="6"/>
        <v>1.472E-2</v>
      </c>
      <c r="S75">
        <f t="shared" si="7"/>
        <v>1.4770000000000002E-2</v>
      </c>
      <c r="U75">
        <f t="shared" si="8"/>
        <v>1.9819999999999997E-2</v>
      </c>
      <c r="V75">
        <f t="shared" si="9"/>
        <v>1.9910000000000004E-2</v>
      </c>
      <c r="X75">
        <f>0.1*F25+(1-0.1)*B25</f>
        <v>1.481E-2</v>
      </c>
    </row>
    <row r="76" spans="1:27" x14ac:dyDescent="0.25">
      <c r="C76" s="14"/>
    </row>
    <row r="77" spans="1:27" x14ac:dyDescent="0.25">
      <c r="C77" s="14"/>
    </row>
    <row r="78" spans="1:27" x14ac:dyDescent="0.25">
      <c r="C78" s="14"/>
    </row>
    <row r="79" spans="1:27" x14ac:dyDescent="0.25">
      <c r="C79" s="14"/>
      <c r="D79" s="13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13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14"/>
      <c r="D80" s="13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13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14"/>
      <c r="D81" s="13"/>
      <c r="E81" t="s">
        <v>37</v>
      </c>
      <c r="F81">
        <f t="shared" si="10"/>
        <v>1.5140000000000001E-2</v>
      </c>
      <c r="G81">
        <f t="shared" si="11"/>
        <v>1.524E-2</v>
      </c>
      <c r="I81">
        <f t="shared" si="12"/>
        <v>1.9939999999999999E-2</v>
      </c>
      <c r="J81">
        <f t="shared" si="13"/>
        <v>2.0020000000000003E-2</v>
      </c>
      <c r="L81">
        <f>0.2*F25+(1-0.2)*B25</f>
        <v>1.5220000000000001E-2</v>
      </c>
      <c r="P81" s="13"/>
      <c r="Q81" t="s">
        <v>37</v>
      </c>
      <c r="R81">
        <f t="shared" si="14"/>
        <v>1.5559999999999999E-2</v>
      </c>
      <c r="S81">
        <f t="shared" si="15"/>
        <v>1.5709999999999998E-2</v>
      </c>
      <c r="U81">
        <f t="shared" si="16"/>
        <v>2.0059999999999998E-2</v>
      </c>
      <c r="V81">
        <f t="shared" si="17"/>
        <v>2.0130000000000002E-2</v>
      </c>
      <c r="X81">
        <f>0.3*F25+(1-0.3)*B25</f>
        <v>1.5629999999999998E-2</v>
      </c>
    </row>
    <row r="84" spans="2:25" x14ac:dyDescent="0.25">
      <c r="D84" s="9" t="s">
        <v>12</v>
      </c>
      <c r="E84" s="9"/>
      <c r="F84" s="9"/>
      <c r="G84" s="9"/>
      <c r="H84" s="9"/>
      <c r="I84" s="10" t="s">
        <v>23</v>
      </c>
      <c r="J84" s="10"/>
      <c r="K84" s="10"/>
      <c r="L84" s="11" t="s">
        <v>24</v>
      </c>
      <c r="M84" s="11"/>
      <c r="P84" s="9" t="s">
        <v>12</v>
      </c>
      <c r="Q84" s="9"/>
      <c r="R84" s="9"/>
      <c r="S84" s="9"/>
      <c r="T84" s="9"/>
      <c r="U84" s="10" t="s">
        <v>23</v>
      </c>
      <c r="V84" s="10"/>
      <c r="W84" s="10"/>
      <c r="X84" s="11" t="s">
        <v>24</v>
      </c>
      <c r="Y84" s="11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14" t="s">
        <v>10</v>
      </c>
      <c r="C86" s="12" t="s">
        <v>40</v>
      </c>
      <c r="D86" s="13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12" t="s">
        <v>41</v>
      </c>
      <c r="P86" s="13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14"/>
      <c r="C87" s="12"/>
      <c r="D87" s="13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12"/>
      <c r="P87" s="13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14"/>
      <c r="C88" s="12"/>
      <c r="D88" s="13"/>
      <c r="E88" t="s">
        <v>37</v>
      </c>
      <c r="F88">
        <f t="shared" si="18"/>
        <v>1.472E-2</v>
      </c>
      <c r="G88">
        <f t="shared" si="19"/>
        <v>1.4767500000000001E-2</v>
      </c>
      <c r="H88">
        <f t="shared" si="20"/>
        <v>83.286035999999996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1.481025E-2</v>
      </c>
      <c r="M88">
        <f>M25+I25+E25</f>
        <v>81.416893999999999</v>
      </c>
      <c r="O88" s="12"/>
      <c r="P88" s="13"/>
      <c r="Q88" t="s">
        <v>37</v>
      </c>
      <c r="R88">
        <f t="shared" si="24"/>
        <v>1.5140000000000001E-2</v>
      </c>
      <c r="S88">
        <f t="shared" si="25"/>
        <v>1.5230000000000002E-2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1.5221000000000002E-2</v>
      </c>
    </row>
    <row r="89" spans="2:25" x14ac:dyDescent="0.25">
      <c r="B89" s="14"/>
    </row>
    <row r="90" spans="2:25" x14ac:dyDescent="0.25">
      <c r="B90" s="14"/>
    </row>
    <row r="91" spans="2:25" x14ac:dyDescent="0.25">
      <c r="B91" s="14"/>
    </row>
    <row r="92" spans="2:25" x14ac:dyDescent="0.25">
      <c r="B92" s="14"/>
      <c r="C92" s="12" t="s">
        <v>42</v>
      </c>
      <c r="D92" s="13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12" t="s">
        <v>43</v>
      </c>
      <c r="P92" s="13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14"/>
      <c r="C93" s="12"/>
      <c r="D93" s="13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12"/>
      <c r="P93" s="13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14"/>
      <c r="C94" s="12"/>
      <c r="D94" s="13"/>
      <c r="E94" t="s">
        <v>37</v>
      </c>
      <c r="F94">
        <f t="shared" si="28"/>
        <v>1.5980000000000001E-2</v>
      </c>
      <c r="G94">
        <f t="shared" si="29"/>
        <v>1.6140000000000002E-2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1.6043999999999999E-2</v>
      </c>
      <c r="O94" s="12"/>
      <c r="P94" s="13"/>
      <c r="Q94" t="s">
        <v>37</v>
      </c>
      <c r="R94">
        <f t="shared" si="32"/>
        <v>1.6820000000000002E-2</v>
      </c>
      <c r="S94">
        <f t="shared" si="33"/>
        <v>1.703E-2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1.6869000000000002E-2</v>
      </c>
    </row>
    <row r="97" spans="1:25" x14ac:dyDescent="0.25">
      <c r="D97" s="9" t="s">
        <v>12</v>
      </c>
      <c r="E97" s="9"/>
      <c r="F97" s="9"/>
      <c r="G97" s="9"/>
      <c r="H97" s="9"/>
      <c r="I97" s="10" t="s">
        <v>23</v>
      </c>
      <c r="J97" s="10"/>
      <c r="K97" s="10"/>
      <c r="L97" s="11" t="s">
        <v>24</v>
      </c>
      <c r="M97" s="11"/>
      <c r="P97" s="9" t="s">
        <v>12</v>
      </c>
      <c r="Q97" s="9"/>
      <c r="R97" s="9"/>
      <c r="S97" s="9"/>
      <c r="T97" s="9"/>
      <c r="U97" s="10" t="s">
        <v>23</v>
      </c>
      <c r="V97" s="10"/>
      <c r="W97" s="10"/>
      <c r="X97" s="11" t="s">
        <v>24</v>
      </c>
      <c r="Y97" s="11"/>
    </row>
    <row r="98" spans="1:25" x14ac:dyDescent="0.25"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14" t="s">
        <v>11</v>
      </c>
      <c r="B99" s="16" t="s">
        <v>44</v>
      </c>
      <c r="C99" s="12" t="s">
        <v>40</v>
      </c>
      <c r="D99" s="13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16" t="s">
        <v>45</v>
      </c>
      <c r="O99" s="12" t="s">
        <v>41</v>
      </c>
      <c r="P99" s="13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14"/>
      <c r="B100" s="16"/>
      <c r="C100" s="12"/>
      <c r="D100" s="13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16"/>
      <c r="O100" s="12"/>
      <c r="P100" s="13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14"/>
      <c r="B101" s="16"/>
      <c r="C101" s="12"/>
      <c r="D101" s="13"/>
      <c r="E101" t="s">
        <v>37</v>
      </c>
      <c r="F101">
        <f t="shared" si="36"/>
        <v>1.4929987499999998E-2</v>
      </c>
      <c r="G101">
        <f t="shared" si="37"/>
        <v>1.4997674999999999E-2</v>
      </c>
      <c r="H101">
        <f t="shared" si="38"/>
        <v>110.94672700000001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1.5015737499999997E-2</v>
      </c>
      <c r="M101">
        <f>Q25+M25+I25+E25</f>
        <v>102.342825</v>
      </c>
      <c r="N101" s="16"/>
      <c r="O101" s="12"/>
      <c r="P101" s="13"/>
      <c r="Q101" t="s">
        <v>37</v>
      </c>
      <c r="R101">
        <f t="shared" si="42"/>
        <v>1.5559900000000002E-2</v>
      </c>
      <c r="S101">
        <f t="shared" si="43"/>
        <v>1.5681400000000002E-2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1.5632899999999998E-2</v>
      </c>
    </row>
    <row r="102" spans="1:25" x14ac:dyDescent="0.25">
      <c r="A102" s="14"/>
    </row>
    <row r="103" spans="1:25" x14ac:dyDescent="0.25">
      <c r="A103" s="14"/>
    </row>
    <row r="104" spans="1:25" x14ac:dyDescent="0.25">
      <c r="A104" s="14"/>
    </row>
    <row r="105" spans="1:25" x14ac:dyDescent="0.25">
      <c r="A105" s="14"/>
      <c r="B105" s="16" t="s">
        <v>46</v>
      </c>
      <c r="C105" s="12" t="s">
        <v>42</v>
      </c>
      <c r="D105" s="13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16" t="s">
        <v>47</v>
      </c>
      <c r="O105" s="12" t="s">
        <v>43</v>
      </c>
      <c r="P105" s="13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14"/>
      <c r="B106" s="16"/>
      <c r="C106" s="12"/>
      <c r="D106" s="13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16"/>
      <c r="O106" s="12"/>
      <c r="P106" s="13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14"/>
      <c r="B107" s="16"/>
      <c r="C107" s="12"/>
      <c r="D107" s="13"/>
      <c r="E107" t="s">
        <v>37</v>
      </c>
      <c r="F107">
        <f t="shared" si="46"/>
        <v>1.6819199999999999E-2</v>
      </c>
      <c r="G107">
        <f t="shared" si="47"/>
        <v>1.7011200000000001E-2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1.6871199999999999E-2</v>
      </c>
      <c r="N107" s="16"/>
      <c r="O107" s="12"/>
      <c r="P107" s="13"/>
      <c r="Q107" t="s">
        <v>37</v>
      </c>
      <c r="R107">
        <f t="shared" si="50"/>
        <v>1.8077299999999998E-2</v>
      </c>
      <c r="S107">
        <f t="shared" si="51"/>
        <v>1.8297799999999999E-2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1.81143E-2</v>
      </c>
    </row>
    <row r="110" spans="1:25" x14ac:dyDescent="0.25">
      <c r="A110" s="1" t="s">
        <v>7</v>
      </c>
      <c r="D110" s="9" t="s">
        <v>12</v>
      </c>
      <c r="E110" s="9"/>
      <c r="F110" s="9"/>
      <c r="G110" s="9"/>
      <c r="H110" s="9"/>
      <c r="I110" s="10" t="s">
        <v>23</v>
      </c>
      <c r="J110" s="10"/>
      <c r="K110" s="10"/>
      <c r="L110" s="11" t="s">
        <v>24</v>
      </c>
      <c r="M110" s="11"/>
      <c r="N110" s="2"/>
      <c r="P110" s="9" t="s">
        <v>12</v>
      </c>
      <c r="Q110" s="9"/>
      <c r="R110" s="9"/>
      <c r="S110" s="9"/>
      <c r="T110" s="9"/>
      <c r="U110" s="10" t="s">
        <v>23</v>
      </c>
      <c r="V110" s="10"/>
      <c r="W110" s="10"/>
      <c r="X110" s="11" t="s">
        <v>24</v>
      </c>
      <c r="Y110" s="11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14" t="s">
        <v>9</v>
      </c>
      <c r="D112" s="13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13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14"/>
      <c r="D113" s="13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13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14"/>
      <c r="D114" s="13"/>
      <c r="E114" t="s">
        <v>37</v>
      </c>
      <c r="F114">
        <f t="shared" si="54"/>
        <v>1.238E-2</v>
      </c>
      <c r="G114">
        <f t="shared" si="55"/>
        <v>1.3394999999999999E-2</v>
      </c>
      <c r="H114">
        <f t="shared" si="56"/>
        <v>693.08262100000002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1.3084999999999999E-2</v>
      </c>
      <c r="M114">
        <f>AA25+W25</f>
        <v>67.862221000000005</v>
      </c>
      <c r="P114" s="13"/>
      <c r="Q114" t="s">
        <v>37</v>
      </c>
      <c r="R114">
        <f t="shared" si="60"/>
        <v>1.256E-2</v>
      </c>
      <c r="S114">
        <f t="shared" si="61"/>
        <v>1.359E-2</v>
      </c>
      <c r="U114">
        <f t="shared" si="62"/>
        <v>1.7999999999999999E-2</v>
      </c>
      <c r="V114">
        <f t="shared" si="63"/>
        <v>1.8500000000000003E-2</v>
      </c>
      <c r="X114">
        <f>0.1*X25+(1-0.1)*T25</f>
        <v>1.3270000000000001E-2</v>
      </c>
    </row>
    <row r="115" spans="2:25" x14ac:dyDescent="0.25">
      <c r="C115" s="14"/>
    </row>
    <row r="116" spans="2:25" x14ac:dyDescent="0.25">
      <c r="C116" s="14"/>
    </row>
    <row r="117" spans="2:25" x14ac:dyDescent="0.25">
      <c r="C117" s="14"/>
    </row>
    <row r="118" spans="2:25" x14ac:dyDescent="0.25">
      <c r="C118" s="14"/>
      <c r="D118" s="13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13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14"/>
      <c r="D119" s="13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13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14"/>
      <c r="D120" s="13"/>
      <c r="E120" t="s">
        <v>37</v>
      </c>
      <c r="F120">
        <f t="shared" si="64"/>
        <v>1.2920000000000001E-2</v>
      </c>
      <c r="G120">
        <f t="shared" si="65"/>
        <v>1.3979999999999999E-2</v>
      </c>
      <c r="I120">
        <f t="shared" si="66"/>
        <v>1.8099999999999998E-2</v>
      </c>
      <c r="J120">
        <f t="shared" si="67"/>
        <v>1.8600000000000002E-2</v>
      </c>
      <c r="L120">
        <f>0.2*X25+(1-0.2)*T25</f>
        <v>1.3640000000000001E-2</v>
      </c>
      <c r="P120" s="13"/>
      <c r="Q120" t="s">
        <v>37</v>
      </c>
      <c r="R120">
        <f t="shared" si="68"/>
        <v>1.328E-2</v>
      </c>
      <c r="S120">
        <f t="shared" si="69"/>
        <v>1.4370000000000001E-2</v>
      </c>
      <c r="U120">
        <f t="shared" si="70"/>
        <v>1.8200000000000001E-2</v>
      </c>
      <c r="V120">
        <f t="shared" si="71"/>
        <v>1.8699999999999998E-2</v>
      </c>
      <c r="X120">
        <f>0.3*X25+(1-0.3)*T25</f>
        <v>1.401E-2</v>
      </c>
    </row>
    <row r="123" spans="2:25" x14ac:dyDescent="0.25">
      <c r="D123" s="9" t="s">
        <v>12</v>
      </c>
      <c r="E123" s="9"/>
      <c r="F123" s="9"/>
      <c r="G123" s="9"/>
      <c r="H123" s="9"/>
      <c r="I123" s="10" t="s">
        <v>23</v>
      </c>
      <c r="J123" s="10"/>
      <c r="K123" s="10"/>
      <c r="L123" s="11" t="s">
        <v>24</v>
      </c>
      <c r="M123" s="11"/>
      <c r="P123" s="9" t="s">
        <v>12</v>
      </c>
      <c r="Q123" s="9"/>
      <c r="R123" s="9"/>
      <c r="S123" s="9"/>
      <c r="T123" s="9"/>
      <c r="U123" s="10" t="s">
        <v>23</v>
      </c>
      <c r="V123" s="10"/>
      <c r="W123" s="10"/>
      <c r="X123" s="11" t="s">
        <v>24</v>
      </c>
      <c r="Y123" s="11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14" t="s">
        <v>10</v>
      </c>
      <c r="C125" s="12" t="s">
        <v>40</v>
      </c>
      <c r="D125" s="13" t="s">
        <v>33</v>
      </c>
      <c r="E125" t="s">
        <v>34</v>
      </c>
      <c r="F125">
        <f t="shared" ref="F125:F126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12" t="s">
        <v>41</v>
      </c>
      <c r="P125" s="13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14"/>
      <c r="C126" s="12"/>
      <c r="D126" s="13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12"/>
      <c r="P126" s="13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14"/>
      <c r="C127" s="12"/>
      <c r="D127" s="13"/>
      <c r="E127" t="s">
        <v>37</v>
      </c>
      <c r="F127">
        <f>(0.05*(1-0.05)+0.05*(1-0.05))*Y13+0.05*0.05*AC13+(1-0.05*(1-0.05)-0.05*(1-0.05)-0.05*0.05)*U13</f>
        <v>1.2559750000000001E-2</v>
      </c>
      <c r="G127">
        <f t="shared" si="73"/>
        <v>1.3590000000000001E-2</v>
      </c>
      <c r="H127">
        <f t="shared" si="74"/>
        <v>1040.0059199999998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L127">
        <f>(0.05*(1-0.05)+0.05*(1-0.05))*X25+0.05*0.05*AB25+(1-0.05*(1-0.05)-0.05*(1-0.05)-0.05*0.05)*T25</f>
        <v>1.3270250000000001E-2</v>
      </c>
      <c r="M127">
        <f>AE25+AA25+W25</f>
        <v>97.878833</v>
      </c>
      <c r="O127" s="12"/>
      <c r="P127" s="13"/>
      <c r="Q127" t="s">
        <v>37</v>
      </c>
      <c r="R127">
        <f t="shared" si="78"/>
        <v>1.2919000000000003E-2</v>
      </c>
      <c r="S127">
        <f t="shared" si="79"/>
        <v>1.3980000000000001E-2</v>
      </c>
      <c r="U127">
        <f t="shared" si="80"/>
        <v>1.8100000000000002E-2</v>
      </c>
      <c r="V127">
        <f t="shared" si="81"/>
        <v>1.8600999999999999E-2</v>
      </c>
      <c r="X127">
        <f>(0.1*0.9+0.1*0.9)*X25+0.1*0.1*AB25+(1-0.1*0.9-0.1*0.9-0.1*0.1)*T25</f>
        <v>1.3641E-2</v>
      </c>
    </row>
    <row r="128" spans="2:25" x14ac:dyDescent="0.25">
      <c r="B128" s="14"/>
    </row>
    <row r="129" spans="1:25" x14ac:dyDescent="0.25">
      <c r="B129" s="14"/>
    </row>
    <row r="130" spans="1:25" x14ac:dyDescent="0.25">
      <c r="B130" s="14"/>
    </row>
    <row r="131" spans="1:25" x14ac:dyDescent="0.25">
      <c r="B131" s="14"/>
      <c r="C131" s="12" t="s">
        <v>42</v>
      </c>
      <c r="D131" s="13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12" t="s">
        <v>43</v>
      </c>
      <c r="P131" s="13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14"/>
      <c r="C132" s="12"/>
      <c r="D132" s="13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12"/>
      <c r="P132" s="13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14"/>
      <c r="C133" s="12"/>
      <c r="D133" s="13"/>
      <c r="E133" t="s">
        <v>37</v>
      </c>
      <c r="F133">
        <f t="shared" si="82"/>
        <v>1.3636000000000001E-2</v>
      </c>
      <c r="G133">
        <f t="shared" si="83"/>
        <v>1.4760000000000001E-2</v>
      </c>
      <c r="I133">
        <f t="shared" si="84"/>
        <v>1.8299999999999997E-2</v>
      </c>
      <c r="J133">
        <f t="shared" si="85"/>
        <v>1.8804000000000001E-2</v>
      </c>
      <c r="L133">
        <f>(0.2*0.8+0.2*0.8)*X25+0.2*0.2*AB25+(1-0.2*0.8-0.2*0.8-0.2*0.2)*T25</f>
        <v>1.4384000000000001E-2</v>
      </c>
      <c r="O133" s="12"/>
      <c r="P133" s="13"/>
      <c r="Q133" t="s">
        <v>37</v>
      </c>
      <c r="R133">
        <f t="shared" si="86"/>
        <v>1.4351000000000003E-2</v>
      </c>
      <c r="S133">
        <f t="shared" si="87"/>
        <v>1.5540000000000002E-2</v>
      </c>
      <c r="U133">
        <f t="shared" si="88"/>
        <v>1.8500000000000003E-2</v>
      </c>
      <c r="V133">
        <f t="shared" si="89"/>
        <v>1.9009000000000002E-2</v>
      </c>
      <c r="X133">
        <f>(0.3*0.7+0.3*0.7)*X25+0.3*0.3*AB25+(1-0.3*0.7-0.3*0.7-0.3*0.3)*T25</f>
        <v>1.5129E-2</v>
      </c>
    </row>
    <row r="136" spans="1:25" x14ac:dyDescent="0.25">
      <c r="D136" s="9" t="s">
        <v>12</v>
      </c>
      <c r="E136" s="9"/>
      <c r="F136" s="9"/>
      <c r="G136" s="9"/>
      <c r="H136" s="9"/>
      <c r="I136" s="10" t="s">
        <v>23</v>
      </c>
      <c r="J136" s="10"/>
      <c r="K136" s="10"/>
      <c r="L136" s="11" t="s">
        <v>24</v>
      </c>
      <c r="M136" s="11"/>
      <c r="P136" s="9" t="s">
        <v>12</v>
      </c>
      <c r="Q136" s="9"/>
      <c r="R136" s="9"/>
      <c r="S136" s="9"/>
      <c r="T136" s="9"/>
      <c r="U136" s="10" t="s">
        <v>23</v>
      </c>
      <c r="V136" s="10"/>
      <c r="W136" s="10"/>
      <c r="X136" s="11" t="s">
        <v>24</v>
      </c>
      <c r="Y136" s="11"/>
    </row>
    <row r="137" spans="1:25" x14ac:dyDescent="0.25"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14" t="s">
        <v>11</v>
      </c>
      <c r="B138" s="16" t="s">
        <v>44</v>
      </c>
      <c r="C138" s="12" t="s">
        <v>40</v>
      </c>
      <c r="D138" s="13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16" t="s">
        <v>45</v>
      </c>
      <c r="O138" s="12" t="s">
        <v>41</v>
      </c>
      <c r="P138" s="13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14"/>
      <c r="B139" s="16"/>
      <c r="C139" s="12"/>
      <c r="D139" s="13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16"/>
      <c r="O139" s="12"/>
      <c r="P139" s="13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14"/>
      <c r="B140" s="16"/>
      <c r="C140" s="12"/>
      <c r="D140" s="13"/>
      <c r="E140" t="s">
        <v>37</v>
      </c>
      <c r="F140">
        <f t="shared" si="90"/>
        <v>1.2739250000000001E-2</v>
      </c>
      <c r="G140">
        <f t="shared" si="91"/>
        <v>1.3784974999999998E-2</v>
      </c>
      <c r="H140">
        <f t="shared" si="92"/>
        <v>1408.1411719999999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L140">
        <f>3*0.05*(1-0.05)*(1-0.05)*X25+3*0.05*0.05*(1-0.05)*AB25+0.05*0.05*0.05*AF25+(1-3*0.05*(1-0.05)*(1-0.05)-3*0.05*0.05*(1-0.05)-0.05*0.05*0.05)*T25</f>
        <v>1.34557125E-2</v>
      </c>
      <c r="M140">
        <f>AI25+AE25+AA25+W25</f>
        <v>122.68497699999999</v>
      </c>
      <c r="N140" s="16"/>
      <c r="O140" s="12"/>
      <c r="P140" s="13"/>
      <c r="Q140" t="s">
        <v>37</v>
      </c>
      <c r="R140">
        <f t="shared" si="96"/>
        <v>1.3277000000000001E-2</v>
      </c>
      <c r="S140">
        <f t="shared" si="97"/>
        <v>1.43698E-2</v>
      </c>
      <c r="U140">
        <f t="shared" si="98"/>
        <v>1.8200000000000001E-2</v>
      </c>
      <c r="V140">
        <f t="shared" si="99"/>
        <v>1.8702799999999999E-2</v>
      </c>
      <c r="X140">
        <f>3*0.1*(1-0.1)*(1-0.1)*X25+3*0.1*0.1*(1-0.1)*AB25+0.1*0.1*0.1*AF25+(1-3*0.1*(1-0.1)*(1-0.1)-3*0.1*0.1*(1-0.1)-0.1*0.1*0.1)*T25</f>
        <v>1.4012699999999999E-2</v>
      </c>
    </row>
    <row r="141" spans="1:25" x14ac:dyDescent="0.25">
      <c r="A141" s="14"/>
    </row>
    <row r="142" spans="1:25" x14ac:dyDescent="0.25">
      <c r="A142" s="14"/>
    </row>
    <row r="143" spans="1:25" x14ac:dyDescent="0.25">
      <c r="A143" s="14"/>
    </row>
    <row r="144" spans="1:25" x14ac:dyDescent="0.25">
      <c r="A144" s="14"/>
      <c r="B144" s="16" t="s">
        <v>46</v>
      </c>
      <c r="C144" s="12" t="s">
        <v>42</v>
      </c>
      <c r="D144" s="13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16" t="s">
        <v>47</v>
      </c>
      <c r="O144" s="12" t="s">
        <v>43</v>
      </c>
      <c r="P144" s="13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14"/>
      <c r="B145" s="16"/>
      <c r="C145" s="12"/>
      <c r="D145" s="13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16"/>
      <c r="O145" s="12"/>
      <c r="P145" s="13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14"/>
      <c r="B146" s="16"/>
      <c r="C146" s="12"/>
      <c r="D146" s="13"/>
      <c r="E146" t="s">
        <v>37</v>
      </c>
      <c r="F146">
        <f t="shared" si="100"/>
        <v>1.4348000000000001E-2</v>
      </c>
      <c r="G146">
        <f t="shared" si="101"/>
        <v>1.5538400000000001E-2</v>
      </c>
      <c r="I146">
        <f t="shared" si="102"/>
        <v>1.8499999999999996E-2</v>
      </c>
      <c r="J146">
        <f t="shared" si="103"/>
        <v>1.90104E-2</v>
      </c>
      <c r="L146">
        <f>3*0.2*(1-0.2)*(1-0.2)*X25+3*0.2*0.2*(1-0.2)*AB25+0.2*0.2*0.2*AF25+(1-3*0.2*(1-0.2)*(1-0.2)-3*0.2*0.2*(1-0.2)-0.2*0.2*0.2)*T25</f>
        <v>1.51296E-2</v>
      </c>
      <c r="N146" s="16"/>
      <c r="O146" s="12"/>
      <c r="P146" s="13"/>
      <c r="Q146" t="s">
        <v>37</v>
      </c>
      <c r="R146">
        <f t="shared" si="104"/>
        <v>1.5413E-2</v>
      </c>
      <c r="S146">
        <f t="shared" si="105"/>
        <v>1.67046E-2</v>
      </c>
      <c r="U146">
        <f t="shared" si="106"/>
        <v>1.8800000000000001E-2</v>
      </c>
      <c r="V146">
        <f t="shared" si="107"/>
        <v>1.9321600000000001E-2</v>
      </c>
      <c r="X146">
        <f>3*0.3*(1-0.3)*(1-0.3)*X25+3*0.3*0.3*(1-0.3)*AB25+0.3*0.3*0.3*AF25+(1-3*0.3*(1-0.3)*(1-0.3)-3*0.3*0.3*(1-0.3)-0.3*0.3*0.3)*T25</f>
        <v>1.62489E-2</v>
      </c>
    </row>
    <row r="149" spans="1:25" x14ac:dyDescent="0.25">
      <c r="A149" s="1" t="s">
        <v>26</v>
      </c>
      <c r="D149" s="9" t="s">
        <v>12</v>
      </c>
      <c r="E149" s="9"/>
      <c r="F149" s="9"/>
      <c r="G149" s="9"/>
      <c r="H149" s="9"/>
      <c r="I149" s="10" t="s">
        <v>23</v>
      </c>
      <c r="J149" s="10"/>
      <c r="K149" s="10"/>
      <c r="L149" s="11" t="s">
        <v>24</v>
      </c>
      <c r="M149" s="11"/>
      <c r="N149" s="2"/>
      <c r="P149" s="9" t="s">
        <v>12</v>
      </c>
      <c r="Q149" s="9"/>
      <c r="R149" s="9"/>
      <c r="S149" s="9"/>
      <c r="T149" s="9"/>
      <c r="U149" s="10" t="s">
        <v>23</v>
      </c>
      <c r="V149" s="10"/>
      <c r="W149" s="10"/>
      <c r="X149" s="11" t="s">
        <v>24</v>
      </c>
      <c r="Y149" s="11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14" t="s">
        <v>9</v>
      </c>
      <c r="D151" s="13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13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14"/>
      <c r="D152" s="13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13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14"/>
      <c r="D153" s="13"/>
      <c r="E153" t="s">
        <v>37</v>
      </c>
      <c r="F153">
        <f t="shared" si="108"/>
        <v>6.4099999999999999E-3</v>
      </c>
      <c r="G153">
        <f t="shared" si="109"/>
        <v>1.1979999999999999E-2</v>
      </c>
      <c r="H153">
        <f t="shared" si="110"/>
        <v>678.719874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1.0159999999999999E-2</v>
      </c>
      <c r="M153">
        <f>I46+E46</f>
        <v>88.925337000000013</v>
      </c>
      <c r="P153" s="13"/>
      <c r="Q153" t="s">
        <v>37</v>
      </c>
      <c r="R153">
        <f t="shared" si="114"/>
        <v>6.5200000000000006E-3</v>
      </c>
      <c r="S153">
        <f t="shared" si="115"/>
        <v>1.2159999999999999E-2</v>
      </c>
      <c r="U153">
        <f t="shared" si="116"/>
        <v>1.311E-2</v>
      </c>
      <c r="V153">
        <f t="shared" si="117"/>
        <v>1.6389999999999998E-2</v>
      </c>
      <c r="X153">
        <f>0.1*F46+(1-0.1)*B46</f>
        <v>1.0320000000000001E-2</v>
      </c>
    </row>
    <row r="154" spans="1:25" x14ac:dyDescent="0.25">
      <c r="C154" s="14"/>
    </row>
    <row r="155" spans="1:25" x14ac:dyDescent="0.25">
      <c r="C155" s="14"/>
    </row>
    <row r="156" spans="1:25" x14ac:dyDescent="0.25">
      <c r="C156" s="14"/>
    </row>
    <row r="157" spans="1:25" x14ac:dyDescent="0.25">
      <c r="C157" s="14"/>
      <c r="D157" s="13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13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14"/>
      <c r="D158" s="13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13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14"/>
      <c r="D159" s="13"/>
      <c r="E159" t="s">
        <v>37</v>
      </c>
      <c r="F159">
        <f t="shared" si="118"/>
        <v>6.7400000000000003E-3</v>
      </c>
      <c r="G159">
        <f t="shared" si="119"/>
        <v>1.252E-2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1.064E-2</v>
      </c>
      <c r="P159" s="13"/>
      <c r="Q159" t="s">
        <v>37</v>
      </c>
      <c r="R159">
        <f t="shared" si="122"/>
        <v>6.96E-3</v>
      </c>
      <c r="S159">
        <f t="shared" si="123"/>
        <v>1.2879999999999999E-2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1.0959999999999999E-2</v>
      </c>
    </row>
    <row r="162" spans="2:25" x14ac:dyDescent="0.25">
      <c r="D162" s="9" t="s">
        <v>12</v>
      </c>
      <c r="E162" s="9"/>
      <c r="F162" s="9"/>
      <c r="G162" s="9"/>
      <c r="H162" s="9"/>
      <c r="I162" s="10" t="s">
        <v>23</v>
      </c>
      <c r="J162" s="10"/>
      <c r="K162" s="10"/>
      <c r="L162" s="11" t="s">
        <v>24</v>
      </c>
      <c r="M162" s="11"/>
      <c r="P162" s="9" t="s">
        <v>12</v>
      </c>
      <c r="Q162" s="9"/>
      <c r="R162" s="9"/>
      <c r="S162" s="9"/>
      <c r="T162" s="9"/>
      <c r="U162" s="10" t="s">
        <v>23</v>
      </c>
      <c r="V162" s="10"/>
      <c r="W162" s="10"/>
      <c r="X162" s="11" t="s">
        <v>24</v>
      </c>
      <c r="Y162" s="11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14" t="s">
        <v>10</v>
      </c>
      <c r="C164" s="12" t="s">
        <v>40</v>
      </c>
      <c r="D164" s="13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12" t="s">
        <v>41</v>
      </c>
      <c r="P164" s="13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14"/>
      <c r="C165" s="12"/>
      <c r="D165" s="13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12"/>
      <c r="P165" s="13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14"/>
      <c r="C166" s="12"/>
      <c r="D166" s="13"/>
      <c r="E166" t="s">
        <v>37</v>
      </c>
      <c r="F166">
        <f t="shared" si="126"/>
        <v>6.5197500000000012E-3</v>
      </c>
      <c r="G166">
        <f t="shared" si="127"/>
        <v>1.2160000000000001E-2</v>
      </c>
      <c r="H166">
        <f t="shared" si="128"/>
        <v>1016.4874189999999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1.0320000000000001E-2</v>
      </c>
      <c r="M166">
        <f>M46+I46+E46</f>
        <v>130.15650400000001</v>
      </c>
      <c r="O166" s="12"/>
      <c r="P166" s="13"/>
      <c r="Q166" t="s">
        <v>37</v>
      </c>
      <c r="R166">
        <f t="shared" si="132"/>
        <v>6.7390000000000011E-3</v>
      </c>
      <c r="S166">
        <f t="shared" si="133"/>
        <v>1.2520000000000002E-2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1.0640000000000002E-2</v>
      </c>
    </row>
    <row r="167" spans="2:25" x14ac:dyDescent="0.25">
      <c r="B167" s="14"/>
    </row>
    <row r="168" spans="2:25" x14ac:dyDescent="0.25">
      <c r="B168" s="14"/>
    </row>
    <row r="169" spans="2:25" x14ac:dyDescent="0.25">
      <c r="B169" s="14"/>
    </row>
    <row r="170" spans="2:25" x14ac:dyDescent="0.25">
      <c r="B170" s="14"/>
      <c r="C170" s="12" t="s">
        <v>42</v>
      </c>
      <c r="D170" s="13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12" t="s">
        <v>43</v>
      </c>
      <c r="P170" s="13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14"/>
      <c r="C171" s="12"/>
      <c r="D171" s="13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12"/>
      <c r="P171" s="13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14"/>
      <c r="C172" s="12"/>
      <c r="D172" s="13"/>
      <c r="E172" t="s">
        <v>37</v>
      </c>
      <c r="F172">
        <f t="shared" si="136"/>
        <v>7.1760000000000001E-3</v>
      </c>
      <c r="G172">
        <f t="shared" si="137"/>
        <v>1.324E-2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1.1280000000000002E-2</v>
      </c>
      <c r="O172" s="12"/>
      <c r="P172" s="13"/>
      <c r="Q172" t="s">
        <v>37</v>
      </c>
      <c r="R172">
        <f t="shared" si="140"/>
        <v>7.6110000000000014E-3</v>
      </c>
      <c r="S172">
        <f t="shared" si="141"/>
        <v>1.396E-2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1.192E-2</v>
      </c>
    </row>
    <row r="175" spans="2:25" x14ac:dyDescent="0.25">
      <c r="D175" s="9" t="s">
        <v>12</v>
      </c>
      <c r="E175" s="9"/>
      <c r="F175" s="9"/>
      <c r="G175" s="9"/>
      <c r="H175" s="9"/>
      <c r="I175" s="10" t="s">
        <v>23</v>
      </c>
      <c r="J175" s="10"/>
      <c r="K175" s="10"/>
      <c r="L175" s="11" t="s">
        <v>24</v>
      </c>
      <c r="M175" s="11"/>
      <c r="P175" s="9" t="s">
        <v>12</v>
      </c>
      <c r="Q175" s="9"/>
      <c r="R175" s="9"/>
      <c r="S175" s="9"/>
      <c r="T175" s="9"/>
      <c r="U175" s="10" t="s">
        <v>23</v>
      </c>
      <c r="V175" s="10"/>
      <c r="W175" s="10"/>
      <c r="X175" s="11" t="s">
        <v>24</v>
      </c>
      <c r="Y175" s="11"/>
    </row>
    <row r="176" spans="2:25" x14ac:dyDescent="0.25"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14" t="s">
        <v>11</v>
      </c>
      <c r="B177" s="16" t="s">
        <v>44</v>
      </c>
      <c r="C177" s="12" t="s">
        <v>40</v>
      </c>
      <c r="D177" s="13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16" t="s">
        <v>45</v>
      </c>
      <c r="O177" s="12" t="s">
        <v>41</v>
      </c>
      <c r="P177" s="13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14"/>
      <c r="B178" s="16"/>
      <c r="C178" s="12"/>
      <c r="D178" s="13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16"/>
      <c r="O178" s="12"/>
      <c r="P178" s="13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14"/>
      <c r="B179" s="16"/>
      <c r="C179" s="12"/>
      <c r="D179" s="13"/>
      <c r="E179" t="s">
        <v>37</v>
      </c>
      <c r="F179">
        <f t="shared" si="144"/>
        <v>6.6292624999999992E-3</v>
      </c>
      <c r="G179">
        <f t="shared" si="145"/>
        <v>1.2339987499999998E-2</v>
      </c>
      <c r="H179">
        <f t="shared" si="146"/>
        <v>1356.7963399999999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1.0479974999999999E-2</v>
      </c>
      <c r="M179">
        <f>Q46+M46+I46+E46</f>
        <v>168.71124700000001</v>
      </c>
      <c r="N179" s="16"/>
      <c r="O179" s="12"/>
      <c r="P179" s="13"/>
      <c r="Q179" t="s">
        <v>37</v>
      </c>
      <c r="R179">
        <f t="shared" si="150"/>
        <v>6.9570999999999999E-3</v>
      </c>
      <c r="S179">
        <f t="shared" si="151"/>
        <v>1.28799E-2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1.09598E-2</v>
      </c>
    </row>
    <row r="180" spans="1:25" x14ac:dyDescent="0.25">
      <c r="A180" s="14"/>
    </row>
    <row r="181" spans="1:25" x14ac:dyDescent="0.25">
      <c r="A181" s="14"/>
    </row>
    <row r="182" spans="1:25" x14ac:dyDescent="0.25">
      <c r="A182" s="14"/>
    </row>
    <row r="183" spans="1:25" x14ac:dyDescent="0.25">
      <c r="A183" s="14"/>
      <c r="B183" s="16" t="s">
        <v>46</v>
      </c>
      <c r="C183" s="12" t="s">
        <v>42</v>
      </c>
      <c r="D183" s="13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16" t="s">
        <v>47</v>
      </c>
      <c r="O183" s="12" t="s">
        <v>43</v>
      </c>
      <c r="P183" s="13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14"/>
      <c r="B184" s="16"/>
      <c r="C184" s="12"/>
      <c r="D184" s="13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16"/>
      <c r="O184" s="12"/>
      <c r="P184" s="13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14"/>
      <c r="B185" s="16"/>
      <c r="C185" s="12"/>
      <c r="D185" s="13"/>
      <c r="E185" t="s">
        <v>37</v>
      </c>
      <c r="F185">
        <f t="shared" si="154"/>
        <v>7.6088000000000006E-3</v>
      </c>
      <c r="G185">
        <f t="shared" si="155"/>
        <v>1.39592E-2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1.1918399999999999E-2</v>
      </c>
      <c r="N185" s="16"/>
      <c r="O185" s="12"/>
      <c r="P185" s="13"/>
      <c r="Q185" t="s">
        <v>37</v>
      </c>
      <c r="R185">
        <f t="shared" si="158"/>
        <v>8.2557000000000012E-3</v>
      </c>
      <c r="S185">
        <f t="shared" si="159"/>
        <v>1.50373E-2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1.28746E-2</v>
      </c>
    </row>
    <row r="188" spans="1:25" x14ac:dyDescent="0.25">
      <c r="A188" s="1" t="s">
        <v>27</v>
      </c>
      <c r="D188" s="9" t="s">
        <v>12</v>
      </c>
      <c r="E188" s="9"/>
      <c r="F188" s="9"/>
      <c r="G188" s="9"/>
      <c r="H188" s="9"/>
      <c r="I188" s="10" t="s">
        <v>23</v>
      </c>
      <c r="J188" s="10"/>
      <c r="K188" s="10"/>
      <c r="L188" s="11" t="s">
        <v>24</v>
      </c>
      <c r="M188" s="11"/>
      <c r="N188" s="2"/>
      <c r="P188" s="9" t="s">
        <v>12</v>
      </c>
      <c r="Q188" s="9"/>
      <c r="R188" s="9"/>
      <c r="S188" s="9"/>
      <c r="T188" s="9"/>
      <c r="U188" s="10" t="s">
        <v>23</v>
      </c>
      <c r="V188" s="10"/>
      <c r="W188" s="10"/>
      <c r="X188" s="11" t="s">
        <v>24</v>
      </c>
      <c r="Y188" s="11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14" t="s">
        <v>9</v>
      </c>
      <c r="D190" s="13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13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14"/>
      <c r="D191" s="13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13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14"/>
      <c r="D192" s="13"/>
      <c r="E192" t="s">
        <v>37</v>
      </c>
      <c r="F192">
        <f t="shared" si="162"/>
        <v>2.8E-3</v>
      </c>
      <c r="G192">
        <f t="shared" si="163"/>
        <v>9.774999999999999E-3</v>
      </c>
      <c r="H192">
        <f t="shared" si="164"/>
        <v>633.533096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L192">
        <f>0.05*X46+(1-0.05)*T46</f>
        <v>6.4699999999999992E-3</v>
      </c>
      <c r="M192">
        <f>AA46+W46</f>
        <v>75.172671000000008</v>
      </c>
      <c r="P192" s="13"/>
      <c r="Q192" t="s">
        <v>37</v>
      </c>
      <c r="R192">
        <f t="shared" si="168"/>
        <v>2.9000000000000002E-3</v>
      </c>
      <c r="S192">
        <f t="shared" si="169"/>
        <v>9.9500000000000005E-3</v>
      </c>
      <c r="U192">
        <f t="shared" si="170"/>
        <v>7.5899999999999995E-3</v>
      </c>
      <c r="V192">
        <f t="shared" si="171"/>
        <v>1.3270000000000001E-2</v>
      </c>
      <c r="X192">
        <f>0.1*X46+(1-0.1)*T46</f>
        <v>6.7399999999999995E-3</v>
      </c>
    </row>
    <row r="193" spans="2:25" x14ac:dyDescent="0.25">
      <c r="C193" s="14"/>
    </row>
    <row r="194" spans="2:25" x14ac:dyDescent="0.25">
      <c r="C194" s="14"/>
    </row>
    <row r="195" spans="2:25" x14ac:dyDescent="0.25">
      <c r="C195" s="14"/>
    </row>
    <row r="196" spans="2:25" x14ac:dyDescent="0.25">
      <c r="C196" s="14"/>
      <c r="D196" s="13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13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14"/>
      <c r="D197" s="13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13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14"/>
      <c r="D198" s="13"/>
      <c r="E198" t="s">
        <v>37</v>
      </c>
      <c r="F198">
        <f t="shared" si="172"/>
        <v>3.1000000000000003E-3</v>
      </c>
      <c r="G198">
        <f t="shared" si="173"/>
        <v>1.03E-2</v>
      </c>
      <c r="I198">
        <f t="shared" si="174"/>
        <v>7.6800000000000002E-3</v>
      </c>
      <c r="J198">
        <f t="shared" si="175"/>
        <v>1.3339999999999999E-2</v>
      </c>
      <c r="L198">
        <f>0.2*X46+(1-0.2)*T46</f>
        <v>7.28E-3</v>
      </c>
      <c r="P198" s="13"/>
      <c r="Q198" t="s">
        <v>37</v>
      </c>
      <c r="R198">
        <f t="shared" si="176"/>
        <v>3.3E-3</v>
      </c>
      <c r="S198">
        <f t="shared" si="177"/>
        <v>1.065E-2</v>
      </c>
      <c r="U198">
        <f t="shared" si="178"/>
        <v>7.7699999999999991E-3</v>
      </c>
      <c r="V198">
        <f t="shared" si="179"/>
        <v>1.3409999999999998E-2</v>
      </c>
      <c r="X198">
        <f>0.3*X46+(1-0.3)*T46</f>
        <v>7.8199999999999988E-3</v>
      </c>
    </row>
    <row r="201" spans="2:25" x14ac:dyDescent="0.25">
      <c r="D201" s="9" t="s">
        <v>12</v>
      </c>
      <c r="E201" s="9"/>
      <c r="F201" s="9"/>
      <c r="G201" s="9"/>
      <c r="H201" s="9"/>
      <c r="I201" s="10" t="s">
        <v>23</v>
      </c>
      <c r="J201" s="10"/>
      <c r="K201" s="10"/>
      <c r="L201" s="11" t="s">
        <v>24</v>
      </c>
      <c r="M201" s="11"/>
      <c r="P201" s="9" t="s">
        <v>12</v>
      </c>
      <c r="Q201" s="9"/>
      <c r="R201" s="9"/>
      <c r="S201" s="9"/>
      <c r="T201" s="9"/>
      <c r="U201" s="10" t="s">
        <v>23</v>
      </c>
      <c r="V201" s="10"/>
      <c r="W201" s="10"/>
      <c r="X201" s="11" t="s">
        <v>24</v>
      </c>
      <c r="Y201" s="11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14" t="s">
        <v>10</v>
      </c>
      <c r="C203" s="12" t="s">
        <v>40</v>
      </c>
      <c r="D203" s="13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 t="shared" ref="K203:K205" si="185">AE39+AA39+W39</f>
        <v>0</v>
      </c>
      <c r="O203" s="12" t="s">
        <v>41</v>
      </c>
      <c r="P203" s="13" t="s">
        <v>35</v>
      </c>
      <c r="Q203" t="s">
        <v>34</v>
      </c>
      <c r="R203">
        <f t="shared" ref="R203:R205" si="186">(0.1*0.9+0.1*0.9)*Y32+0.1*0.1*AC32+(1-0.1*0.9-0.1*0.9-0.1*0.1)*U32</f>
        <v>0</v>
      </c>
      <c r="S203">
        <f t="shared" ref="S203:S205" si="187">(0.1*0.9+0.1*0.9)*Z32+0.1*0.1*AD32+(1-0.1*0.9-0.1*0.9-0.1*0.1)*V32</f>
        <v>0</v>
      </c>
      <c r="U203">
        <f t="shared" ref="U203:U205" si="188">(0.1*0.9+0.1*0.9)*Y39+0.1*0.1*AC39+(1-0.1*0.9-0.1*0.9-0.1*0.1)*U39</f>
        <v>0</v>
      </c>
      <c r="V203">
        <f t="shared" ref="V203:V205" si="189">(0.1*0.9+0.1*0.9)*Z39+0.1*0.1*AD39+(1-0.1*0.9-0.1*0.9-0.1*0.1)*V39</f>
        <v>0</v>
      </c>
    </row>
    <row r="204" spans="2:25" x14ac:dyDescent="0.25">
      <c r="B204" s="14"/>
      <c r="C204" s="12"/>
      <c r="D204" s="13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 t="shared" si="185"/>
        <v>0</v>
      </c>
      <c r="O204" s="12"/>
      <c r="P204" s="13"/>
      <c r="Q204" t="s">
        <v>36</v>
      </c>
      <c r="R204">
        <f t="shared" si="186"/>
        <v>0</v>
      </c>
      <c r="S204">
        <f t="shared" si="187"/>
        <v>0</v>
      </c>
      <c r="U204">
        <f t="shared" si="188"/>
        <v>0</v>
      </c>
      <c r="V204">
        <f t="shared" si="189"/>
        <v>0</v>
      </c>
    </row>
    <row r="205" spans="2:25" x14ac:dyDescent="0.25">
      <c r="B205" s="14"/>
      <c r="C205" s="12"/>
      <c r="D205" s="13"/>
      <c r="E205" t="s">
        <v>37</v>
      </c>
      <c r="F205">
        <f t="shared" si="180"/>
        <v>2.8962500000000004E-3</v>
      </c>
      <c r="G205">
        <f t="shared" si="181"/>
        <v>9.9487499999999993E-3</v>
      </c>
      <c r="H205">
        <f t="shared" si="182"/>
        <v>942.84375199999999</v>
      </c>
      <c r="I205">
        <f t="shared" si="183"/>
        <v>7.58875E-3</v>
      </c>
      <c r="J205">
        <f t="shared" si="184"/>
        <v>1.3270250000000001E-2</v>
      </c>
      <c r="K205">
        <f t="shared" si="185"/>
        <v>1973.9607150000002</v>
      </c>
      <c r="L205">
        <f>(0.05*(1-0.05)+0.05*(1-0.05))*X46+0.05*0.05*AB46+(1-0.05*(1-0.05)-0.05*(1-0.05)-0.05*0.05)*T46</f>
        <v>6.7265000000000007E-3</v>
      </c>
      <c r="M205">
        <f>AE46+AA46+W46</f>
        <v>116.510732</v>
      </c>
      <c r="O205" s="12"/>
      <c r="P205" s="13"/>
      <c r="Q205" t="s">
        <v>37</v>
      </c>
      <c r="R205">
        <f t="shared" si="186"/>
        <v>3.0850000000000001E-3</v>
      </c>
      <c r="S205">
        <f t="shared" si="187"/>
        <v>1.0295E-2</v>
      </c>
      <c r="U205">
        <f t="shared" si="188"/>
        <v>7.6750000000000004E-3</v>
      </c>
      <c r="V205">
        <f t="shared" si="189"/>
        <v>1.3341E-2</v>
      </c>
      <c r="X205">
        <f>(0.1*0.9+0.1*0.9)*X46+0.1*0.1*AB46+(1-0.1*0.9-0.1*0.9-0.1*0.1)*T46</f>
        <v>7.2260000000000007E-3</v>
      </c>
    </row>
    <row r="206" spans="2:25" x14ac:dyDescent="0.25">
      <c r="B206" s="14"/>
    </row>
    <row r="207" spans="2:25" x14ac:dyDescent="0.25">
      <c r="B207" s="14"/>
    </row>
    <row r="208" spans="2:25" x14ac:dyDescent="0.25">
      <c r="B208" s="14"/>
    </row>
    <row r="209" spans="1:25" x14ac:dyDescent="0.25">
      <c r="B209" s="14"/>
      <c r="C209" s="12" t="s">
        <v>42</v>
      </c>
      <c r="D209" s="13" t="s">
        <v>38</v>
      </c>
      <c r="E209" t="s">
        <v>34</v>
      </c>
      <c r="F209">
        <f t="shared" ref="F209:F211" si="190">(0.2*0.8+0.2*0.8)*Y32+0.2*0.2*AC32+(1-0.2*0.8-0.2*0.8-0.2*0.2)*U32</f>
        <v>0</v>
      </c>
      <c r="G209">
        <f t="shared" ref="G209:G211" si="191">(0.2*0.8+0.2*0.8)*Z32+0.2*0.2*AD32+(1-0.2*0.8-0.2*0.8-0.2*0.2)*V32</f>
        <v>0</v>
      </c>
      <c r="I209">
        <f t="shared" ref="I209:I211" si="192">(0.2*0.8+0.2*0.8)*Y39+0.2*0.2*AC39+(1-0.2*0.8-0.2*0.8-0.2*0.2)*U39</f>
        <v>0</v>
      </c>
      <c r="J209">
        <f t="shared" ref="J209:J211" si="193">(0.2*0.8+0.2*0.8)*Z39+0.2*0.2*AD39+(1-0.2*0.8-0.2*0.8-0.2*0.2)*V39</f>
        <v>0</v>
      </c>
      <c r="O209" s="12" t="s">
        <v>43</v>
      </c>
      <c r="P209" s="13" t="s">
        <v>39</v>
      </c>
      <c r="Q209" t="s">
        <v>34</v>
      </c>
      <c r="R209">
        <f t="shared" ref="R209:R211" si="194">(0.3*0.7+0.3*0.7)*Y32+0.3*0.3*AC32+(1-0.3*0.7-0.3*0.7-0.3*0.3)*U32</f>
        <v>0</v>
      </c>
      <c r="S209">
        <f t="shared" ref="S209:S211" si="195">(0.3*0.7+0.3*0.7)*Z32+0.3*0.3*AD32+(1-0.3*0.7-0.3*0.7-0.3*0.3)*V32</f>
        <v>0</v>
      </c>
      <c r="U209">
        <f t="shared" ref="U209:U211" si="196">(0.3*0.7+0.3*0.7)*Y39+0.3*0.3*AC39+(1-0.3*0.7-0.3*0.7-0.3*0.3)*U39</f>
        <v>0</v>
      </c>
      <c r="V209">
        <f t="shared" ref="V209:V211" si="197">(0.3*0.7+0.3*0.7)*Z39+0.3*0.3*AD39+(1-0.3*0.7-0.3*0.7-0.3*0.3)*V39</f>
        <v>0</v>
      </c>
    </row>
    <row r="210" spans="1:25" x14ac:dyDescent="0.25">
      <c r="B210" s="14"/>
      <c r="C210" s="12"/>
      <c r="D210" s="13"/>
      <c r="E210" t="s">
        <v>36</v>
      </c>
      <c r="F210">
        <f t="shared" si="190"/>
        <v>0</v>
      </c>
      <c r="G210">
        <f t="shared" si="191"/>
        <v>0</v>
      </c>
      <c r="I210">
        <f t="shared" si="192"/>
        <v>0</v>
      </c>
      <c r="J210">
        <f t="shared" si="193"/>
        <v>0</v>
      </c>
      <c r="O210" s="12"/>
      <c r="P210" s="13"/>
      <c r="Q210" t="s">
        <v>36</v>
      </c>
      <c r="R210">
        <f t="shared" si="194"/>
        <v>0</v>
      </c>
      <c r="S210">
        <f t="shared" si="195"/>
        <v>0</v>
      </c>
      <c r="U210">
        <f t="shared" si="196"/>
        <v>0</v>
      </c>
      <c r="V210">
        <f t="shared" si="197"/>
        <v>0</v>
      </c>
    </row>
    <row r="211" spans="1:25" x14ac:dyDescent="0.25">
      <c r="B211" s="14"/>
      <c r="C211" s="12"/>
      <c r="D211" s="13"/>
      <c r="E211" t="s">
        <v>37</v>
      </c>
      <c r="F211">
        <f t="shared" si="190"/>
        <v>3.4400000000000003E-3</v>
      </c>
      <c r="G211">
        <f t="shared" si="191"/>
        <v>1.098E-2</v>
      </c>
      <c r="I211">
        <f t="shared" si="192"/>
        <v>7.8399999999999997E-3</v>
      </c>
      <c r="J211">
        <f t="shared" si="193"/>
        <v>1.3483999999999999E-2</v>
      </c>
      <c r="L211">
        <f>(0.2*0.8+0.2*0.8)*X46+0.2*0.2*AB46+(1-0.2*0.8-0.2*0.8-0.2*0.2)*T46</f>
        <v>8.1440000000000002E-3</v>
      </c>
      <c r="O211" s="12"/>
      <c r="P211" s="13"/>
      <c r="Q211" t="s">
        <v>37</v>
      </c>
      <c r="R211">
        <f t="shared" si="194"/>
        <v>3.7650000000000006E-3</v>
      </c>
      <c r="S211">
        <f t="shared" si="195"/>
        <v>1.1655E-2</v>
      </c>
      <c r="U211">
        <f t="shared" si="196"/>
        <v>7.9950000000000004E-3</v>
      </c>
      <c r="V211">
        <f t="shared" si="197"/>
        <v>1.3629E-2</v>
      </c>
      <c r="X211">
        <f>(0.3*0.7+0.3*0.7)*X46+0.3*0.3*AB46+(1-0.3*0.7-0.3*0.7-0.3*0.3)*T46</f>
        <v>8.9540000000000002E-3</v>
      </c>
    </row>
    <row r="214" spans="1:25" x14ac:dyDescent="0.25">
      <c r="D214" s="9" t="s">
        <v>12</v>
      </c>
      <c r="E214" s="9"/>
      <c r="F214" s="9"/>
      <c r="G214" s="9"/>
      <c r="H214" s="9"/>
      <c r="I214" s="10" t="s">
        <v>23</v>
      </c>
      <c r="J214" s="10"/>
      <c r="K214" s="10"/>
      <c r="L214" s="11" t="s">
        <v>24</v>
      </c>
      <c r="M214" s="11"/>
      <c r="P214" s="9" t="s">
        <v>12</v>
      </c>
      <c r="Q214" s="9"/>
      <c r="R214" s="9"/>
      <c r="S214" s="9"/>
      <c r="T214" s="9"/>
      <c r="U214" s="10" t="s">
        <v>23</v>
      </c>
      <c r="V214" s="10"/>
      <c r="W214" s="10"/>
      <c r="X214" s="11" t="s">
        <v>24</v>
      </c>
      <c r="Y214" s="11"/>
    </row>
    <row r="215" spans="1:25" x14ac:dyDescent="0.25"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14" t="s">
        <v>11</v>
      </c>
      <c r="B216" s="16" t="s">
        <v>44</v>
      </c>
      <c r="C216" s="12" t="s">
        <v>40</v>
      </c>
      <c r="D216" s="13" t="s">
        <v>33</v>
      </c>
      <c r="E216" t="s">
        <v>34</v>
      </c>
      <c r="F216">
        <f t="shared" ref="F216:F218" si="198">3*0.05*(1-0.05)*(1-0.05)*Y32+3*0.05*0.05*(1-0.05)*AC32+0.05*0.05*0.05*AG32+(1-3*0.05*(1-0.05)*(1-0.05)-3*0.05*0.05*(1-0.05)-0.05*0.05*0.05)*U32</f>
        <v>0</v>
      </c>
      <c r="G216">
        <f t="shared" ref="G216:G218" si="199">3*0.05*(1-0.05)*(1-0.05)*Z32+3*0.05*0.05*(1-0.05)*AD32+0.05*0.05*0.05*AH32+(1-3*0.05*(1-0.05)*(1-0.05)-3*0.05*0.05*(1-0.05)-0.05*0.05*0.05)*V32</f>
        <v>0</v>
      </c>
      <c r="H216">
        <f t="shared" ref="H216:H218" si="200">AI32+AE32+AA32+W32</f>
        <v>0</v>
      </c>
      <c r="I216">
        <f t="shared" ref="I216:I218" si="201">3*0.05*(1-0.05)*(1-0.05)*Y39+3*0.05*0.05*(1-0.05)*AC39+0.05*0.05*0.05*AG39+(1-3*0.05*(1-0.05)*(1-0.05)-3*0.05*0.05*(1-0.05)-0.05*0.05*0.05)*U39</f>
        <v>0</v>
      </c>
      <c r="J216">
        <f t="shared" ref="J216:J218" si="202">3*0.05*(1-0.05)*(1-0.05)*Z39+3*0.05*0.05*(1-0.05)*AD39+0.05*0.05*0.05*AH39+(1-3*0.05*(1-0.05)*(1-0.05)-3*0.05*0.05*(1-0.05)-0.05*0.05*0.05)*V39</f>
        <v>0</v>
      </c>
      <c r="K216">
        <f t="shared" ref="K216:K218" si="203">AI39+AE39+AA39+W39</f>
        <v>0</v>
      </c>
      <c r="N216" s="16" t="s">
        <v>45</v>
      </c>
      <c r="O216" s="12" t="s">
        <v>41</v>
      </c>
      <c r="P216" s="13" t="s">
        <v>35</v>
      </c>
      <c r="Q216" t="s">
        <v>34</v>
      </c>
      <c r="R216">
        <f t="shared" ref="R216:R218" si="204">3*0.1*(1-0.1)*(1-0.1)*Y32+3*0.1*0.1*(1-0.1)*AC32+0.1*0.1*0.1*AG32+(1-3*0.1*(1-0.1)*(1-0.1)-3*0.1*0.1*(1-0.1)-0.1*0.1*0.1)*U32</f>
        <v>0</v>
      </c>
      <c r="S216">
        <f t="shared" ref="S216:S218" si="205">3*0.1*(1-0.1)*(1-0.1)*Z32+3*0.1*0.1*(1-0.1)*AD32+0.1*0.1*0.1*AH32+(1-3*0.1*(1-0.1)*(1-0.1)-3*0.1*0.1*(1-0.1)-0.1*0.1*0.1)*V32</f>
        <v>0</v>
      </c>
      <c r="U216">
        <f t="shared" ref="U216:U218" si="206">3*0.1*(1-0.1)*(1-0.1)*Y39+3*0.1*0.1*(1-0.1)*AC39+0.1*0.1*0.1*AG39+(1-3*0.1*(1-0.1)*(1-0.1)-3*0.1*0.1*(1-0.1)-0.1*0.1*0.1)*U39</f>
        <v>0</v>
      </c>
      <c r="V216">
        <f t="shared" ref="V216:V218" si="207">3*0.1*(1-0.1)*(1-0.1)*Z39+3*0.1*0.1*(1-0.1)*AD39+0.1*0.1*0.1*AH39+(1-3*0.1*(1-0.1)*(1-0.1)-3*0.1*0.1*(1-0.1)-0.1*0.1*0.1)*V39</f>
        <v>0</v>
      </c>
    </row>
    <row r="217" spans="1:25" x14ac:dyDescent="0.25">
      <c r="A217" s="14"/>
      <c r="B217" s="16"/>
      <c r="C217" s="12"/>
      <c r="D217" s="13"/>
      <c r="E217" t="s">
        <v>36</v>
      </c>
      <c r="F217">
        <f t="shared" si="198"/>
        <v>0</v>
      </c>
      <c r="G217">
        <f t="shared" si="199"/>
        <v>0</v>
      </c>
      <c r="H217">
        <f t="shared" si="200"/>
        <v>0</v>
      </c>
      <c r="I217">
        <f t="shared" si="201"/>
        <v>0</v>
      </c>
      <c r="J217">
        <f t="shared" si="202"/>
        <v>0</v>
      </c>
      <c r="K217">
        <f t="shared" si="203"/>
        <v>0</v>
      </c>
      <c r="N217" s="16"/>
      <c r="O217" s="12"/>
      <c r="P217" s="13"/>
      <c r="Q217" t="s">
        <v>36</v>
      </c>
      <c r="R217">
        <f t="shared" si="204"/>
        <v>0</v>
      </c>
      <c r="S217">
        <f t="shared" si="205"/>
        <v>0</v>
      </c>
      <c r="U217">
        <f t="shared" si="206"/>
        <v>0</v>
      </c>
      <c r="V217">
        <f t="shared" si="207"/>
        <v>0</v>
      </c>
    </row>
    <row r="218" spans="1:25" x14ac:dyDescent="0.25">
      <c r="A218" s="14"/>
      <c r="B218" s="16"/>
      <c r="C218" s="12"/>
      <c r="D218" s="13"/>
      <c r="E218" t="s">
        <v>37</v>
      </c>
      <c r="F218">
        <f t="shared" si="198"/>
        <v>2.9890250000000002E-3</v>
      </c>
      <c r="G218">
        <f t="shared" si="199"/>
        <v>1.0121349999999998E-2</v>
      </c>
      <c r="H218">
        <f t="shared" si="200"/>
        <v>1263.3039530000001</v>
      </c>
      <c r="I218">
        <f t="shared" si="201"/>
        <v>7.6313124999999983E-3</v>
      </c>
      <c r="J218">
        <f t="shared" si="202"/>
        <v>1.3305749999999998E-2</v>
      </c>
      <c r="K218">
        <f t="shared" si="203"/>
        <v>2783.079236</v>
      </c>
      <c r="L218">
        <f>3*0.05*(1-0.05)*(1-0.05)*X46+3*0.05*0.05*(1-0.05)*AB46+0.05*0.05*0.05*AF46+(1-3*0.05*(1-0.05)*(1-0.05)-3*0.05*0.05*(1-0.05)-0.05*0.05*0.05)*T46</f>
        <v>6.9704624999999999E-3</v>
      </c>
      <c r="M218">
        <f>AI46+AE46+AA46+W46</f>
        <v>144.85319299999998</v>
      </c>
      <c r="N218" s="16"/>
      <c r="O218" s="12"/>
      <c r="P218" s="13"/>
      <c r="Q218" t="s">
        <v>37</v>
      </c>
      <c r="R218">
        <f t="shared" si="204"/>
        <v>3.2572E-3</v>
      </c>
      <c r="S218">
        <f t="shared" si="205"/>
        <v>1.0635800000000001E-2</v>
      </c>
      <c r="U218">
        <f t="shared" si="206"/>
        <v>7.7554999999999985E-3</v>
      </c>
      <c r="V218">
        <f t="shared" si="207"/>
        <v>1.3413E-2</v>
      </c>
      <c r="X218">
        <f>3*0.1*(1-0.1)*(1-0.1)*X46+3*0.1*0.1*(1-0.1)*AB46+0.1*0.1*0.1*AF46+(1-3*0.1*(1-0.1)*(1-0.1)-3*0.1*0.1*(1-0.1)-0.1*0.1*0.1)*T46</f>
        <v>7.6656999999999993E-3</v>
      </c>
    </row>
    <row r="219" spans="1:25" x14ac:dyDescent="0.25">
      <c r="A219" s="14"/>
    </row>
    <row r="220" spans="1:25" x14ac:dyDescent="0.25">
      <c r="A220" s="14"/>
    </row>
    <row r="221" spans="1:25" x14ac:dyDescent="0.25">
      <c r="A221" s="14"/>
    </row>
    <row r="222" spans="1:25" x14ac:dyDescent="0.25">
      <c r="A222" s="14"/>
      <c r="B222" s="16" t="s">
        <v>46</v>
      </c>
      <c r="C222" s="12" t="s">
        <v>42</v>
      </c>
      <c r="D222" s="13" t="s">
        <v>38</v>
      </c>
      <c r="E222" t="s">
        <v>34</v>
      </c>
      <c r="F222">
        <f t="shared" ref="F222:F224" si="208">3*0.2*(1-0.2)*(1-0.2)*Y32+3*0.2*0.2*(1-0.2)*AC32+0.2*0.2*0.2*AG32+(1-3*0.2*(1-0.2)*(1-0.2)-3*0.2*0.2*(1-0.2)-0.2*0.2*0.2)*U32</f>
        <v>0</v>
      </c>
      <c r="G222">
        <f t="shared" ref="G222:G224" si="209">3*0.2*(1-0.2)*(1-0.2)*Z32+3*0.2*0.2*(1-0.2)*AD32+0.2*0.2*0.2*AH32+(1-3*0.2*(1-0.2)*(1-0.2)-3*0.2*0.2*(1-0.2)-0.2*0.2*0.2)*V32</f>
        <v>0</v>
      </c>
      <c r="I222">
        <f t="shared" ref="I222:I224" si="210">3*0.2*(1-0.2)*(1-0.2)*Y39+3*0.2*0.2*(1-0.2)*AC39+0.2*0.2*0.2*AG39+(1-3*0.2*(1-0.2)*(1-0.2)-3*0.2*0.2*(1-0.2)-0.2*0.2*0.2)*U39</f>
        <v>0</v>
      </c>
      <c r="J222">
        <f t="shared" ref="J222:J224" si="211">3*0.2*(1-0.2)*(1-0.2)*Z39+3*0.2*0.2*(1-0.2)*AD39+0.2*0.2*0.2*AH39+(1-3*0.2*(1-0.2)*(1-0.2)-3*0.2*0.2*(1-0.2)-0.2*0.2*0.2)*V39</f>
        <v>0</v>
      </c>
      <c r="N222" s="16" t="s">
        <v>47</v>
      </c>
      <c r="O222" s="12" t="s">
        <v>43</v>
      </c>
      <c r="P222" s="13" t="s">
        <v>39</v>
      </c>
      <c r="Q222" t="s">
        <v>34</v>
      </c>
      <c r="R222">
        <f t="shared" ref="R222:R224" si="212">3*0.3*(1-0.3)*(1-0.3)*Y32+3*0.3*0.3*(1-0.3)*AC32+0.3*0.3*0.3*AG32+(1-3*0.3*(1-0.3)*(1-0.3)-3*0.3*0.3*(1-0.3)-0.3*0.3*0.3)*U32</f>
        <v>0</v>
      </c>
      <c r="S222">
        <f t="shared" ref="S222:S224" si="213">3*0.3*(1-0.3)*(1-0.3)*Z32+3*0.3*0.3*(1-0.3)*AD32+0.3*0.3*0.3*AH32+(1-3*0.3*(1-0.3)*(1-0.3)-3*0.3*0.3*(1-0.3)-0.3*0.3*0.3)*V32</f>
        <v>0</v>
      </c>
      <c r="U222">
        <f t="shared" ref="U222:U224" si="214">3*0.3*(1-0.3)*(1-0.3)*Y39+3*0.3*0.3*(1-0.3)*AC39+0.3*0.3*0.3*AG39+(1-3*0.3*(1-0.3)*(1-0.3)-3*0.3*0.3*(1-0.3)-0.3*0.3*0.3)*U39</f>
        <v>0</v>
      </c>
      <c r="V222">
        <f t="shared" ref="V222:V224" si="215">3*0.3*(1-0.3)*(1-0.3)*Z39+3*0.3*0.3*(1-0.3)*AD39+0.3*0.3*0.3*AH39+(1-3*0.3*(1-0.3)*(1-0.3)-3*0.3*0.3*(1-0.3)-0.3*0.3*0.3)*V39</f>
        <v>0</v>
      </c>
    </row>
    <row r="223" spans="1:25" x14ac:dyDescent="0.25">
      <c r="A223" s="14"/>
      <c r="B223" s="16"/>
      <c r="C223" s="12"/>
      <c r="D223" s="13"/>
      <c r="E223" t="s">
        <v>36</v>
      </c>
      <c r="F223">
        <f t="shared" si="208"/>
        <v>0</v>
      </c>
      <c r="G223">
        <f t="shared" si="209"/>
        <v>0</v>
      </c>
      <c r="I223">
        <f t="shared" si="210"/>
        <v>0</v>
      </c>
      <c r="J223">
        <f t="shared" si="211"/>
        <v>0</v>
      </c>
      <c r="N223" s="16"/>
      <c r="O223" s="12"/>
      <c r="P223" s="13"/>
      <c r="Q223" t="s">
        <v>36</v>
      </c>
      <c r="R223">
        <f t="shared" si="212"/>
        <v>0</v>
      </c>
      <c r="S223">
        <f t="shared" si="213"/>
        <v>0</v>
      </c>
      <c r="U223">
        <f t="shared" si="214"/>
        <v>0</v>
      </c>
      <c r="V223">
        <f t="shared" si="215"/>
        <v>0</v>
      </c>
    </row>
    <row r="224" spans="1:25" x14ac:dyDescent="0.25">
      <c r="A224" s="14"/>
      <c r="B224" s="16"/>
      <c r="C224" s="12"/>
      <c r="D224" s="13"/>
      <c r="E224" t="s">
        <v>37</v>
      </c>
      <c r="F224">
        <f t="shared" si="208"/>
        <v>3.7376000000000006E-3</v>
      </c>
      <c r="G224">
        <f t="shared" si="209"/>
        <v>1.1646399999999999E-2</v>
      </c>
      <c r="I224">
        <f t="shared" si="210"/>
        <v>7.9839999999999998E-3</v>
      </c>
      <c r="J224">
        <f t="shared" si="211"/>
        <v>1.3631999999999998E-2</v>
      </c>
      <c r="L224">
        <f>3*0.2*(1-0.2)*(1-0.2)*X46+3*0.2*0.2*(1-0.2)*AB46+0.2*0.2*0.2*AF46+(1-3*0.2*(1-0.2)*(1-0.2)-3*0.2*0.2*(1-0.2)-0.2*0.2*0.2)*T46</f>
        <v>8.8535999999999997E-3</v>
      </c>
      <c r="N224" s="16"/>
      <c r="O224" s="12"/>
      <c r="P224" s="13"/>
      <c r="Q224" t="s">
        <v>37</v>
      </c>
      <c r="R224">
        <f t="shared" si="212"/>
        <v>4.1543999999999999E-3</v>
      </c>
      <c r="S224">
        <f t="shared" si="213"/>
        <v>1.26366E-2</v>
      </c>
      <c r="U224">
        <f t="shared" si="214"/>
        <v>8.1884999999999996E-3</v>
      </c>
      <c r="V224">
        <f t="shared" si="215"/>
        <v>1.3857000000000001E-2</v>
      </c>
      <c r="X224">
        <f>3*0.3*(1-0.3)*(1-0.3)*X46+3*0.3*0.3*(1-0.3)*AB46+0.3*0.3*0.3*AF46+(1-3*0.3*(1-0.3)*(1-0.3)-3*0.3*0.3*(1-0.3)-0.3*0.3*0.3)*T46</f>
        <v>9.8098999999999999E-3</v>
      </c>
    </row>
    <row r="227" spans="1:25" x14ac:dyDescent="0.25">
      <c r="A227" s="1" t="s">
        <v>28</v>
      </c>
      <c r="D227" s="9" t="s">
        <v>12</v>
      </c>
      <c r="E227" s="9"/>
      <c r="F227" s="9"/>
      <c r="G227" s="9"/>
      <c r="H227" s="9"/>
      <c r="I227" s="10" t="s">
        <v>23</v>
      </c>
      <c r="J227" s="10"/>
      <c r="K227" s="10"/>
      <c r="L227" s="11" t="s">
        <v>24</v>
      </c>
      <c r="M227" s="11"/>
      <c r="N227" s="2"/>
      <c r="P227" s="9" t="s">
        <v>12</v>
      </c>
      <c r="Q227" s="9"/>
      <c r="R227" s="9"/>
      <c r="S227" s="9"/>
      <c r="T227" s="9"/>
      <c r="U227" s="10" t="s">
        <v>23</v>
      </c>
      <c r="V227" s="10"/>
      <c r="W227" s="10"/>
      <c r="X227" s="11" t="s">
        <v>24</v>
      </c>
      <c r="Y227" s="11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14" t="s">
        <v>9</v>
      </c>
      <c r="D229" s="13" t="s">
        <v>33</v>
      </c>
      <c r="E229" t="s">
        <v>34</v>
      </c>
      <c r="F229">
        <f t="shared" ref="F229:F231" si="216">0.05*G52+(1-0.05)*C52</f>
        <v>0</v>
      </c>
      <c r="G229">
        <f t="shared" ref="G229:G230" si="217">0.05*H52+(1-0.05)*D52</f>
        <v>0</v>
      </c>
      <c r="H229">
        <f t="shared" ref="H229:H231" si="218">I52+E52</f>
        <v>0</v>
      </c>
      <c r="I229">
        <f t="shared" ref="I229:I231" si="219">0.05*G59+(1-0.05)*C59</f>
        <v>0</v>
      </c>
      <c r="J229">
        <f t="shared" ref="J229:J231" si="220">0.05*H59+(1-0.05)*D59</f>
        <v>0</v>
      </c>
      <c r="K229">
        <f t="shared" ref="K229:K231" si="221">I59+E59</f>
        <v>0</v>
      </c>
      <c r="P229" s="13" t="s">
        <v>35</v>
      </c>
      <c r="Q229" t="s">
        <v>34</v>
      </c>
      <c r="R229">
        <f t="shared" ref="R229:R231" si="222">0.1*G52+(1-0.1)*C52</f>
        <v>0</v>
      </c>
      <c r="S229">
        <f t="shared" ref="S229:S231" si="223">0.1*H52+(1-0.1)*D52</f>
        <v>0</v>
      </c>
      <c r="U229">
        <f t="shared" ref="U229:U231" si="224">0.1*G59+(1-0.1)*C59</f>
        <v>0</v>
      </c>
      <c r="V229">
        <f t="shared" ref="V229:V231" si="225">0.1*H59+(1-0.1)*D59</f>
        <v>0</v>
      </c>
    </row>
    <row r="230" spans="1:25" x14ac:dyDescent="0.25">
      <c r="C230" s="14"/>
      <c r="D230" s="13"/>
      <c r="E230" t="s">
        <v>36</v>
      </c>
      <c r="F230">
        <f t="shared" si="216"/>
        <v>0</v>
      </c>
      <c r="G230">
        <f t="shared" si="217"/>
        <v>0</v>
      </c>
      <c r="H230">
        <f t="shared" si="218"/>
        <v>0</v>
      </c>
      <c r="I230">
        <f t="shared" si="219"/>
        <v>0</v>
      </c>
      <c r="J230">
        <f t="shared" si="220"/>
        <v>0</v>
      </c>
      <c r="K230">
        <f t="shared" si="221"/>
        <v>0</v>
      </c>
      <c r="P230" s="13"/>
      <c r="Q230" t="s">
        <v>36</v>
      </c>
      <c r="R230">
        <f t="shared" si="222"/>
        <v>0</v>
      </c>
      <c r="S230">
        <f t="shared" si="223"/>
        <v>0</v>
      </c>
      <c r="U230">
        <f t="shared" si="224"/>
        <v>0</v>
      </c>
      <c r="V230">
        <f t="shared" si="225"/>
        <v>0</v>
      </c>
    </row>
    <row r="231" spans="1:25" x14ac:dyDescent="0.25">
      <c r="C231" s="14"/>
      <c r="D231" s="13"/>
      <c r="E231" t="s">
        <v>37</v>
      </c>
      <c r="F231">
        <f t="shared" si="216"/>
        <v>1.1850000000000001E-3</v>
      </c>
      <c r="G231">
        <f>0.05*H54+(1-0.05)*D54</f>
        <v>5.9749999999999994E-3</v>
      </c>
      <c r="H231">
        <f t="shared" si="218"/>
        <v>565.019184</v>
      </c>
      <c r="I231">
        <f t="shared" si="219"/>
        <v>3.64E-3</v>
      </c>
      <c r="J231">
        <f t="shared" si="220"/>
        <v>8.1950000000000009E-3</v>
      </c>
      <c r="K231">
        <f t="shared" si="221"/>
        <v>826.11785600000007</v>
      </c>
      <c r="L231">
        <f>0.05*G66+(1-0.05)*B66</f>
        <v>8.5613999999999992E-4</v>
      </c>
      <c r="M231">
        <f>I66+E66</f>
        <v>47.867565999999997</v>
      </c>
      <c r="P231" s="13"/>
      <c r="Q231" t="s">
        <v>37</v>
      </c>
      <c r="R231">
        <f t="shared" si="222"/>
        <v>1.3700000000000001E-3</v>
      </c>
      <c r="S231">
        <f t="shared" si="223"/>
        <v>6.1500000000000001E-3</v>
      </c>
      <c r="U231">
        <f t="shared" si="224"/>
        <v>3.6800000000000001E-3</v>
      </c>
      <c r="V231">
        <f t="shared" si="225"/>
        <v>8.1900000000000011E-3</v>
      </c>
      <c r="X231">
        <f>0.1*G66+(1-0.1)*B66</f>
        <v>8.1108000000000005E-4</v>
      </c>
    </row>
    <row r="232" spans="1:25" x14ac:dyDescent="0.25">
      <c r="C232" s="14"/>
    </row>
    <row r="233" spans="1:25" x14ac:dyDescent="0.25">
      <c r="C233" s="14"/>
    </row>
    <row r="234" spans="1:25" x14ac:dyDescent="0.25">
      <c r="C234" s="14"/>
    </row>
    <row r="235" spans="1:25" x14ac:dyDescent="0.25">
      <c r="C235" s="14"/>
      <c r="D235" s="13" t="s">
        <v>38</v>
      </c>
      <c r="E235" t="s">
        <v>34</v>
      </c>
      <c r="F235">
        <f t="shared" ref="F235:F237" si="226">0.2*G52+(1-0.2)*C52</f>
        <v>0</v>
      </c>
      <c r="G235">
        <f t="shared" ref="G235:G237" si="227">0.2*H52+(1-0.2)*D52</f>
        <v>0</v>
      </c>
      <c r="I235">
        <f t="shared" ref="I235:I237" si="228">0.2*G59+(1-0.2)*C59</f>
        <v>0</v>
      </c>
      <c r="J235">
        <f t="shared" ref="J235:J237" si="229">0.2*H59+(1-0.2)*D59</f>
        <v>0</v>
      </c>
      <c r="P235" s="13" t="s">
        <v>39</v>
      </c>
      <c r="Q235" t="s">
        <v>34</v>
      </c>
      <c r="R235">
        <f t="shared" ref="R235:R237" si="230">0.3*G52+(1-0.3)*C52</f>
        <v>0</v>
      </c>
      <c r="S235">
        <f t="shared" ref="S235:S237" si="231">0.3*H52+(1-0.3)*D52</f>
        <v>0</v>
      </c>
      <c r="U235">
        <f t="shared" ref="U235:U237" si="232">0.3*G59+(1-0.3)*C59</f>
        <v>0</v>
      </c>
      <c r="V235">
        <f t="shared" ref="V235:V237" si="233">0.3*H59+(1-0.3)*D59</f>
        <v>0</v>
      </c>
    </row>
    <row r="236" spans="1:25" x14ac:dyDescent="0.25">
      <c r="C236" s="14"/>
      <c r="D236" s="13"/>
      <c r="E236" t="s">
        <v>36</v>
      </c>
      <c r="F236">
        <f t="shared" si="226"/>
        <v>0</v>
      </c>
      <c r="G236">
        <f t="shared" si="227"/>
        <v>0</v>
      </c>
      <c r="I236">
        <f t="shared" si="228"/>
        <v>0</v>
      </c>
      <c r="J236">
        <f t="shared" si="229"/>
        <v>0</v>
      </c>
      <c r="P236" s="13"/>
      <c r="Q236" t="s">
        <v>36</v>
      </c>
      <c r="R236">
        <f t="shared" si="230"/>
        <v>0</v>
      </c>
      <c r="S236">
        <f t="shared" si="231"/>
        <v>0</v>
      </c>
      <c r="U236">
        <f t="shared" si="232"/>
        <v>0</v>
      </c>
      <c r="V236">
        <f t="shared" si="233"/>
        <v>0</v>
      </c>
    </row>
    <row r="237" spans="1:25" x14ac:dyDescent="0.25">
      <c r="C237" s="14"/>
      <c r="D237" s="13"/>
      <c r="E237" t="s">
        <v>37</v>
      </c>
      <c r="F237">
        <f t="shared" si="226"/>
        <v>1.7400000000000002E-3</v>
      </c>
      <c r="G237">
        <f t="shared" si="227"/>
        <v>6.4999999999999997E-3</v>
      </c>
      <c r="I237">
        <f t="shared" si="228"/>
        <v>3.7600000000000003E-3</v>
      </c>
      <c r="J237">
        <f t="shared" si="229"/>
        <v>8.1799999999999998E-3</v>
      </c>
      <c r="L237">
        <f>0.2*G66+(1-0.2)*B66</f>
        <v>7.2096000000000009E-4</v>
      </c>
      <c r="P237" s="13"/>
      <c r="Q237" t="s">
        <v>37</v>
      </c>
      <c r="R237">
        <f t="shared" si="230"/>
        <v>2.1099999999999999E-3</v>
      </c>
      <c r="S237">
        <f t="shared" si="231"/>
        <v>6.8499999999999985E-3</v>
      </c>
      <c r="U237">
        <f t="shared" si="232"/>
        <v>3.8399999999999997E-3</v>
      </c>
      <c r="V237">
        <f t="shared" si="233"/>
        <v>8.1700000000000002E-3</v>
      </c>
      <c r="X237">
        <f>0.3*G66+(1-0.3)*B66</f>
        <v>6.3083999999999992E-4</v>
      </c>
    </row>
    <row r="240" spans="1:25" x14ac:dyDescent="0.25">
      <c r="D240" s="9" t="s">
        <v>12</v>
      </c>
      <c r="E240" s="9"/>
      <c r="F240" s="9"/>
      <c r="G240" s="9"/>
      <c r="H240" s="9"/>
      <c r="I240" s="10" t="s">
        <v>23</v>
      </c>
      <c r="J240" s="10"/>
      <c r="K240" s="10"/>
      <c r="L240" s="11" t="s">
        <v>24</v>
      </c>
      <c r="M240" s="11"/>
      <c r="P240" s="9" t="s">
        <v>12</v>
      </c>
      <c r="Q240" s="9"/>
      <c r="R240" s="9"/>
      <c r="S240" s="9"/>
      <c r="T240" s="9"/>
      <c r="U240" s="10" t="s">
        <v>23</v>
      </c>
      <c r="V240" s="10"/>
      <c r="W240" s="10"/>
      <c r="X240" s="11" t="s">
        <v>24</v>
      </c>
      <c r="Y240" s="11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14" t="s">
        <v>10</v>
      </c>
      <c r="C242" s="12" t="s">
        <v>40</v>
      </c>
      <c r="D242" s="13" t="s">
        <v>33</v>
      </c>
      <c r="E242" t="s">
        <v>34</v>
      </c>
      <c r="F242">
        <f t="shared" ref="F242:F243" si="234">(0.05*(1-0.05)+0.05*(1-0.05))*G52+0.05*0.05*K52+(1-0.05*(1-0.05)-0.05*(1-0.05)-0.05*0.05)*C52</f>
        <v>0</v>
      </c>
      <c r="G242">
        <f t="shared" ref="G242:G243" si="235">(0.05*(1-0.05)+0.05*(1-0.05))*H52+0.05*0.05*L52+(1-0.05*(1-0.05)-0.05*(1-0.05)-0.05*0.05)*D52</f>
        <v>0</v>
      </c>
      <c r="H242">
        <f t="shared" ref="H242:H244" si="236">M52+I52+E52</f>
        <v>0</v>
      </c>
      <c r="I242">
        <f t="shared" ref="I242:I244" si="237">(0.05*(1-0.05)+0.05*(1-0.05))*G59+0.05*0.05*K59+(1-0.05*(1-0.05)-0.05*(1-0.05)-0.05*0.05)*C59</f>
        <v>0</v>
      </c>
      <c r="J242">
        <f t="shared" ref="J242:J244" si="238">(0.05*(1-0.05)+0.05*(1-0.05))*H59+0.05*0.05*L59+(1-0.05*(1-0.05)-0.05*(1-0.05)-0.05*0.05)*D59</f>
        <v>0</v>
      </c>
      <c r="K242">
        <f t="shared" ref="K242:K244" si="239">M59+I59+E59</f>
        <v>0</v>
      </c>
      <c r="O242" s="12" t="s">
        <v>41</v>
      </c>
      <c r="P242" s="13" t="s">
        <v>35</v>
      </c>
      <c r="Q242" t="s">
        <v>34</v>
      </c>
      <c r="R242">
        <f t="shared" ref="R242:R244" si="240">(0.1*0.9+0.1*0.9)*G52+0.1*0.1*K52+(1-0.1*0.9-0.1*0.9-0.1*0.1)*C52</f>
        <v>0</v>
      </c>
      <c r="S242">
        <f t="shared" ref="S242:S244" si="241">(0.1*0.9+0.1*0.9)*H52+0.1*0.1*L52+(1-0.1*0.9-0.1*0.9-0.1*0.1)*D52</f>
        <v>0</v>
      </c>
      <c r="U242">
        <f t="shared" ref="U242:U244" si="242">(0.1*0.9+0.1*0.9)*G59+0.1*0.1*K59+(1-0.1*0.9-0.1*0.9-0.1*0.1)*C59</f>
        <v>0</v>
      </c>
      <c r="V242">
        <f t="shared" ref="V242:V244" si="243">(0.1*0.9+0.1*0.9)*H59+0.1*0.1*L59+(1-0.1*0.9-0.1*0.9-0.1*0.1)*D59</f>
        <v>0</v>
      </c>
    </row>
    <row r="243" spans="1:25" x14ac:dyDescent="0.25">
      <c r="B243" s="14"/>
      <c r="C243" s="12"/>
      <c r="D243" s="13"/>
      <c r="E243" t="s">
        <v>36</v>
      </c>
      <c r="F243">
        <f t="shared" si="234"/>
        <v>0</v>
      </c>
      <c r="G243">
        <f t="shared" si="235"/>
        <v>0</v>
      </c>
      <c r="H243">
        <f t="shared" si="236"/>
        <v>0</v>
      </c>
      <c r="I243">
        <f t="shared" si="237"/>
        <v>0</v>
      </c>
      <c r="J243">
        <f t="shared" si="238"/>
        <v>0</v>
      </c>
      <c r="K243">
        <f t="shared" si="239"/>
        <v>0</v>
      </c>
      <c r="O243" s="12"/>
      <c r="P243" s="13"/>
      <c r="Q243" t="s">
        <v>36</v>
      </c>
      <c r="R243">
        <f t="shared" si="240"/>
        <v>0</v>
      </c>
      <c r="S243">
        <f t="shared" si="241"/>
        <v>0</v>
      </c>
      <c r="U243">
        <f t="shared" si="242"/>
        <v>0</v>
      </c>
      <c r="V243">
        <f t="shared" si="243"/>
        <v>0</v>
      </c>
    </row>
    <row r="244" spans="1:25" x14ac:dyDescent="0.25">
      <c r="B244" s="14"/>
      <c r="C244" s="12"/>
      <c r="D244" s="13"/>
      <c r="E244" t="s">
        <v>37</v>
      </c>
      <c r="F244">
        <f>(0.05*(1-0.05)+0.05*(1-0.05))*G54+0.05*0.05*K54+(1-0.05*(1-0.05)-0.05*(1-0.05)-0.05*0.05)*C54</f>
        <v>1.36075E-3</v>
      </c>
      <c r="G244">
        <f>(0.05*(1-0.05)+0.05*(1-0.05))*H54+0.05*0.05*L54+(1-0.05*(1-0.05)-0.05*(1-0.05)-0.05*0.05)*D54</f>
        <v>6.1452500000000005E-3</v>
      </c>
      <c r="H244">
        <f t="shared" si="236"/>
        <v>850.98497299999997</v>
      </c>
      <c r="I244">
        <f t="shared" si="237"/>
        <v>3.6787500000000002E-3</v>
      </c>
      <c r="J244">
        <f t="shared" si="238"/>
        <v>8.1892500000000021E-3</v>
      </c>
      <c r="K244">
        <f t="shared" si="239"/>
        <v>1351.7638460000001</v>
      </c>
      <c r="L244">
        <f>(0.05*(1-0.05)+0.05*(1-0.05))*G66+0.05*0.05*J66+(1-0.05*(1-0.05)-0.05*(1-0.05)-0.05*0.05)*B66</f>
        <v>8.3133300000000007E-4</v>
      </c>
      <c r="M244">
        <f>M66+I66+E66</f>
        <v>79.004807</v>
      </c>
      <c r="O244" s="12"/>
      <c r="P244" s="13"/>
      <c r="Q244" t="s">
        <v>37</v>
      </c>
      <c r="R244">
        <f t="shared" si="240"/>
        <v>1.7030000000000003E-3</v>
      </c>
      <c r="S244">
        <f t="shared" si="241"/>
        <v>6.4809999999999998E-3</v>
      </c>
      <c r="U244">
        <f t="shared" si="242"/>
        <v>3.7550000000000005E-3</v>
      </c>
      <c r="V244">
        <f t="shared" si="243"/>
        <v>8.177000000000002E-3</v>
      </c>
      <c r="X244">
        <f>(0.1*0.9+0.1*0.9)*G66+0.1*0.1*J66+(1-0.1*0.9-0.1*0.9-0.1*0.1)*B66</f>
        <v>8.0197200000000008E-4</v>
      </c>
    </row>
    <row r="245" spans="1:25" x14ac:dyDescent="0.25">
      <c r="B245" s="14"/>
    </row>
    <row r="246" spans="1:25" x14ac:dyDescent="0.25">
      <c r="B246" s="14"/>
    </row>
    <row r="247" spans="1:25" x14ac:dyDescent="0.25">
      <c r="B247" s="14"/>
    </row>
    <row r="248" spans="1:25" x14ac:dyDescent="0.25">
      <c r="B248" s="14"/>
      <c r="C248" s="12" t="s">
        <v>42</v>
      </c>
      <c r="D248" s="13" t="s">
        <v>38</v>
      </c>
      <c r="E248" t="s">
        <v>34</v>
      </c>
      <c r="F248">
        <f t="shared" ref="F248:F250" si="244">(0.2*0.8+0.2*0.8)*G52+0.2*0.2*K52+(1-0.2*0.8-0.2*0.8-0.2*0.2)*C52</f>
        <v>0</v>
      </c>
      <c r="G248">
        <f t="shared" ref="G248:G250" si="245">(0.2*0.8+0.2*0.8)*H52+0.2*0.2*L52+(1-0.2*0.8-0.2*0.8-0.2*0.2)*D52</f>
        <v>0</v>
      </c>
      <c r="I248">
        <f t="shared" ref="I248:I250" si="246">(0.2*0.8+0.2*0.8)*G59+0.2*0.2*K59+(1-0.2*0.8-0.2*0.8-0.2*0.2)*C59</f>
        <v>0</v>
      </c>
      <c r="J248">
        <f t="shared" ref="J248:J250" si="247">(0.2*0.8+0.2*0.8)*H59+0.2*0.2*L59+(1-0.2*0.8-0.2*0.8-0.2*0.2)*D59</f>
        <v>0</v>
      </c>
      <c r="O248" s="12" t="s">
        <v>43</v>
      </c>
      <c r="P248" s="13" t="s">
        <v>39</v>
      </c>
      <c r="Q248" t="s">
        <v>34</v>
      </c>
      <c r="R248">
        <f t="shared" ref="R248:R250" si="248">(0.3*0.7+0.3*0.7)*G52+0.3*0.3*K52+(1-0.3*0.7-0.3*0.7-0.3*0.3)*C52</f>
        <v>0</v>
      </c>
      <c r="S248">
        <f t="shared" ref="S248:S250" si="249">(0.3*0.7+0.3*0.7)*H52+0.3*0.3*L52+(1-0.3*0.7-0.3*0.7-0.3*0.3)*D52</f>
        <v>0</v>
      </c>
      <c r="U248">
        <f t="shared" ref="U248:U250" si="250">(0.3*0.7+0.3*0.7)*G59+0.3*0.3*K59+(1-0.3*0.7-0.3*0.7-0.3*0.3)*C59</f>
        <v>0</v>
      </c>
      <c r="V248">
        <f t="shared" ref="V248:V250" si="251">(0.3*0.7+0.3*0.7)*H59+0.3*0.3*L59+(1-0.3*0.7-0.3*0.7-0.3*0.3)*D59</f>
        <v>0</v>
      </c>
    </row>
    <row r="249" spans="1:25" x14ac:dyDescent="0.25">
      <c r="B249" s="14"/>
      <c r="C249" s="12"/>
      <c r="D249" s="13"/>
      <c r="E249" t="s">
        <v>36</v>
      </c>
      <c r="F249">
        <f t="shared" si="244"/>
        <v>0</v>
      </c>
      <c r="G249">
        <f t="shared" si="245"/>
        <v>0</v>
      </c>
      <c r="I249">
        <f t="shared" si="246"/>
        <v>0</v>
      </c>
      <c r="J249">
        <f t="shared" si="247"/>
        <v>0</v>
      </c>
      <c r="O249" s="12"/>
      <c r="P249" s="13"/>
      <c r="Q249" t="s">
        <v>36</v>
      </c>
      <c r="R249">
        <f t="shared" si="248"/>
        <v>0</v>
      </c>
      <c r="S249">
        <f t="shared" si="249"/>
        <v>0</v>
      </c>
      <c r="U249">
        <f t="shared" si="250"/>
        <v>0</v>
      </c>
      <c r="V249">
        <f t="shared" si="251"/>
        <v>0</v>
      </c>
    </row>
    <row r="250" spans="1:25" x14ac:dyDescent="0.25">
      <c r="B250" s="14"/>
      <c r="C250" s="12"/>
      <c r="D250" s="13"/>
      <c r="E250" t="s">
        <v>37</v>
      </c>
      <c r="F250">
        <f t="shared" si="244"/>
        <v>2.3320000000000003E-3</v>
      </c>
      <c r="G250">
        <f t="shared" si="245"/>
        <v>7.1240000000000001E-3</v>
      </c>
      <c r="I250">
        <f t="shared" si="246"/>
        <v>3.8999999999999998E-3</v>
      </c>
      <c r="J250">
        <f t="shared" si="247"/>
        <v>8.1480000000000007E-3</v>
      </c>
      <c r="L250">
        <f>(0.2*0.8+0.2*0.8)*G66+0.2*0.2*J66+(1-0.2*0.8-0.2*0.8-0.2*0.2)*B66</f>
        <v>8.6476800000000003E-4</v>
      </c>
      <c r="O250" s="12"/>
      <c r="P250" s="13"/>
      <c r="Q250" t="s">
        <v>37</v>
      </c>
      <c r="R250">
        <f t="shared" si="248"/>
        <v>2.8869999999999998E-3</v>
      </c>
      <c r="S250">
        <f t="shared" si="249"/>
        <v>7.7289999999999998E-3</v>
      </c>
      <c r="U250">
        <f t="shared" si="250"/>
        <v>4.0350000000000004E-3</v>
      </c>
      <c r="V250">
        <f t="shared" si="251"/>
        <v>8.1130000000000022E-3</v>
      </c>
      <c r="X250">
        <f>(0.3*0.7+0.3*0.7)*G66+0.3*0.3*J66+(1-0.3*0.7-0.3*0.7-0.3*0.3)*B66</f>
        <v>1.0895880000000001E-3</v>
      </c>
    </row>
    <row r="253" spans="1:25" x14ac:dyDescent="0.25">
      <c r="D253" s="9" t="s">
        <v>12</v>
      </c>
      <c r="E253" s="9"/>
      <c r="F253" s="9"/>
      <c r="G253" s="9"/>
      <c r="H253" s="9"/>
      <c r="I253" s="10" t="s">
        <v>23</v>
      </c>
      <c r="J253" s="10"/>
      <c r="K253" s="10"/>
      <c r="L253" s="11" t="s">
        <v>24</v>
      </c>
      <c r="M253" s="11"/>
      <c r="P253" s="9" t="s">
        <v>12</v>
      </c>
      <c r="Q253" s="9"/>
      <c r="R253" s="9"/>
      <c r="S253" s="9"/>
      <c r="T253" s="9"/>
      <c r="U253" s="10" t="s">
        <v>23</v>
      </c>
      <c r="V253" s="10"/>
      <c r="W253" s="10"/>
      <c r="X253" s="11" t="s">
        <v>24</v>
      </c>
      <c r="Y253" s="11"/>
    </row>
    <row r="254" spans="1:25" x14ac:dyDescent="0.25"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14" t="s">
        <v>11</v>
      </c>
      <c r="B255" s="16" t="s">
        <v>44</v>
      </c>
      <c r="C255" s="12" t="s">
        <v>40</v>
      </c>
      <c r="D255" s="13" t="s">
        <v>33</v>
      </c>
      <c r="E255" t="s">
        <v>34</v>
      </c>
      <c r="F255">
        <f t="shared" ref="F255:F257" si="252">3*0.05*(1-0.05)*(1-0.05)*G52+3*0.05*0.05*(1-0.05)*K52+0.05*0.05*0.05*O52+(1-3*0.05*(1-0.05)*(1-0.05)-3*0.05*0.05*(1-0.05)-0.05*0.05*0.05)*C52</f>
        <v>0</v>
      </c>
      <c r="G255">
        <f t="shared" ref="G255:G257" si="253">3*0.05*(1-0.05)*(1-0.05)*H52+3*0.05*0.05*(1-0.05)*L52+0.05*0.05*0.05*P52+(1-3*0.05*(1-0.05)*(1-0.05)-3*0.05*0.05*(1-0.05)-0.05*0.05*0.05)*D52</f>
        <v>0</v>
      </c>
      <c r="H255">
        <f t="shared" ref="H255:H257" si="254">Q52+M52+I52+E52</f>
        <v>0</v>
      </c>
      <c r="I255">
        <f t="shared" ref="I255:I257" si="255">3*0.05*(1-0.05)*(1-0.05)*G59+3*0.05*0.05*(1-0.05)*K59+0.05*0.05*0.05*O59+(1-3*0.05*(1-0.05)*(1-0.05)-3*0.05*0.05*(1-0.05)-0.05*0.05*0.05)*C59</f>
        <v>0</v>
      </c>
      <c r="J255">
        <f t="shared" ref="J255:J257" si="256">3*0.05*(1-0.05)*(1-0.05)*H59+3*0.05*0.05*(1-0.05)*L59+0.05*0.05*0.05*P59+(1-3*0.05*(1-0.05)*(1-0.05)-3*0.05*0.05*(1-0.05)-0.05*0.05*0.05)*D59</f>
        <v>0</v>
      </c>
      <c r="K255">
        <f t="shared" ref="K255:K257" si="257">Q59+M59+I59+E59</f>
        <v>0</v>
      </c>
      <c r="N255" s="16" t="s">
        <v>45</v>
      </c>
      <c r="O255" s="12" t="s">
        <v>41</v>
      </c>
      <c r="P255" s="13" t="s">
        <v>35</v>
      </c>
      <c r="Q255" t="s">
        <v>34</v>
      </c>
      <c r="R255">
        <f t="shared" ref="R255:R257" si="258">3*0.1*(1-0.1)*(1-0.1)*G52+3*0.1*0.1*(1-0.1)*K52+0.1*0.1*0.1*O52+(1-3*0.1*(1-0.1)*(1-0.1)-3*0.1*0.1*(1-0.1)-0.1*0.1*0.1)*C52</f>
        <v>0</v>
      </c>
      <c r="S255">
        <f t="shared" ref="S255:S257" si="259">3*0.1*(1-0.1)*(1-0.1)*H52+3*0.1*0.1*(1-0.1)*L52+0.1*0.1*0.1*P52+(1-3*0.1*(1-0.1)*(1-0.1)-3*0.1*0.1*(1-0.1)-0.1*0.1*0.1)*D52</f>
        <v>0</v>
      </c>
      <c r="U255">
        <f t="shared" ref="U255:U257" si="260">3*0.1*(1-0.1)*(1-0.1)*G59+3*0.1*0.1*(1-0.1)*K59+0.1*0.1*0.1*O59+(1-3*0.1*(1-0.1)*(1-0.1)-3*0.1*0.1*(1-0.1)-0.1*0.1*0.1)*C59</f>
        <v>0</v>
      </c>
      <c r="V255">
        <f t="shared" ref="V255:V257" si="261">3*0.1*(1-0.1)*(1-0.1)*H59+3*0.1*0.1*(1-0.1)*L59+0.1*0.1*0.1*P59+(1-3*0.1*(1-0.1)*(1-0.1)-3*0.1*0.1*(1-0.1)-0.1*0.1*0.1)*D59</f>
        <v>0</v>
      </c>
    </row>
    <row r="256" spans="1:25" x14ac:dyDescent="0.25">
      <c r="A256" s="14"/>
      <c r="B256" s="16"/>
      <c r="C256" s="12"/>
      <c r="D256" s="13"/>
      <c r="E256" t="s">
        <v>36</v>
      </c>
      <c r="F256">
        <f t="shared" si="252"/>
        <v>0</v>
      </c>
      <c r="G256">
        <f t="shared" si="253"/>
        <v>0</v>
      </c>
      <c r="H256">
        <f t="shared" si="254"/>
        <v>0</v>
      </c>
      <c r="I256">
        <f t="shared" si="255"/>
        <v>0</v>
      </c>
      <c r="J256">
        <f t="shared" si="256"/>
        <v>0</v>
      </c>
      <c r="K256">
        <f t="shared" si="257"/>
        <v>0</v>
      </c>
      <c r="N256" s="16"/>
      <c r="O256" s="12"/>
      <c r="P256" s="13"/>
      <c r="Q256" t="s">
        <v>36</v>
      </c>
      <c r="R256">
        <f t="shared" si="258"/>
        <v>0</v>
      </c>
      <c r="S256">
        <f t="shared" si="259"/>
        <v>0</v>
      </c>
      <c r="U256">
        <f t="shared" si="260"/>
        <v>0</v>
      </c>
      <c r="V256">
        <f t="shared" si="261"/>
        <v>0</v>
      </c>
    </row>
    <row r="257" spans="1:24" x14ac:dyDescent="0.25">
      <c r="A257" s="14"/>
      <c r="B257" s="16"/>
      <c r="C257" s="12"/>
      <c r="D257" s="13"/>
      <c r="E257" t="s">
        <v>37</v>
      </c>
      <c r="F257">
        <f t="shared" si="252"/>
        <v>1.5277124999999998E-3</v>
      </c>
      <c r="G257">
        <f t="shared" si="253"/>
        <v>6.3110499999999986E-3</v>
      </c>
      <c r="H257">
        <f t="shared" si="254"/>
        <v>1138.92644</v>
      </c>
      <c r="I257">
        <f t="shared" si="255"/>
        <v>3.7163124999999996E-3</v>
      </c>
      <c r="J257">
        <f t="shared" si="256"/>
        <v>8.1829125000000003E-3</v>
      </c>
      <c r="K257">
        <f t="shared" si="257"/>
        <v>1694.5005720000001</v>
      </c>
      <c r="L257">
        <f>3*0.05*(1-0.05)*(1-0.05)*G66+3*0.05*0.05*(1-0.05)*J66+0.05*0.05*0.05*N66+(1-3*0.05*(1-0.05)*(1-0.05)-3*0.05*0.05*(1-0.05)-0.05*0.05*0.05)*B66</f>
        <v>8.2505384999999993E-4</v>
      </c>
      <c r="M257">
        <f>Q66+M66+I66+E66</f>
        <v>108.12649399999999</v>
      </c>
      <c r="N257" s="16"/>
      <c r="O257" s="12"/>
      <c r="P257" s="13"/>
      <c r="Q257" t="s">
        <v>37</v>
      </c>
      <c r="R257">
        <f t="shared" si="258"/>
        <v>2.0027000000000005E-3</v>
      </c>
      <c r="S257">
        <f t="shared" si="259"/>
        <v>6.7953999999999992E-3</v>
      </c>
      <c r="U257">
        <f t="shared" si="260"/>
        <v>3.8254999999999999E-3</v>
      </c>
      <c r="V257">
        <f t="shared" si="261"/>
        <v>8.1623000000000008E-3</v>
      </c>
      <c r="X257">
        <f>3*0.1*(1-0.1)*(1-0.1)*G66+3*0.1*0.1*(1-0.1)*J66+0.1*0.1*0.1*N66+(1-3*0.1*(1-0.1)*(1-0.1)-3*0.1*0.1*(1-0.1)-0.1*0.1*0.1)*B66</f>
        <v>8.600747999999999E-4</v>
      </c>
    </row>
    <row r="258" spans="1:24" x14ac:dyDescent="0.25">
      <c r="A258" s="14"/>
    </row>
    <row r="259" spans="1:24" x14ac:dyDescent="0.25">
      <c r="A259" s="14"/>
    </row>
    <row r="260" spans="1:24" x14ac:dyDescent="0.25">
      <c r="A260" s="14"/>
    </row>
    <row r="261" spans="1:24" x14ac:dyDescent="0.25">
      <c r="A261" s="14"/>
      <c r="B261" s="16" t="s">
        <v>46</v>
      </c>
      <c r="C261" s="12" t="s">
        <v>42</v>
      </c>
      <c r="D261" s="13" t="s">
        <v>38</v>
      </c>
      <c r="E261" t="s">
        <v>34</v>
      </c>
      <c r="F261">
        <f t="shared" ref="F261:F263" si="262">3*0.2*(1-0.2)*(1-0.2)*G52+3*0.2*0.2*(1-0.2)*K52+0.2*0.2*0.2*O52+(1-3*0.2*(1-0.2)*(1-0.2)-3*0.2*0.2*(1-0.2)-0.2*0.2*0.2)*C52</f>
        <v>0</v>
      </c>
      <c r="G261">
        <f t="shared" ref="G261:G263" si="263">3*0.2*(1-0.2)*(1-0.2)*H52+3*0.2*0.2*(1-0.2)*L52+0.2*0.2*0.2*P52+(1-3*0.2*(1-0.2)*(1-0.2)-3*0.2*0.2*(1-0.2)-0.2*0.2*0.2)*D52</f>
        <v>0</v>
      </c>
      <c r="I261">
        <f t="shared" ref="I261:I263" si="264">3*0.2*(1-0.2)*(1-0.2)*G59+3*0.2*0.2*(1-0.2)*K59+0.2*0.2*0.2*O59+(1-3*0.2*(1-0.2)*(1-0.2)-3*0.2*0.2*(1-0.2)-0.2*0.2*0.2)*C59</f>
        <v>0</v>
      </c>
      <c r="J261">
        <f t="shared" ref="J261:J263" si="265">3*0.2*(1-0.2)*(1-0.2)*H59+3*0.2*0.2*(1-0.2)*L59+0.2*0.2*0.2*P59+(1-3*0.2*(1-0.2)*(1-0.2)-3*0.2*0.2*(1-0.2)-0.2*0.2*0.2)*D59</f>
        <v>0</v>
      </c>
      <c r="N261" s="16" t="s">
        <v>47</v>
      </c>
      <c r="O261" s="12" t="s">
        <v>43</v>
      </c>
      <c r="P261" s="13" t="s">
        <v>39</v>
      </c>
      <c r="Q261" t="s">
        <v>34</v>
      </c>
      <c r="R261">
        <f t="shared" ref="R261:R263" si="266">3*0.3*(1-0.3)*(1-0.3)*G52+3*0.3*0.3*(1-0.3)*K52+0.3*0.3*0.3*O52+(1-3*0.3*(1-0.3)*(1-0.3)-3*0.3*0.3*(1-0.3)-0.3*0.3*0.3)*C52</f>
        <v>0</v>
      </c>
      <c r="S261">
        <f t="shared" ref="S261:S263" si="267">3*0.3*(1-0.3)*(1-0.3)*H52+3*0.3*0.3*(1-0.3)*L52+0.3*0.3*0.3*P52+(1-3*0.3*(1-0.3)*(1-0.3)-3*0.3*0.3*(1-0.3)-0.3*0.3*0.3)*D52</f>
        <v>0</v>
      </c>
      <c r="U261">
        <f t="shared" ref="U261:U263" si="268">3*0.3*(1-0.3)*(1-0.3)*G59+3*0.3*0.3*(1-0.3)*K59+0.3*0.3*0.3*O59+(1-3*0.3*(1-0.3)*(1-0.3)-3*0.3*0.3*(1-0.3)-0.3*0.3*0.3)*C59</f>
        <v>0</v>
      </c>
      <c r="V261">
        <f t="shared" ref="V261:V263" si="269">3*0.3*(1-0.3)*(1-0.3)*H59+3*0.3*0.3*(1-0.3)*L59+0.3*0.3*0.3*P59+(1-3*0.3*(1-0.3)*(1-0.3)-3*0.3*0.3*(1-0.3)-0.3*0.3*0.3)*D59</f>
        <v>0</v>
      </c>
    </row>
    <row r="262" spans="1:24" x14ac:dyDescent="0.25">
      <c r="A262" s="14"/>
      <c r="B262" s="16"/>
      <c r="C262" s="12"/>
      <c r="D262" s="13"/>
      <c r="E262" t="s">
        <v>36</v>
      </c>
      <c r="F262">
        <f t="shared" si="262"/>
        <v>0</v>
      </c>
      <c r="G262">
        <f t="shared" si="263"/>
        <v>0</v>
      </c>
      <c r="I262">
        <f t="shared" si="264"/>
        <v>0</v>
      </c>
      <c r="J262">
        <f t="shared" si="265"/>
        <v>0</v>
      </c>
      <c r="N262" s="16"/>
      <c r="O262" s="12"/>
      <c r="P262" s="13"/>
      <c r="Q262" t="s">
        <v>36</v>
      </c>
      <c r="R262">
        <f t="shared" si="266"/>
        <v>0</v>
      </c>
      <c r="S262">
        <f t="shared" si="267"/>
        <v>0</v>
      </c>
      <c r="U262">
        <f t="shared" si="268"/>
        <v>0</v>
      </c>
      <c r="V262">
        <f t="shared" si="269"/>
        <v>0</v>
      </c>
    </row>
    <row r="263" spans="1:24" x14ac:dyDescent="0.25">
      <c r="A263" s="14"/>
      <c r="B263" s="16"/>
      <c r="C263" s="12"/>
      <c r="D263" s="13"/>
      <c r="E263" t="s">
        <v>37</v>
      </c>
      <c r="F263">
        <f t="shared" si="262"/>
        <v>2.805600000000001E-3</v>
      </c>
      <c r="G263">
        <f t="shared" si="263"/>
        <v>7.6911999999999996E-3</v>
      </c>
      <c r="I263">
        <f t="shared" si="264"/>
        <v>4.0239999999999998E-3</v>
      </c>
      <c r="J263">
        <f t="shared" si="265"/>
        <v>8.1144000000000008E-3</v>
      </c>
      <c r="L263">
        <f>3*0.2*(1-0.2)*(1-0.2)*G66+3*0.2*0.2*(1-0.2)*J66+0.2*0.2*0.2*N66+(1-3*0.2*(1-0.2)*(1-0.2)-3*0.2*0.2*(1-0.2)-0.2*0.2*0.2)*B66</f>
        <v>1.2222144E-3</v>
      </c>
      <c r="N263" s="16"/>
      <c r="O263" s="12"/>
      <c r="P263" s="13"/>
      <c r="Q263" t="s">
        <v>37</v>
      </c>
      <c r="R263">
        <f t="shared" si="266"/>
        <v>3.4308999999999997E-3</v>
      </c>
      <c r="S263">
        <f t="shared" si="267"/>
        <v>8.5017999999999986E-3</v>
      </c>
      <c r="U263">
        <f t="shared" si="268"/>
        <v>4.1985000000000008E-3</v>
      </c>
      <c r="V263">
        <f t="shared" si="269"/>
        <v>8.0641000000000011E-3</v>
      </c>
      <c r="X263">
        <f>3*0.3*(1-0.3)*(1-0.3)*G66+3*0.3*0.3*(1-0.3)*J66+0.3*0.3*0.3*N66+(1-3*0.3*(1-0.3)*(1-0.3)-3*0.3*0.3*(1-0.3)-0.3*0.3*0.3)*B66</f>
        <v>1.9048115999999997E-3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2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I263"/>
  <sheetViews>
    <sheetView tabSelected="1" zoomScale="40" zoomScaleNormal="40" workbookViewId="0">
      <selection activeCell="P1" sqref="P1:X5"/>
    </sheetView>
  </sheetViews>
  <sheetFormatPr defaultColWidth="9" defaultRowHeight="14.4" x14ac:dyDescent="0.25"/>
  <cols>
    <col min="2" max="2" width="9.5546875" bestFit="1" customWidth="1"/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 customWidth="1"/>
    <col min="18" max="18" width="12.88671875" customWidth="1"/>
    <col min="19" max="19" width="12.21875" customWidth="1"/>
    <col min="20" max="20" width="9.6640625" customWidth="1"/>
    <col min="21" max="22" width="11.77734375" customWidth="1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6" t="s">
        <v>56</v>
      </c>
      <c r="Q1" s="6"/>
      <c r="R1" s="6"/>
      <c r="S1" s="6"/>
      <c r="T1" s="6"/>
      <c r="U1" s="6" t="s">
        <v>57</v>
      </c>
      <c r="V1" s="6"/>
      <c r="W1" s="6"/>
      <c r="X1" s="6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6" t="s">
        <v>58</v>
      </c>
      <c r="Q2" s="6"/>
      <c r="R2" s="6"/>
      <c r="S2" s="6"/>
      <c r="T2" s="6"/>
      <c r="U2" s="6" t="s">
        <v>59</v>
      </c>
      <c r="V2" s="6"/>
      <c r="W2" s="6"/>
      <c r="X2" s="6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6" t="s">
        <v>60</v>
      </c>
      <c r="Q3" s="6"/>
      <c r="R3" s="6"/>
      <c r="S3" s="6"/>
      <c r="T3" s="6"/>
      <c r="U3" s="6" t="s">
        <v>61</v>
      </c>
      <c r="V3" s="6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6" t="s">
        <v>62</v>
      </c>
      <c r="Q4" s="6"/>
      <c r="R4" s="6"/>
      <c r="S4" s="6"/>
      <c r="T4" s="6"/>
      <c r="U4" s="6" t="s">
        <v>63</v>
      </c>
      <c r="V4" s="6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6" t="s">
        <v>64</v>
      </c>
      <c r="Q5" s="6"/>
      <c r="R5" s="6"/>
      <c r="S5" s="6"/>
      <c r="T5" s="6"/>
      <c r="U5" s="6" t="s">
        <v>65</v>
      </c>
      <c r="V5" s="6"/>
      <c r="W5" s="6" t="s">
        <v>66</v>
      </c>
    </row>
    <row r="7" spans="1:35" x14ac:dyDescent="0.25">
      <c r="A7" s="1" t="s">
        <v>6</v>
      </c>
      <c r="S7" s="1" t="s">
        <v>7</v>
      </c>
      <c r="U7" t="s">
        <v>48</v>
      </c>
      <c r="V7" t="s">
        <v>49</v>
      </c>
    </row>
    <row r="8" spans="1:35" x14ac:dyDescent="0.25">
      <c r="B8" s="8" t="s">
        <v>8</v>
      </c>
      <c r="C8" s="8"/>
      <c r="D8" s="8"/>
      <c r="E8" s="8"/>
      <c r="F8" s="8" t="s">
        <v>9</v>
      </c>
      <c r="G8" s="8"/>
      <c r="H8" s="8"/>
      <c r="I8" s="8"/>
      <c r="J8" s="8" t="s">
        <v>10</v>
      </c>
      <c r="K8" s="8"/>
      <c r="L8" s="8"/>
      <c r="M8" s="8"/>
      <c r="N8" s="8" t="s">
        <v>11</v>
      </c>
      <c r="O8" s="8"/>
      <c r="P8" s="8"/>
      <c r="Q8" s="8"/>
      <c r="T8" s="8" t="s">
        <v>8</v>
      </c>
      <c r="U8" s="8"/>
      <c r="V8" s="8"/>
      <c r="W8" s="8"/>
      <c r="X8" s="8" t="s">
        <v>9</v>
      </c>
      <c r="Y8" s="8"/>
      <c r="Z8" s="8"/>
      <c r="AA8" s="8"/>
      <c r="AB8" s="8" t="s">
        <v>10</v>
      </c>
      <c r="AC8" s="8"/>
      <c r="AD8" s="8"/>
      <c r="AE8" s="8"/>
      <c r="AF8" s="8" t="s">
        <v>11</v>
      </c>
      <c r="AG8" s="8"/>
      <c r="AH8" s="8"/>
      <c r="AI8" s="8"/>
    </row>
    <row r="9" spans="1:35" x14ac:dyDescent="0.25">
      <c r="A9" s="14" t="s">
        <v>12</v>
      </c>
      <c r="B9" s="8" t="s">
        <v>50</v>
      </c>
      <c r="C9" s="8"/>
      <c r="D9" s="8"/>
      <c r="E9" s="8"/>
      <c r="F9" s="8" t="s">
        <v>51</v>
      </c>
      <c r="G9" s="8"/>
      <c r="H9" s="8"/>
      <c r="I9" s="8"/>
      <c r="J9" s="8" t="s">
        <v>52</v>
      </c>
      <c r="K9" s="8"/>
      <c r="L9" s="8"/>
      <c r="M9" s="8"/>
      <c r="N9" s="8" t="s">
        <v>53</v>
      </c>
      <c r="O9" s="8"/>
      <c r="P9" s="8"/>
      <c r="Q9" s="8"/>
      <c r="S9" s="14" t="s">
        <v>12</v>
      </c>
      <c r="T9" s="8" t="s">
        <v>50</v>
      </c>
      <c r="U9" s="8"/>
      <c r="V9" s="8"/>
      <c r="W9" s="8"/>
      <c r="X9" s="8" t="s">
        <v>51</v>
      </c>
      <c r="Y9" s="8"/>
      <c r="Z9" s="8"/>
      <c r="AA9" s="8"/>
      <c r="AB9" s="8" t="s">
        <v>52</v>
      </c>
      <c r="AC9" s="8"/>
      <c r="AD9" s="8"/>
      <c r="AE9" s="8"/>
      <c r="AF9" s="8" t="s">
        <v>53</v>
      </c>
      <c r="AG9" s="8"/>
      <c r="AH9" s="8"/>
      <c r="AI9" s="8"/>
    </row>
    <row r="10" spans="1:35" x14ac:dyDescent="0.25">
      <c r="A10" s="14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14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14"/>
      <c r="B11" t="s">
        <v>20</v>
      </c>
      <c r="C11" s="3"/>
      <c r="D11" s="3"/>
      <c r="F11" t="s">
        <v>20</v>
      </c>
      <c r="G11" s="3"/>
      <c r="H11" s="3"/>
      <c r="J11" t="s">
        <v>20</v>
      </c>
      <c r="N11" t="s">
        <v>20</v>
      </c>
      <c r="S11" s="14"/>
      <c r="T11" t="s">
        <v>20</v>
      </c>
      <c r="U11" s="3"/>
      <c r="V11" s="3"/>
      <c r="X11" t="s">
        <v>20</v>
      </c>
      <c r="Y11" s="3"/>
      <c r="Z11" s="3"/>
      <c r="AB11" t="s">
        <v>20</v>
      </c>
      <c r="AF11" t="s">
        <v>20</v>
      </c>
    </row>
    <row r="12" spans="1:35" x14ac:dyDescent="0.25">
      <c r="A12" s="14"/>
      <c r="B12" t="s">
        <v>21</v>
      </c>
      <c r="C12" s="3"/>
      <c r="D12" s="3"/>
      <c r="F12" t="s">
        <v>21</v>
      </c>
      <c r="G12" s="3"/>
      <c r="H12" s="3"/>
      <c r="J12" t="s">
        <v>21</v>
      </c>
      <c r="N12" t="s">
        <v>21</v>
      </c>
      <c r="S12" s="14"/>
      <c r="T12" t="s">
        <v>21</v>
      </c>
      <c r="U12" s="3"/>
      <c r="V12" s="3"/>
      <c r="X12" t="s">
        <v>21</v>
      </c>
      <c r="Y12" s="3"/>
      <c r="Z12" s="3"/>
      <c r="AB12" t="s">
        <v>21</v>
      </c>
      <c r="AF12" t="s">
        <v>21</v>
      </c>
    </row>
    <row r="13" spans="1:35" x14ac:dyDescent="0.25">
      <c r="A13" s="14"/>
      <c r="B13" t="s">
        <v>22</v>
      </c>
      <c r="C13" s="3">
        <v>7.1999999999999998E-3</v>
      </c>
      <c r="D13" s="3">
        <v>7.1999999999999998E-3</v>
      </c>
      <c r="E13">
        <v>1.680831</v>
      </c>
      <c r="F13" t="s">
        <v>22</v>
      </c>
      <c r="G13" s="3">
        <v>1.5699999999999999E-2</v>
      </c>
      <c r="H13" s="3">
        <v>1.5699999999999999E-2</v>
      </c>
      <c r="I13">
        <v>1.204987</v>
      </c>
      <c r="J13" t="s">
        <v>22</v>
      </c>
      <c r="K13">
        <v>2.4E-2</v>
      </c>
      <c r="L13">
        <v>2.4E-2</v>
      </c>
      <c r="M13">
        <v>0.85085</v>
      </c>
      <c r="N13" t="s">
        <v>22</v>
      </c>
      <c r="O13">
        <v>3.2199999999999999E-2</v>
      </c>
      <c r="P13">
        <v>3.2199999999999999E-2</v>
      </c>
      <c r="Q13">
        <v>0.83690600000000004</v>
      </c>
      <c r="S13" s="14"/>
      <c r="T13" t="s">
        <v>22</v>
      </c>
      <c r="U13" s="3">
        <v>6.8999999999999999E-3</v>
      </c>
      <c r="V13" s="3">
        <v>6.8999999999999999E-3</v>
      </c>
      <c r="W13">
        <v>0.89843200000000001</v>
      </c>
      <c r="X13" t="s">
        <v>22</v>
      </c>
      <c r="Y13" s="3">
        <v>1.5100000000000001E-2</v>
      </c>
      <c r="Z13" s="3">
        <v>1.52E-2</v>
      </c>
      <c r="AA13">
        <v>0.94948600000000005</v>
      </c>
      <c r="AB13" t="s">
        <v>22</v>
      </c>
      <c r="AC13" s="3">
        <v>2.3E-2</v>
      </c>
      <c r="AD13" s="3">
        <v>2.3099999999999999E-2</v>
      </c>
      <c r="AE13">
        <v>0.92885499999999999</v>
      </c>
      <c r="AF13" t="s">
        <v>22</v>
      </c>
      <c r="AG13" s="3">
        <v>3.0599999999999999E-2</v>
      </c>
      <c r="AH13" s="3">
        <v>3.0700000000000002E-2</v>
      </c>
      <c r="AI13">
        <v>1.1192299999999999</v>
      </c>
    </row>
    <row r="16" spans="1:35" x14ac:dyDescent="0.25">
      <c r="A16" s="10" t="s">
        <v>23</v>
      </c>
      <c r="B16" s="8" t="s">
        <v>50</v>
      </c>
      <c r="C16" s="8"/>
      <c r="D16" s="8"/>
      <c r="E16" s="8"/>
      <c r="F16" s="17" t="s">
        <v>54</v>
      </c>
      <c r="G16" s="8"/>
      <c r="H16" s="8"/>
      <c r="I16" s="8"/>
      <c r="J16" s="8" t="s">
        <v>52</v>
      </c>
      <c r="K16" s="8"/>
      <c r="L16" s="8"/>
      <c r="M16" s="8"/>
      <c r="N16" s="8" t="s">
        <v>53</v>
      </c>
      <c r="O16" s="8"/>
      <c r="P16" s="8"/>
      <c r="Q16" s="8"/>
      <c r="S16" s="10" t="s">
        <v>23</v>
      </c>
      <c r="T16" s="8" t="s">
        <v>50</v>
      </c>
      <c r="U16" s="8"/>
      <c r="V16" s="8"/>
      <c r="W16" s="8"/>
      <c r="X16" s="8" t="s">
        <v>51</v>
      </c>
      <c r="Y16" s="8"/>
      <c r="Z16" s="8"/>
      <c r="AA16" s="8"/>
      <c r="AB16" s="8" t="s">
        <v>52</v>
      </c>
      <c r="AC16" s="8"/>
      <c r="AD16" s="8"/>
      <c r="AE16" s="8"/>
      <c r="AF16" s="8" t="s">
        <v>53</v>
      </c>
      <c r="AG16" s="8"/>
      <c r="AH16" s="8"/>
      <c r="AI16" s="8"/>
    </row>
    <row r="17" spans="1:35" x14ac:dyDescent="0.25">
      <c r="A17" s="10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0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0"/>
      <c r="B18" t="s">
        <v>20</v>
      </c>
      <c r="C18" s="3"/>
      <c r="D18" s="3"/>
      <c r="F18" t="s">
        <v>20</v>
      </c>
      <c r="G18" s="3"/>
      <c r="H18" s="3"/>
      <c r="J18" t="s">
        <v>20</v>
      </c>
      <c r="N18" t="s">
        <v>20</v>
      </c>
      <c r="S18" s="10"/>
      <c r="T18" t="s">
        <v>20</v>
      </c>
      <c r="U18" s="3"/>
      <c r="V18" s="3"/>
      <c r="X18" t="s">
        <v>20</v>
      </c>
      <c r="Y18" s="3"/>
      <c r="Z18" s="3"/>
      <c r="AB18" t="s">
        <v>20</v>
      </c>
      <c r="AF18" t="s">
        <v>20</v>
      </c>
    </row>
    <row r="19" spans="1:35" x14ac:dyDescent="0.25">
      <c r="A19" s="10"/>
      <c r="B19" t="s">
        <v>21</v>
      </c>
      <c r="C19" s="3"/>
      <c r="D19" s="3"/>
      <c r="F19" t="s">
        <v>21</v>
      </c>
      <c r="G19" s="3"/>
      <c r="H19" s="3"/>
      <c r="J19" t="s">
        <v>21</v>
      </c>
      <c r="N19" t="s">
        <v>21</v>
      </c>
      <c r="S19" s="10"/>
      <c r="T19" t="s">
        <v>21</v>
      </c>
      <c r="U19" s="3"/>
      <c r="V19" s="3"/>
      <c r="X19" t="s">
        <v>21</v>
      </c>
      <c r="Y19" s="3"/>
      <c r="Z19" s="3"/>
      <c r="AB19" t="s">
        <v>21</v>
      </c>
      <c r="AF19" t="s">
        <v>21</v>
      </c>
    </row>
    <row r="20" spans="1:35" x14ac:dyDescent="0.25">
      <c r="A20" s="10"/>
      <c r="B20" t="s">
        <v>22</v>
      </c>
      <c r="C20" s="3">
        <v>7.1999999999999998E-3</v>
      </c>
      <c r="D20" s="3">
        <v>7.1999999999999998E-3</v>
      </c>
      <c r="E20">
        <v>1.128398</v>
      </c>
      <c r="F20" t="s">
        <v>22</v>
      </c>
      <c r="G20" s="3">
        <v>1.5699999999999999E-2</v>
      </c>
      <c r="H20" s="3">
        <v>1.5699999999999999E-2</v>
      </c>
      <c r="I20">
        <v>1.109761</v>
      </c>
      <c r="J20" t="s">
        <v>22</v>
      </c>
      <c r="K20">
        <v>2.4E-2</v>
      </c>
      <c r="L20">
        <v>2.4E-2</v>
      </c>
      <c r="M20">
        <v>1.1202570000000001</v>
      </c>
      <c r="N20" t="s">
        <v>22</v>
      </c>
      <c r="O20">
        <v>3.2199999999999999E-2</v>
      </c>
      <c r="P20">
        <v>3.2300000000000002E-2</v>
      </c>
      <c r="Q20">
        <v>1.125688</v>
      </c>
      <c r="S20" s="10"/>
      <c r="T20" t="s">
        <v>22</v>
      </c>
      <c r="U20" s="3">
        <v>6.8999999999999999E-3</v>
      </c>
      <c r="V20" s="3">
        <v>6.8999999999999999E-3</v>
      </c>
      <c r="W20">
        <v>1.115515</v>
      </c>
      <c r="X20" t="s">
        <v>22</v>
      </c>
      <c r="Y20" s="3">
        <v>1.52E-2</v>
      </c>
      <c r="Z20" s="3">
        <v>1.52E-2</v>
      </c>
      <c r="AA20">
        <v>1.1139509999999999</v>
      </c>
      <c r="AB20" t="s">
        <v>22</v>
      </c>
      <c r="AC20">
        <v>2.3E-2</v>
      </c>
      <c r="AD20">
        <v>2.3099999999999999E-2</v>
      </c>
      <c r="AE20">
        <v>1.120098</v>
      </c>
      <c r="AF20" t="s">
        <v>22</v>
      </c>
      <c r="AG20" s="3">
        <v>3.0599999999999999E-2</v>
      </c>
      <c r="AH20" s="3">
        <v>3.0700000000000002E-2</v>
      </c>
      <c r="AI20">
        <v>1.1277539999999999</v>
      </c>
    </row>
    <row r="23" spans="1:35" x14ac:dyDescent="0.25">
      <c r="A23" s="15" t="s">
        <v>24</v>
      </c>
      <c r="B23" s="8" t="s">
        <v>50</v>
      </c>
      <c r="C23" s="8"/>
      <c r="D23" s="8"/>
      <c r="E23" s="8"/>
      <c r="F23" s="8" t="s">
        <v>51</v>
      </c>
      <c r="G23" s="8"/>
      <c r="H23" s="8"/>
      <c r="I23" s="8"/>
      <c r="J23" s="8" t="s">
        <v>52</v>
      </c>
      <c r="K23" s="8"/>
      <c r="L23" s="8"/>
      <c r="M23" s="8"/>
      <c r="N23" s="17" t="s">
        <v>55</v>
      </c>
      <c r="O23" s="8"/>
      <c r="P23" s="8"/>
      <c r="Q23" s="8"/>
      <c r="S23" s="15" t="s">
        <v>24</v>
      </c>
      <c r="T23" s="8" t="s">
        <v>50</v>
      </c>
      <c r="U23" s="8"/>
      <c r="V23" s="8"/>
      <c r="W23" s="8"/>
      <c r="X23" s="8" t="s">
        <v>51</v>
      </c>
      <c r="Y23" s="8"/>
      <c r="Z23" s="8"/>
      <c r="AA23" s="8"/>
      <c r="AB23" s="8" t="s">
        <v>52</v>
      </c>
      <c r="AC23" s="8"/>
      <c r="AD23" s="8"/>
      <c r="AE23" s="8"/>
      <c r="AF23" s="8" t="s">
        <v>53</v>
      </c>
      <c r="AG23" s="8"/>
      <c r="AH23" s="8"/>
      <c r="AI23" s="8"/>
    </row>
    <row r="24" spans="1:35" x14ac:dyDescent="0.25">
      <c r="A24" s="15"/>
      <c r="B24" s="8" t="s">
        <v>25</v>
      </c>
      <c r="C24" s="8"/>
      <c r="D24" s="8"/>
      <c r="E24" t="s">
        <v>19</v>
      </c>
      <c r="F24" s="8" t="s">
        <v>25</v>
      </c>
      <c r="G24" s="8"/>
      <c r="H24" s="8"/>
      <c r="I24" t="s">
        <v>19</v>
      </c>
      <c r="J24" s="8" t="s">
        <v>25</v>
      </c>
      <c r="K24" s="8"/>
      <c r="L24" s="8"/>
      <c r="M24" t="s">
        <v>19</v>
      </c>
      <c r="N24" s="8" t="s">
        <v>25</v>
      </c>
      <c r="O24" s="8"/>
      <c r="P24" s="8"/>
      <c r="Q24" t="s">
        <v>19</v>
      </c>
      <c r="S24" s="15"/>
      <c r="T24" s="8" t="s">
        <v>25</v>
      </c>
      <c r="U24" s="8"/>
      <c r="V24" s="8"/>
      <c r="W24" t="s">
        <v>19</v>
      </c>
      <c r="X24" s="8" t="s">
        <v>25</v>
      </c>
      <c r="Y24" s="8"/>
      <c r="Z24" s="8"/>
      <c r="AA24" t="s">
        <v>19</v>
      </c>
      <c r="AB24" s="8" t="s">
        <v>25</v>
      </c>
      <c r="AC24" s="8"/>
      <c r="AD24" s="8"/>
      <c r="AE24" t="s">
        <v>19</v>
      </c>
      <c r="AF24" s="8" t="s">
        <v>25</v>
      </c>
      <c r="AG24" s="8"/>
      <c r="AH24" s="8"/>
      <c r="AI24" t="s">
        <v>19</v>
      </c>
    </row>
    <row r="25" spans="1:35" x14ac:dyDescent="0.25">
      <c r="A25" s="15"/>
      <c r="B25" s="3">
        <v>7.1999999999999998E-3</v>
      </c>
      <c r="C25" s="3"/>
      <c r="D25" s="3"/>
      <c r="E25">
        <v>1.623783</v>
      </c>
      <c r="F25" s="3">
        <v>1.5699999999999999E-2</v>
      </c>
      <c r="G25" s="3"/>
      <c r="H25" s="3"/>
      <c r="I25">
        <v>1.6448609999999999</v>
      </c>
      <c r="J25" s="3">
        <v>2.4E-2</v>
      </c>
      <c r="K25" s="3"/>
      <c r="L25" s="3"/>
      <c r="M25">
        <v>2.067145</v>
      </c>
      <c r="N25">
        <v>3.2300000000000002E-2</v>
      </c>
      <c r="Q25">
        <v>1.7984150000000001</v>
      </c>
      <c r="S25" s="15"/>
      <c r="T25" s="3">
        <v>6.8999999999999999E-3</v>
      </c>
      <c r="U25" s="3"/>
      <c r="V25" s="3"/>
      <c r="W25">
        <v>2.054125</v>
      </c>
      <c r="X25" s="3">
        <v>1.5100000000000001E-2</v>
      </c>
      <c r="Y25" s="3"/>
      <c r="Z25" s="3"/>
      <c r="AA25">
        <v>2.048864</v>
      </c>
      <c r="AB25" s="3">
        <v>2.3099999999999999E-2</v>
      </c>
      <c r="AC25" s="3"/>
      <c r="AD25" s="3"/>
      <c r="AE25">
        <v>2.0544769999999999</v>
      </c>
      <c r="AF25" s="3">
        <v>3.0599999999999999E-2</v>
      </c>
      <c r="AG25" s="3"/>
      <c r="AH25" s="3"/>
      <c r="AI25">
        <v>2.0581200000000002</v>
      </c>
    </row>
    <row r="28" spans="1:35" x14ac:dyDescent="0.25">
      <c r="A28" s="1" t="s">
        <v>26</v>
      </c>
      <c r="C28" t="s">
        <v>48</v>
      </c>
      <c r="D28" t="s">
        <v>49</v>
      </c>
      <c r="G28" t="s">
        <v>48</v>
      </c>
      <c r="H28" t="s">
        <v>49</v>
      </c>
      <c r="S28" s="1" t="s">
        <v>27</v>
      </c>
      <c r="U28" t="s">
        <v>48</v>
      </c>
      <c r="V28" t="s">
        <v>49</v>
      </c>
      <c r="Y28" t="s">
        <v>48</v>
      </c>
      <c r="Z28" t="s">
        <v>49</v>
      </c>
    </row>
    <row r="29" spans="1:35" x14ac:dyDescent="0.25">
      <c r="B29" s="8" t="s">
        <v>8</v>
      </c>
      <c r="C29" s="8"/>
      <c r="D29" s="8"/>
      <c r="E29" s="8"/>
      <c r="F29" s="8" t="s">
        <v>9</v>
      </c>
      <c r="G29" s="8"/>
      <c r="H29" s="8"/>
      <c r="I29" s="8"/>
      <c r="J29" s="8" t="s">
        <v>10</v>
      </c>
      <c r="K29" s="8"/>
      <c r="L29" s="8"/>
      <c r="M29" s="8"/>
      <c r="N29" s="8" t="s">
        <v>11</v>
      </c>
      <c r="O29" s="8"/>
      <c r="P29" s="8"/>
      <c r="Q29" s="8"/>
      <c r="T29" s="8" t="s">
        <v>8</v>
      </c>
      <c r="U29" s="8"/>
      <c r="V29" s="8"/>
      <c r="W29" s="8"/>
      <c r="X29" s="8" t="s">
        <v>9</v>
      </c>
      <c r="Y29" s="8"/>
      <c r="Z29" s="8"/>
      <c r="AA29" s="8"/>
      <c r="AB29" s="8" t="s">
        <v>10</v>
      </c>
      <c r="AC29" s="8"/>
      <c r="AD29" s="8"/>
      <c r="AE29" s="8"/>
      <c r="AF29" s="8" t="s">
        <v>11</v>
      </c>
      <c r="AG29" s="8"/>
      <c r="AH29" s="8"/>
      <c r="AI29" s="8"/>
    </row>
    <row r="30" spans="1:35" x14ac:dyDescent="0.25">
      <c r="A30" s="14" t="s">
        <v>12</v>
      </c>
      <c r="B30" s="8" t="s">
        <v>50</v>
      </c>
      <c r="C30" s="8"/>
      <c r="D30" s="8"/>
      <c r="E30" s="8"/>
      <c r="F30" s="8" t="s">
        <v>51</v>
      </c>
      <c r="G30" s="8"/>
      <c r="H30" s="8"/>
      <c r="I30" s="8"/>
      <c r="J30" s="8" t="s">
        <v>52</v>
      </c>
      <c r="K30" s="8"/>
      <c r="L30" s="8"/>
      <c r="M30" s="8"/>
      <c r="N30" s="8" t="s">
        <v>53</v>
      </c>
      <c r="O30" s="8"/>
      <c r="P30" s="8"/>
      <c r="Q30" s="8"/>
      <c r="S30" s="14" t="s">
        <v>12</v>
      </c>
      <c r="T30" s="8" t="s">
        <v>50</v>
      </c>
      <c r="U30" s="8"/>
      <c r="V30" s="8"/>
      <c r="W30" s="8"/>
      <c r="X30" s="8" t="s">
        <v>51</v>
      </c>
      <c r="Y30" s="8"/>
      <c r="Z30" s="8"/>
      <c r="AA30" s="8"/>
      <c r="AB30" s="8" t="s">
        <v>52</v>
      </c>
      <c r="AC30" s="8"/>
      <c r="AD30" s="8"/>
      <c r="AE30" s="8"/>
      <c r="AF30" s="8" t="s">
        <v>53</v>
      </c>
      <c r="AG30" s="8"/>
      <c r="AH30" s="8"/>
      <c r="AI30" s="8"/>
    </row>
    <row r="31" spans="1:35" x14ac:dyDescent="0.25">
      <c r="A31" s="14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14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14"/>
      <c r="B32" t="s">
        <v>20</v>
      </c>
      <c r="C32" s="3"/>
      <c r="D32" s="3"/>
      <c r="F32" t="s">
        <v>20</v>
      </c>
      <c r="G32" s="3"/>
      <c r="H32" s="3"/>
      <c r="J32" t="s">
        <v>20</v>
      </c>
      <c r="N32" t="s">
        <v>20</v>
      </c>
      <c r="S32" s="14"/>
      <c r="T32" t="s">
        <v>20</v>
      </c>
      <c r="U32" s="3"/>
      <c r="V32" s="3"/>
      <c r="X32" t="s">
        <v>20</v>
      </c>
      <c r="Y32" s="3"/>
      <c r="Z32" s="3"/>
      <c r="AB32" t="s">
        <v>20</v>
      </c>
      <c r="AF32" t="s">
        <v>20</v>
      </c>
    </row>
    <row r="33" spans="1:35" x14ac:dyDescent="0.25">
      <c r="A33" s="14"/>
      <c r="B33" t="s">
        <v>21</v>
      </c>
      <c r="C33" s="3"/>
      <c r="D33" s="3"/>
      <c r="F33" t="s">
        <v>21</v>
      </c>
      <c r="G33" s="3"/>
      <c r="H33" s="3"/>
      <c r="J33" t="s">
        <v>21</v>
      </c>
      <c r="N33" t="s">
        <v>21</v>
      </c>
      <c r="S33" s="14"/>
      <c r="T33" t="s">
        <v>21</v>
      </c>
      <c r="U33" s="3"/>
      <c r="V33" s="3"/>
      <c r="X33" t="s">
        <v>21</v>
      </c>
      <c r="Y33" s="3"/>
      <c r="Z33" s="3"/>
      <c r="AB33" t="s">
        <v>21</v>
      </c>
      <c r="AF33" t="s">
        <v>21</v>
      </c>
    </row>
    <row r="34" spans="1:35" x14ac:dyDescent="0.25">
      <c r="A34" s="14"/>
      <c r="B34" t="s">
        <v>22</v>
      </c>
      <c r="C34" s="3">
        <v>6.1999999999999998E-3</v>
      </c>
      <c r="D34" s="3">
        <v>6.4000000000000003E-3</v>
      </c>
      <c r="E34">
        <v>0.85916499999999996</v>
      </c>
      <c r="F34" t="s">
        <v>22</v>
      </c>
      <c r="G34" s="3">
        <v>1.3899999999999999E-2</v>
      </c>
      <c r="H34" s="3">
        <v>1.4200000000000001E-2</v>
      </c>
      <c r="I34">
        <v>0.89592499999999997</v>
      </c>
      <c r="J34" t="s">
        <v>22</v>
      </c>
      <c r="K34" s="3">
        <v>2.0899999999999998E-2</v>
      </c>
      <c r="L34" s="3">
        <v>2.1399999999999999E-2</v>
      </c>
      <c r="M34">
        <v>1.1069150000000001</v>
      </c>
      <c r="N34" t="s">
        <v>22</v>
      </c>
      <c r="O34">
        <v>2.7400000000000001E-2</v>
      </c>
      <c r="P34">
        <v>2.81E-2</v>
      </c>
      <c r="Q34">
        <v>0.80003599999999997</v>
      </c>
      <c r="S34" s="14"/>
      <c r="T34" t="s">
        <v>22</v>
      </c>
      <c r="U34" s="3">
        <v>4.7000000000000002E-3</v>
      </c>
      <c r="V34" s="3">
        <v>5.4000000000000003E-3</v>
      </c>
      <c r="W34">
        <v>0.81459099999999995</v>
      </c>
      <c r="X34" t="s">
        <v>22</v>
      </c>
      <c r="Y34" s="3">
        <v>1.17E-2</v>
      </c>
      <c r="Z34" s="3">
        <v>1.2699999999999999E-2</v>
      </c>
      <c r="AA34">
        <v>0.79789900000000002</v>
      </c>
      <c r="AB34" t="s">
        <v>22</v>
      </c>
      <c r="AC34" s="3">
        <v>1.7500000000000002E-2</v>
      </c>
      <c r="AD34" s="3">
        <v>1.89E-2</v>
      </c>
      <c r="AE34">
        <v>0.81442099999999995</v>
      </c>
      <c r="AF34" t="s">
        <v>22</v>
      </c>
      <c r="AG34" s="3">
        <v>2.2499999999999999E-2</v>
      </c>
      <c r="AH34" s="3">
        <v>2.4400000000000002E-2</v>
      </c>
      <c r="AI34">
        <v>1.119604</v>
      </c>
    </row>
    <row r="37" spans="1:35" x14ac:dyDescent="0.25">
      <c r="A37" s="10" t="s">
        <v>23</v>
      </c>
      <c r="B37" s="8" t="s">
        <v>50</v>
      </c>
      <c r="C37" s="8"/>
      <c r="D37" s="8"/>
      <c r="E37" s="8"/>
      <c r="F37" s="8" t="s">
        <v>51</v>
      </c>
      <c r="G37" s="8"/>
      <c r="H37" s="8"/>
      <c r="I37" s="8"/>
      <c r="J37" s="8" t="s">
        <v>52</v>
      </c>
      <c r="K37" s="8"/>
      <c r="L37" s="8"/>
      <c r="M37" s="8"/>
      <c r="N37" s="8" t="s">
        <v>53</v>
      </c>
      <c r="O37" s="8"/>
      <c r="P37" s="8"/>
      <c r="Q37" s="8"/>
      <c r="S37" s="10" t="s">
        <v>23</v>
      </c>
      <c r="T37" s="8" t="s">
        <v>50</v>
      </c>
      <c r="U37" s="8"/>
      <c r="V37" s="8"/>
      <c r="W37" s="8"/>
      <c r="X37" s="8" t="s">
        <v>51</v>
      </c>
      <c r="Y37" s="8"/>
      <c r="Z37" s="8"/>
      <c r="AA37" s="8"/>
      <c r="AB37" s="8" t="s">
        <v>52</v>
      </c>
      <c r="AC37" s="8"/>
      <c r="AD37" s="8"/>
      <c r="AE37" s="8"/>
      <c r="AF37" s="8" t="s">
        <v>53</v>
      </c>
      <c r="AG37" s="8"/>
      <c r="AH37" s="8"/>
      <c r="AI37" s="8"/>
    </row>
    <row r="38" spans="1:35" x14ac:dyDescent="0.25">
      <c r="A38" s="10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0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0"/>
      <c r="B39" t="s">
        <v>20</v>
      </c>
      <c r="C39" s="3"/>
      <c r="D39" s="3"/>
      <c r="F39" t="s">
        <v>20</v>
      </c>
      <c r="G39" s="3"/>
      <c r="H39" s="3"/>
      <c r="J39" t="s">
        <v>20</v>
      </c>
      <c r="N39" t="s">
        <v>20</v>
      </c>
      <c r="S39" s="10"/>
      <c r="T39" t="s">
        <v>20</v>
      </c>
      <c r="U39" s="3"/>
      <c r="V39" s="3"/>
      <c r="X39" t="s">
        <v>20</v>
      </c>
      <c r="Y39" s="3"/>
      <c r="Z39" s="3"/>
      <c r="AB39" t="s">
        <v>20</v>
      </c>
      <c r="AF39" t="s">
        <v>20</v>
      </c>
    </row>
    <row r="40" spans="1:35" x14ac:dyDescent="0.25">
      <c r="A40" s="10"/>
      <c r="B40" t="s">
        <v>21</v>
      </c>
      <c r="C40" s="3"/>
      <c r="D40" s="3"/>
      <c r="F40" t="s">
        <v>21</v>
      </c>
      <c r="G40" s="3"/>
      <c r="H40" s="3"/>
      <c r="J40" t="s">
        <v>21</v>
      </c>
      <c r="N40" t="s">
        <v>21</v>
      </c>
      <c r="S40" s="10"/>
      <c r="T40" t="s">
        <v>21</v>
      </c>
      <c r="U40" s="3"/>
      <c r="V40" s="3"/>
      <c r="X40" t="s">
        <v>21</v>
      </c>
      <c r="Y40" s="3"/>
      <c r="Z40" s="3"/>
      <c r="AB40" t="s">
        <v>21</v>
      </c>
      <c r="AF40" t="s">
        <v>21</v>
      </c>
    </row>
    <row r="41" spans="1:35" x14ac:dyDescent="0.25">
      <c r="A41" s="10"/>
      <c r="B41" t="s">
        <v>22</v>
      </c>
      <c r="C41" s="3">
        <v>6.1999999999999998E-3</v>
      </c>
      <c r="D41" s="3">
        <v>6.4000000000000003E-3</v>
      </c>
      <c r="E41">
        <v>1.1213679999999999</v>
      </c>
      <c r="F41" t="s">
        <v>22</v>
      </c>
      <c r="G41" s="3">
        <v>1.4E-2</v>
      </c>
      <c r="H41" s="3">
        <v>1.4200000000000001E-2</v>
      </c>
      <c r="I41">
        <v>1.1088979999999999</v>
      </c>
      <c r="J41" t="s">
        <v>22</v>
      </c>
      <c r="K41" s="3">
        <v>2.1000000000000001E-2</v>
      </c>
      <c r="L41" s="3">
        <v>2.1299999999999999E-2</v>
      </c>
      <c r="M41">
        <v>1.1091569999999999</v>
      </c>
      <c r="N41" t="s">
        <v>22</v>
      </c>
      <c r="O41">
        <v>2.75E-2</v>
      </c>
      <c r="P41">
        <v>2.8000000000000001E-2</v>
      </c>
      <c r="Q41">
        <v>1.1143749999999999</v>
      </c>
      <c r="S41" s="10"/>
      <c r="T41" t="s">
        <v>22</v>
      </c>
      <c r="U41" s="3">
        <v>4.7000000000000002E-3</v>
      </c>
      <c r="V41" s="3">
        <v>5.4000000000000003E-3</v>
      </c>
      <c r="W41">
        <v>1.107898</v>
      </c>
      <c r="X41" t="s">
        <v>22</v>
      </c>
      <c r="Y41" s="3">
        <v>1.2E-2</v>
      </c>
      <c r="Z41" s="3">
        <v>1.2500000000000001E-2</v>
      </c>
      <c r="AA41">
        <v>1.119923</v>
      </c>
      <c r="AB41" t="s">
        <v>22</v>
      </c>
      <c r="AC41" s="3">
        <v>1.7899999999999999E-2</v>
      </c>
      <c r="AD41" s="3">
        <v>1.84E-2</v>
      </c>
      <c r="AE41">
        <v>1.1133249999999999</v>
      </c>
      <c r="AF41" t="s">
        <v>22</v>
      </c>
      <c r="AG41" s="3">
        <v>2.2700000000000001E-2</v>
      </c>
      <c r="AH41" s="3">
        <v>2.3800000000000002E-2</v>
      </c>
      <c r="AI41">
        <v>1.1297489999999999</v>
      </c>
    </row>
    <row r="44" spans="1:35" x14ac:dyDescent="0.25">
      <c r="A44" s="15" t="s">
        <v>24</v>
      </c>
      <c r="B44" s="8" t="s">
        <v>50</v>
      </c>
      <c r="C44" s="8"/>
      <c r="D44" s="8"/>
      <c r="E44" s="8"/>
      <c r="F44" s="8" t="s">
        <v>51</v>
      </c>
      <c r="G44" s="8"/>
      <c r="H44" s="8"/>
      <c r="I44" s="8"/>
      <c r="J44" s="8" t="s">
        <v>52</v>
      </c>
      <c r="K44" s="8"/>
      <c r="L44" s="8"/>
      <c r="M44" s="8"/>
      <c r="N44" s="8" t="s">
        <v>53</v>
      </c>
      <c r="O44" s="8"/>
      <c r="P44" s="8"/>
      <c r="Q44" s="8"/>
      <c r="S44" s="15" t="s">
        <v>24</v>
      </c>
      <c r="T44" s="8" t="s">
        <v>50</v>
      </c>
      <c r="U44" s="8"/>
      <c r="V44" s="8"/>
      <c r="W44" s="8"/>
      <c r="X44" s="8" t="s">
        <v>51</v>
      </c>
      <c r="Y44" s="8"/>
      <c r="Z44" s="8"/>
      <c r="AA44" s="8"/>
      <c r="AB44" s="8" t="s">
        <v>52</v>
      </c>
      <c r="AC44" s="8"/>
      <c r="AD44" s="8"/>
      <c r="AE44" s="8"/>
      <c r="AF44" s="8" t="s">
        <v>53</v>
      </c>
      <c r="AG44" s="8"/>
      <c r="AH44" s="8"/>
      <c r="AI44" s="8"/>
    </row>
    <row r="45" spans="1:35" x14ac:dyDescent="0.25">
      <c r="A45" s="15"/>
      <c r="B45" s="8" t="s">
        <v>25</v>
      </c>
      <c r="C45" s="8"/>
      <c r="D45" s="8"/>
      <c r="E45" t="s">
        <v>19</v>
      </c>
      <c r="F45" s="8" t="s">
        <v>25</v>
      </c>
      <c r="G45" s="8"/>
      <c r="H45" s="8"/>
      <c r="I45" t="s">
        <v>19</v>
      </c>
      <c r="J45" s="8" t="s">
        <v>25</v>
      </c>
      <c r="K45" s="8"/>
      <c r="L45" s="8"/>
      <c r="M45" t="s">
        <v>19</v>
      </c>
      <c r="N45" s="8" t="s">
        <v>25</v>
      </c>
      <c r="O45" s="8"/>
      <c r="P45" s="8"/>
      <c r="Q45" t="s">
        <v>19</v>
      </c>
      <c r="S45" s="15"/>
      <c r="T45" s="8" t="s">
        <v>25</v>
      </c>
      <c r="U45" s="8"/>
      <c r="V45" s="8"/>
      <c r="W45" t="s">
        <v>19</v>
      </c>
      <c r="X45" s="8" t="s">
        <v>25</v>
      </c>
      <c r="Y45" s="8"/>
      <c r="Z45" s="8"/>
      <c r="AA45" t="s">
        <v>19</v>
      </c>
      <c r="AB45" s="8" t="s">
        <v>25</v>
      </c>
      <c r="AC45" s="8"/>
      <c r="AD45" s="8"/>
      <c r="AE45" t="s">
        <v>19</v>
      </c>
      <c r="AF45" s="8" t="s">
        <v>25</v>
      </c>
      <c r="AG45" s="8"/>
      <c r="AH45" s="8"/>
      <c r="AI45" t="s">
        <v>19</v>
      </c>
    </row>
    <row r="46" spans="1:35" x14ac:dyDescent="0.25">
      <c r="A46" s="15"/>
      <c r="B46" s="3">
        <v>6.4000000000000003E-3</v>
      </c>
      <c r="C46" s="3"/>
      <c r="D46" s="3"/>
      <c r="E46">
        <v>2.0480230000000001</v>
      </c>
      <c r="F46" s="4">
        <v>1.41E-2</v>
      </c>
      <c r="G46" s="3"/>
      <c r="H46" s="3"/>
      <c r="I46">
        <v>2.039396</v>
      </c>
      <c r="J46" s="3">
        <v>2.12E-2</v>
      </c>
      <c r="K46" s="3"/>
      <c r="L46" s="3"/>
      <c r="M46">
        <v>2.0678589999999999</v>
      </c>
      <c r="N46">
        <v>2.7699999999999999E-2</v>
      </c>
      <c r="Q46">
        <v>2.1138180000000002</v>
      </c>
      <c r="S46" s="15"/>
      <c r="T46" s="3">
        <v>5.1999999999999998E-3</v>
      </c>
      <c r="U46" s="3"/>
      <c r="V46" s="3"/>
      <c r="W46">
        <v>2.060962</v>
      </c>
      <c r="X46" s="3">
        <v>1.23E-2</v>
      </c>
      <c r="Y46" s="3"/>
      <c r="Z46" s="3"/>
      <c r="AA46">
        <v>2.0512679999999999</v>
      </c>
      <c r="AB46" s="3">
        <v>1.83E-2</v>
      </c>
      <c r="AC46" s="3"/>
      <c r="AD46" s="3"/>
      <c r="AE46">
        <v>2.065185</v>
      </c>
      <c r="AF46" s="3">
        <v>2.3400000000000001E-2</v>
      </c>
      <c r="AG46" s="3"/>
      <c r="AH46" s="3"/>
      <c r="AI46">
        <v>2.0519940000000001</v>
      </c>
    </row>
    <row r="47" spans="1:35" x14ac:dyDescent="0.25">
      <c r="F47" s="3"/>
    </row>
    <row r="48" spans="1:35" x14ac:dyDescent="0.25">
      <c r="A48" s="1" t="s">
        <v>28</v>
      </c>
      <c r="C48" t="s">
        <v>48</v>
      </c>
      <c r="D48" t="s">
        <v>49</v>
      </c>
      <c r="G48" t="s">
        <v>48</v>
      </c>
      <c r="H48" t="s">
        <v>49</v>
      </c>
    </row>
    <row r="49" spans="1:17" x14ac:dyDescent="0.25">
      <c r="B49" s="8" t="s">
        <v>8</v>
      </c>
      <c r="C49" s="8"/>
      <c r="D49" s="8"/>
      <c r="E49" s="8"/>
      <c r="F49" s="8" t="s">
        <v>9</v>
      </c>
      <c r="G49" s="8"/>
      <c r="H49" s="8"/>
      <c r="I49" s="8"/>
      <c r="J49" s="8" t="s">
        <v>10</v>
      </c>
      <c r="K49" s="8"/>
      <c r="L49" s="8"/>
      <c r="M49" s="8"/>
      <c r="N49" s="8" t="s">
        <v>11</v>
      </c>
      <c r="O49" s="8"/>
      <c r="P49" s="8"/>
      <c r="Q49" s="8"/>
    </row>
    <row r="50" spans="1:17" x14ac:dyDescent="0.25">
      <c r="A50" s="14" t="s">
        <v>12</v>
      </c>
      <c r="B50" s="8" t="s">
        <v>50</v>
      </c>
      <c r="C50" s="8"/>
      <c r="D50" s="8"/>
      <c r="E50" s="8"/>
      <c r="F50" s="8" t="s">
        <v>51</v>
      </c>
      <c r="G50" s="8"/>
      <c r="H50" s="8"/>
      <c r="I50" s="8"/>
      <c r="J50" s="8" t="s">
        <v>52</v>
      </c>
      <c r="K50" s="8"/>
      <c r="L50" s="8"/>
      <c r="M50" s="8"/>
      <c r="N50" s="8" t="s">
        <v>53</v>
      </c>
      <c r="O50" s="8"/>
      <c r="P50" s="8"/>
      <c r="Q50" s="8"/>
    </row>
    <row r="51" spans="1:17" x14ac:dyDescent="0.25">
      <c r="A51" s="14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14"/>
      <c r="B52" t="s">
        <v>20</v>
      </c>
      <c r="C52" s="3"/>
      <c r="D52" s="3"/>
      <c r="F52" t="s">
        <v>20</v>
      </c>
      <c r="G52" s="3"/>
      <c r="H52" s="3"/>
      <c r="J52" t="s">
        <v>20</v>
      </c>
      <c r="N52" t="s">
        <v>20</v>
      </c>
    </row>
    <row r="53" spans="1:17" x14ac:dyDescent="0.25">
      <c r="A53" s="14"/>
      <c r="B53" t="s">
        <v>21</v>
      </c>
      <c r="C53" s="3"/>
      <c r="D53" s="3"/>
      <c r="F53" t="s">
        <v>21</v>
      </c>
      <c r="G53" s="3"/>
      <c r="H53" s="3"/>
      <c r="J53" t="s">
        <v>21</v>
      </c>
      <c r="N53" t="s">
        <v>21</v>
      </c>
    </row>
    <row r="54" spans="1:17" x14ac:dyDescent="0.25">
      <c r="A54" s="14"/>
      <c r="B54" t="s">
        <v>22</v>
      </c>
      <c r="C54" s="3">
        <v>2.5000000000000001E-3</v>
      </c>
      <c r="D54" s="3">
        <v>3.5999999999999999E-3</v>
      </c>
      <c r="E54">
        <v>1.0139359999999999</v>
      </c>
      <c r="F54" t="s">
        <v>22</v>
      </c>
      <c r="G54" s="3">
        <v>9.5999999999999992E-3</v>
      </c>
      <c r="H54" s="3">
        <v>1.06E-2</v>
      </c>
      <c r="I54">
        <v>0.79854400000000003</v>
      </c>
      <c r="J54" t="s">
        <v>22</v>
      </c>
      <c r="K54" s="3">
        <v>1.24E-2</v>
      </c>
      <c r="L54" s="3">
        <v>1.43E-2</v>
      </c>
      <c r="M54">
        <v>0.81301500000000004</v>
      </c>
      <c r="N54" t="s">
        <v>22</v>
      </c>
      <c r="O54" s="3">
        <v>1.5699999999999999E-2</v>
      </c>
      <c r="P54" s="3">
        <v>1.8499999999999999E-2</v>
      </c>
      <c r="Q54">
        <v>0.85158100000000003</v>
      </c>
    </row>
    <row r="57" spans="1:17" x14ac:dyDescent="0.25">
      <c r="A57" s="10" t="s">
        <v>23</v>
      </c>
      <c r="B57" s="8" t="s">
        <v>50</v>
      </c>
      <c r="C57" s="8"/>
      <c r="D57" s="8"/>
      <c r="E57" s="8"/>
      <c r="F57" s="8" t="s">
        <v>51</v>
      </c>
      <c r="G57" s="8"/>
      <c r="H57" s="8"/>
      <c r="I57" s="8"/>
      <c r="J57" s="8" t="s">
        <v>52</v>
      </c>
      <c r="K57" s="8"/>
      <c r="L57" s="8"/>
      <c r="M57" s="8"/>
      <c r="N57" s="8" t="s">
        <v>53</v>
      </c>
      <c r="O57" s="8"/>
      <c r="P57" s="8"/>
      <c r="Q57" s="8"/>
    </row>
    <row r="58" spans="1:17" x14ac:dyDescent="0.25">
      <c r="A58" s="10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0"/>
      <c r="B59" t="s">
        <v>20</v>
      </c>
      <c r="C59" s="3"/>
      <c r="D59" s="3"/>
      <c r="F59" t="s">
        <v>20</v>
      </c>
      <c r="G59" s="3"/>
      <c r="H59" s="3"/>
      <c r="J59" t="s">
        <v>20</v>
      </c>
      <c r="N59" t="s">
        <v>20</v>
      </c>
    </row>
    <row r="60" spans="1:17" x14ac:dyDescent="0.25">
      <c r="A60" s="10"/>
      <c r="B60" t="s">
        <v>21</v>
      </c>
      <c r="C60" s="3"/>
      <c r="D60" s="3"/>
      <c r="F60" t="s">
        <v>21</v>
      </c>
      <c r="G60" s="3"/>
      <c r="H60" s="3"/>
      <c r="J60" t="s">
        <v>21</v>
      </c>
      <c r="N60" t="s">
        <v>21</v>
      </c>
    </row>
    <row r="61" spans="1:17" x14ac:dyDescent="0.25">
      <c r="A61" s="10"/>
      <c r="B61" t="s">
        <v>22</v>
      </c>
      <c r="C61" s="3">
        <v>2.5000000000000001E-3</v>
      </c>
      <c r="D61" s="3">
        <v>3.5999999999999999E-3</v>
      </c>
      <c r="E61">
        <v>1.1154770000000001</v>
      </c>
      <c r="F61" t="s">
        <v>22</v>
      </c>
      <c r="G61" s="3">
        <v>9.7000000000000003E-3</v>
      </c>
      <c r="H61" s="3">
        <v>9.7999999999999997E-3</v>
      </c>
      <c r="I61">
        <v>1.116476</v>
      </c>
      <c r="J61" t="s">
        <v>22</v>
      </c>
      <c r="K61" s="3">
        <v>1.4E-2</v>
      </c>
      <c r="L61" s="3">
        <v>1.4E-2</v>
      </c>
      <c r="M61">
        <v>1.1561790000000001</v>
      </c>
      <c r="N61" t="s">
        <v>22</v>
      </c>
      <c r="O61" s="3">
        <v>1.6899999999999998E-2</v>
      </c>
      <c r="P61" s="3">
        <v>1.7000000000000001E-2</v>
      </c>
      <c r="Q61">
        <v>1.124212</v>
      </c>
    </row>
    <row r="64" spans="1:17" x14ac:dyDescent="0.25">
      <c r="A64" s="15" t="s">
        <v>24</v>
      </c>
      <c r="B64" s="8" t="s">
        <v>50</v>
      </c>
      <c r="C64" s="8"/>
      <c r="D64" s="8"/>
      <c r="E64" s="8"/>
      <c r="F64" s="8" t="s">
        <v>51</v>
      </c>
      <c r="G64" s="8"/>
      <c r="H64" s="8"/>
      <c r="I64" s="8"/>
      <c r="J64" s="8" t="s">
        <v>52</v>
      </c>
      <c r="K64" s="8"/>
      <c r="L64" s="8"/>
      <c r="M64" s="8"/>
      <c r="N64" s="8" t="s">
        <v>53</v>
      </c>
      <c r="O64" s="8"/>
      <c r="P64" s="8"/>
      <c r="Q64" s="8"/>
    </row>
    <row r="65" spans="1:27" x14ac:dyDescent="0.25">
      <c r="A65" s="15"/>
      <c r="B65" s="8" t="s">
        <v>25</v>
      </c>
      <c r="C65" s="8"/>
      <c r="D65" s="8"/>
      <c r="E65" t="s">
        <v>19</v>
      </c>
      <c r="F65" s="8" t="s">
        <v>25</v>
      </c>
      <c r="G65" s="8"/>
      <c r="H65" s="8"/>
      <c r="I65" t="s">
        <v>19</v>
      </c>
      <c r="J65" s="8" t="s">
        <v>25</v>
      </c>
      <c r="K65" s="8"/>
      <c r="L65" s="8"/>
      <c r="M65" t="s">
        <v>19</v>
      </c>
      <c r="N65" s="8" t="s">
        <v>25</v>
      </c>
      <c r="O65" s="8"/>
      <c r="P65" s="8"/>
      <c r="Q65" t="s">
        <v>19</v>
      </c>
    </row>
    <row r="66" spans="1:27" x14ac:dyDescent="0.25">
      <c r="A66" s="15"/>
      <c r="B66" s="3">
        <v>3.0999999999999999E-3</v>
      </c>
      <c r="C66" s="3"/>
      <c r="D66" s="3"/>
      <c r="E66" s="7">
        <v>2.059364</v>
      </c>
      <c r="F66" s="3">
        <v>1.01E-2</v>
      </c>
      <c r="G66" s="3"/>
      <c r="H66" s="3"/>
      <c r="I66">
        <v>2.0727519999999999</v>
      </c>
      <c r="J66" s="3">
        <v>1.4200000000000001E-2</v>
      </c>
      <c r="K66" s="3"/>
      <c r="L66" s="3"/>
      <c r="M66">
        <v>1.7170000000000001</v>
      </c>
      <c r="N66" s="3">
        <v>1.72E-2</v>
      </c>
      <c r="O66" s="3"/>
      <c r="P66" s="3"/>
      <c r="Q66">
        <v>2.059615</v>
      </c>
    </row>
    <row r="68" spans="1:27" x14ac:dyDescent="0.25">
      <c r="A68" s="14" t="s">
        <v>30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x14ac:dyDescent="0.25">
      <c r="A71" s="1" t="s">
        <v>6</v>
      </c>
      <c r="D71" s="9" t="s">
        <v>12</v>
      </c>
      <c r="E71" s="9"/>
      <c r="F71" s="9"/>
      <c r="G71" s="9"/>
      <c r="H71" s="9"/>
      <c r="I71" s="10" t="s">
        <v>23</v>
      </c>
      <c r="J71" s="10"/>
      <c r="K71" s="10"/>
      <c r="L71" s="11" t="s">
        <v>24</v>
      </c>
      <c r="M71" s="11"/>
      <c r="N71" s="2"/>
      <c r="P71" s="9" t="s">
        <v>12</v>
      </c>
      <c r="Q71" s="9"/>
      <c r="R71" s="9"/>
      <c r="S71" s="9"/>
      <c r="T71" s="9"/>
      <c r="U71" s="10" t="s">
        <v>23</v>
      </c>
      <c r="V71" s="10"/>
      <c r="W71" s="10"/>
      <c r="X71" s="11" t="s">
        <v>24</v>
      </c>
      <c r="Y71" s="11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14" t="s">
        <v>9</v>
      </c>
      <c r="D73" s="13" t="s">
        <v>33</v>
      </c>
      <c r="E73" t="s">
        <v>34</v>
      </c>
      <c r="F73">
        <f t="shared" ref="F73:G75" si="0">0.05*G11+(1-0.05)*C11</f>
        <v>0</v>
      </c>
      <c r="G73">
        <f t="shared" si="0"/>
        <v>0</v>
      </c>
      <c r="H73">
        <f>E11+I11</f>
        <v>0</v>
      </c>
      <c r="I73">
        <f t="shared" ref="I73:J75" si="1">0.05*G18+(1-0.05)*C18</f>
        <v>0</v>
      </c>
      <c r="J73">
        <f t="shared" si="1"/>
        <v>0</v>
      </c>
      <c r="K73">
        <f>I18+E18</f>
        <v>0</v>
      </c>
      <c r="P73" s="13" t="s">
        <v>35</v>
      </c>
      <c r="Q73" t="s">
        <v>34</v>
      </c>
      <c r="R73">
        <f t="shared" ref="R73:S75" si="2">0.1*G11+(1-0.1)*C11</f>
        <v>0</v>
      </c>
      <c r="S73">
        <f t="shared" si="2"/>
        <v>0</v>
      </c>
      <c r="U73">
        <f t="shared" ref="U73:V75" si="3">0.1*G18+(1-0.1)*C18</f>
        <v>0</v>
      </c>
      <c r="V73">
        <f t="shared" si="3"/>
        <v>0</v>
      </c>
    </row>
    <row r="74" spans="1:27" x14ac:dyDescent="0.25">
      <c r="C74" s="14"/>
      <c r="D74" s="13"/>
      <c r="E74" t="s">
        <v>36</v>
      </c>
      <c r="F74">
        <f t="shared" si="0"/>
        <v>0</v>
      </c>
      <c r="G74">
        <f t="shared" si="0"/>
        <v>0</v>
      </c>
      <c r="H74">
        <f>E12+I12</f>
        <v>0</v>
      </c>
      <c r="I74">
        <f t="shared" si="1"/>
        <v>0</v>
      </c>
      <c r="J74">
        <f t="shared" si="1"/>
        <v>0</v>
      </c>
      <c r="K74">
        <f>I19+E19</f>
        <v>0</v>
      </c>
      <c r="P74" s="13"/>
      <c r="Q74" t="s">
        <v>36</v>
      </c>
      <c r="R74">
        <f t="shared" si="2"/>
        <v>0</v>
      </c>
      <c r="S74">
        <f t="shared" si="2"/>
        <v>0</v>
      </c>
      <c r="U74">
        <f t="shared" si="3"/>
        <v>0</v>
      </c>
      <c r="V74">
        <f t="shared" si="3"/>
        <v>0</v>
      </c>
    </row>
    <row r="75" spans="1:27" x14ac:dyDescent="0.25">
      <c r="C75" s="14"/>
      <c r="D75" s="13"/>
      <c r="E75" t="s">
        <v>37</v>
      </c>
      <c r="F75" s="3">
        <f>0.05*G13+(1-0.05)*C13</f>
        <v>7.6249999999999998E-3</v>
      </c>
      <c r="G75">
        <f t="shared" si="0"/>
        <v>7.6249999999999998E-3</v>
      </c>
      <c r="H75">
        <f>E13+I13</f>
        <v>2.885818</v>
      </c>
      <c r="I75">
        <f t="shared" si="1"/>
        <v>7.6249999999999998E-3</v>
      </c>
      <c r="J75">
        <f t="shared" si="1"/>
        <v>7.6249999999999998E-3</v>
      </c>
      <c r="K75">
        <f>I20+E20</f>
        <v>2.238159</v>
      </c>
      <c r="L75">
        <f>0.05*F25+(1-0.05)*B25</f>
        <v>7.6249999999999998E-3</v>
      </c>
      <c r="M75">
        <f>I25+E25</f>
        <v>3.2686440000000001</v>
      </c>
      <c r="P75" s="13"/>
      <c r="Q75" t="s">
        <v>37</v>
      </c>
      <c r="R75">
        <f t="shared" si="2"/>
        <v>8.0499999999999999E-3</v>
      </c>
      <c r="S75">
        <f t="shared" si="2"/>
        <v>8.0499999999999999E-3</v>
      </c>
      <c r="U75">
        <f t="shared" si="3"/>
        <v>8.0499999999999999E-3</v>
      </c>
      <c r="V75">
        <f t="shared" si="3"/>
        <v>8.0499999999999999E-3</v>
      </c>
      <c r="X75">
        <f>0.1*F25+(1-0.1)*B25</f>
        <v>8.0499999999999999E-3</v>
      </c>
    </row>
    <row r="76" spans="1:27" x14ac:dyDescent="0.25">
      <c r="C76" s="14"/>
    </row>
    <row r="77" spans="1:27" x14ac:dyDescent="0.25">
      <c r="C77" s="14"/>
    </row>
    <row r="78" spans="1:27" x14ac:dyDescent="0.25">
      <c r="C78" s="14"/>
    </row>
    <row r="79" spans="1:27" x14ac:dyDescent="0.25">
      <c r="C79" s="14"/>
      <c r="D79" s="13" t="s">
        <v>38</v>
      </c>
      <c r="E79" t="s">
        <v>34</v>
      </c>
      <c r="F79">
        <f t="shared" ref="F79:G81" si="4">0.2*G11+(1-0.2)*C11</f>
        <v>0</v>
      </c>
      <c r="G79">
        <f t="shared" si="4"/>
        <v>0</v>
      </c>
      <c r="I79">
        <f t="shared" ref="I79:J81" si="5">0.2*G18+(1-0.2)*C18</f>
        <v>0</v>
      </c>
      <c r="J79">
        <f t="shared" si="5"/>
        <v>0</v>
      </c>
      <c r="P79" s="13" t="s">
        <v>39</v>
      </c>
      <c r="Q79" t="s">
        <v>34</v>
      </c>
      <c r="R79">
        <f t="shared" ref="R79:S81" si="6">0.3*G11+(1-0.3)*C11</f>
        <v>0</v>
      </c>
      <c r="S79">
        <f t="shared" si="6"/>
        <v>0</v>
      </c>
      <c r="U79">
        <f t="shared" ref="U79:V81" si="7">0.3*G18+(1-0.3)*C18</f>
        <v>0</v>
      </c>
      <c r="V79">
        <f t="shared" si="7"/>
        <v>0</v>
      </c>
    </row>
    <row r="80" spans="1:27" x14ac:dyDescent="0.25">
      <c r="C80" s="14"/>
      <c r="D80" s="13"/>
      <c r="E80" t="s">
        <v>36</v>
      </c>
      <c r="F80">
        <f t="shared" si="4"/>
        <v>0</v>
      </c>
      <c r="G80">
        <f t="shared" si="4"/>
        <v>0</v>
      </c>
      <c r="I80">
        <f t="shared" si="5"/>
        <v>0</v>
      </c>
      <c r="J80">
        <f t="shared" si="5"/>
        <v>0</v>
      </c>
      <c r="P80" s="13"/>
      <c r="Q80" t="s">
        <v>36</v>
      </c>
      <c r="R80">
        <f t="shared" si="6"/>
        <v>0</v>
      </c>
      <c r="S80">
        <f t="shared" si="6"/>
        <v>0</v>
      </c>
      <c r="U80">
        <f t="shared" si="7"/>
        <v>0</v>
      </c>
      <c r="V80">
        <f t="shared" si="7"/>
        <v>0</v>
      </c>
    </row>
    <row r="81" spans="2:25" x14ac:dyDescent="0.25">
      <c r="C81" s="14"/>
      <c r="D81" s="13"/>
      <c r="E81" t="s">
        <v>37</v>
      </c>
      <c r="F81">
        <f t="shared" si="4"/>
        <v>8.8999999999999999E-3</v>
      </c>
      <c r="G81">
        <f t="shared" si="4"/>
        <v>8.8999999999999999E-3</v>
      </c>
      <c r="I81">
        <f t="shared" si="5"/>
        <v>8.8999999999999999E-3</v>
      </c>
      <c r="J81">
        <f t="shared" si="5"/>
        <v>8.8999999999999999E-3</v>
      </c>
      <c r="L81">
        <f>0.2*F25+(1-0.2)*B25</f>
        <v>8.8999999999999999E-3</v>
      </c>
      <c r="P81" s="13"/>
      <c r="Q81" t="s">
        <v>37</v>
      </c>
      <c r="R81">
        <f t="shared" si="6"/>
        <v>9.7499999999999983E-3</v>
      </c>
      <c r="S81">
        <f t="shared" si="6"/>
        <v>9.7499999999999983E-3</v>
      </c>
      <c r="U81">
        <f t="shared" si="7"/>
        <v>9.7499999999999983E-3</v>
      </c>
      <c r="V81">
        <f t="shared" si="7"/>
        <v>9.7499999999999983E-3</v>
      </c>
      <c r="X81">
        <f>0.3*F25+(1-0.3)*B25</f>
        <v>9.7499999999999983E-3</v>
      </c>
    </row>
    <row r="84" spans="2:25" x14ac:dyDescent="0.25">
      <c r="D84" s="9" t="s">
        <v>12</v>
      </c>
      <c r="E84" s="9"/>
      <c r="F84" s="9"/>
      <c r="G84" s="9"/>
      <c r="H84" s="9"/>
      <c r="I84" s="10" t="s">
        <v>23</v>
      </c>
      <c r="J84" s="10"/>
      <c r="K84" s="10"/>
      <c r="L84" s="11" t="s">
        <v>24</v>
      </c>
      <c r="M84" s="11"/>
      <c r="P84" s="9" t="s">
        <v>12</v>
      </c>
      <c r="Q84" s="9"/>
      <c r="R84" s="9"/>
      <c r="S84" s="9"/>
      <c r="T84" s="9"/>
      <c r="U84" s="10" t="s">
        <v>23</v>
      </c>
      <c r="V84" s="10"/>
      <c r="W84" s="10"/>
      <c r="X84" s="11" t="s">
        <v>24</v>
      </c>
      <c r="Y84" s="11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14" t="s">
        <v>10</v>
      </c>
      <c r="C86" s="12" t="s">
        <v>40</v>
      </c>
      <c r="D86" s="13" t="s">
        <v>33</v>
      </c>
      <c r="E86" t="s">
        <v>34</v>
      </c>
      <c r="F86">
        <f t="shared" ref="F86:G88" si="8">(0.05*(1-0.05)+0.05*(1-0.05))*G11+0.05*0.05*K11+(1-0.05*(1-0.05)-0.05*(1-0.05)-0.05*0.05)*C11</f>
        <v>0</v>
      </c>
      <c r="G86">
        <f t="shared" si="8"/>
        <v>0</v>
      </c>
      <c r="H86">
        <f>M11+I11+E11</f>
        <v>0</v>
      </c>
      <c r="I86">
        <f t="shared" ref="I86:J88" si="9">(0.05*(1-0.05)+0.05*(1-0.05))*G18+0.05*0.05*K18+(1-0.05*(1-0.05)-0.05*(1-0.05)-0.05*0.05)*C18</f>
        <v>0</v>
      </c>
      <c r="J86">
        <f t="shared" si="9"/>
        <v>0</v>
      </c>
      <c r="K86">
        <f>M18+I18+E18</f>
        <v>0</v>
      </c>
      <c r="O86" s="12" t="s">
        <v>41</v>
      </c>
      <c r="P86" s="13" t="s">
        <v>35</v>
      </c>
      <c r="Q86" t="s">
        <v>34</v>
      </c>
      <c r="R86">
        <f t="shared" ref="R86:S88" si="10">(0.1*0.9+0.1*0.9)*G11+0.1*0.1*K11+(1-0.1*0.9-0.1*0.9-0.1*0.1)*C11</f>
        <v>0</v>
      </c>
      <c r="S86">
        <f t="shared" si="10"/>
        <v>0</v>
      </c>
      <c r="U86">
        <f t="shared" ref="U86:V88" si="11">(0.1*0.9+0.1*0.9)*G18+0.1*0.1*K18+(1-0.1*0.9-0.1*0.9-0.1*0.1)*C18</f>
        <v>0</v>
      </c>
      <c r="V86">
        <f t="shared" si="11"/>
        <v>0</v>
      </c>
    </row>
    <row r="87" spans="2:25" x14ac:dyDescent="0.25">
      <c r="B87" s="14"/>
      <c r="C87" s="12"/>
      <c r="D87" s="13"/>
      <c r="E87" t="s">
        <v>36</v>
      </c>
      <c r="F87">
        <f t="shared" si="8"/>
        <v>0</v>
      </c>
      <c r="G87">
        <f t="shared" si="8"/>
        <v>0</v>
      </c>
      <c r="H87">
        <f>M12+I12+E12</f>
        <v>0</v>
      </c>
      <c r="I87">
        <f t="shared" si="9"/>
        <v>0</v>
      </c>
      <c r="J87">
        <f t="shared" si="9"/>
        <v>0</v>
      </c>
      <c r="K87">
        <f>M19+I19+E19</f>
        <v>0</v>
      </c>
      <c r="O87" s="12"/>
      <c r="P87" s="13"/>
      <c r="Q87" t="s">
        <v>36</v>
      </c>
      <c r="R87">
        <f t="shared" si="10"/>
        <v>0</v>
      </c>
      <c r="S87">
        <f t="shared" si="10"/>
        <v>0</v>
      </c>
      <c r="U87">
        <f t="shared" si="11"/>
        <v>0</v>
      </c>
      <c r="V87">
        <f t="shared" si="11"/>
        <v>0</v>
      </c>
    </row>
    <row r="88" spans="2:25" x14ac:dyDescent="0.25">
      <c r="B88" s="14"/>
      <c r="C88" s="12"/>
      <c r="D88" s="13"/>
      <c r="E88" t="s">
        <v>37</v>
      </c>
      <c r="F88" s="3">
        <f>(0.05*(1-0.05)+0.05*(1-0.05))*G13+0.05*0.05*K13+(1-0.05*(1-0.05)-0.05*(1-0.05)-0.05*0.05)*C13</f>
        <v>8.0495000000000011E-3</v>
      </c>
      <c r="G88">
        <f t="shared" si="8"/>
        <v>8.0495000000000011E-3</v>
      </c>
      <c r="H88">
        <f>M13+I13+E13</f>
        <v>3.7366679999999999</v>
      </c>
      <c r="I88">
        <f t="shared" si="9"/>
        <v>8.0495000000000011E-3</v>
      </c>
      <c r="J88">
        <f t="shared" si="9"/>
        <v>8.0495000000000011E-3</v>
      </c>
      <c r="K88">
        <f>M20+I20+E20</f>
        <v>3.3584160000000001</v>
      </c>
      <c r="L88">
        <f>(0.05*(1-0.05)+0.05*(1-0.05))*F25+0.05*0.05*J25+(1-0.05*(1-0.05)-0.05*(1-0.05)-0.05*0.05)*B25</f>
        <v>8.0495000000000011E-3</v>
      </c>
      <c r="M88">
        <f>M25+I25+E25</f>
        <v>5.3357890000000001</v>
      </c>
      <c r="O88" s="12"/>
      <c r="P88" s="13"/>
      <c r="Q88" t="s">
        <v>37</v>
      </c>
      <c r="R88">
        <f t="shared" si="10"/>
        <v>8.8979999999999997E-3</v>
      </c>
      <c r="S88">
        <f t="shared" si="10"/>
        <v>8.8979999999999997E-3</v>
      </c>
      <c r="U88">
        <f t="shared" si="11"/>
        <v>8.8979999999999997E-3</v>
      </c>
      <c r="V88">
        <f t="shared" si="11"/>
        <v>8.8979999999999997E-3</v>
      </c>
      <c r="X88">
        <f>(0.1*0.9+0.1*0.9)*F25+0.1*0.1*J25+(1-0.1*0.9-0.1*0.9-0.1*0.1)*B25</f>
        <v>8.8979999999999997E-3</v>
      </c>
    </row>
    <row r="89" spans="2:25" x14ac:dyDescent="0.25">
      <c r="B89" s="14"/>
    </row>
    <row r="90" spans="2:25" x14ac:dyDescent="0.25">
      <c r="B90" s="14"/>
    </row>
    <row r="91" spans="2:25" x14ac:dyDescent="0.25">
      <c r="B91" s="14"/>
    </row>
    <row r="92" spans="2:25" x14ac:dyDescent="0.25">
      <c r="B92" s="14"/>
      <c r="C92" s="12" t="s">
        <v>42</v>
      </c>
      <c r="D92" s="13" t="s">
        <v>38</v>
      </c>
      <c r="E92" t="s">
        <v>34</v>
      </c>
      <c r="F92">
        <f t="shared" ref="F92:G94" si="12">(0.2*0.8+0.2*0.8)*G11+0.2*0.2*K11+(1-0.2*0.8-0.2*0.8-0.2*0.2)*C11</f>
        <v>0</v>
      </c>
      <c r="G92">
        <f t="shared" si="12"/>
        <v>0</v>
      </c>
      <c r="I92">
        <f t="shared" ref="I92:J94" si="13">(0.2*0.8+0.2*0.8)*G18+0.2*0.2*K18+(1-0.2*0.8-0.2*0.8-0.2*0.2)*C18</f>
        <v>0</v>
      </c>
      <c r="J92">
        <f t="shared" si="13"/>
        <v>0</v>
      </c>
      <c r="O92" s="12" t="s">
        <v>43</v>
      </c>
      <c r="P92" s="13" t="s">
        <v>39</v>
      </c>
      <c r="Q92" t="s">
        <v>34</v>
      </c>
      <c r="R92">
        <f t="shared" ref="R92:S94" si="14">(0.3*0.7+0.3*0.7)*G11+0.3*0.3*K11+(1-0.3*0.7-0.3*0.7-0.3*0.3)*C11</f>
        <v>0</v>
      </c>
      <c r="S92">
        <f t="shared" si="14"/>
        <v>0</v>
      </c>
      <c r="U92">
        <f t="shared" ref="U92:V94" si="15">(0.3*0.7+0.3*0.7)*G18+0.3*0.3*K18+(1-0.3*0.7-0.3*0.7-0.3*0.3)*C18</f>
        <v>0</v>
      </c>
      <c r="V92">
        <f t="shared" si="15"/>
        <v>0</v>
      </c>
    </row>
    <row r="93" spans="2:25" x14ac:dyDescent="0.25">
      <c r="B93" s="14"/>
      <c r="C93" s="12"/>
      <c r="D93" s="13"/>
      <c r="E93" t="s">
        <v>36</v>
      </c>
      <c r="F93">
        <f t="shared" si="12"/>
        <v>0</v>
      </c>
      <c r="G93">
        <f t="shared" si="12"/>
        <v>0</v>
      </c>
      <c r="I93">
        <f t="shared" si="13"/>
        <v>0</v>
      </c>
      <c r="J93">
        <f t="shared" si="13"/>
        <v>0</v>
      </c>
      <c r="O93" s="12"/>
      <c r="P93" s="13"/>
      <c r="Q93" t="s">
        <v>36</v>
      </c>
      <c r="R93">
        <f t="shared" si="14"/>
        <v>0</v>
      </c>
      <c r="S93">
        <f t="shared" si="14"/>
        <v>0</v>
      </c>
      <c r="U93">
        <f t="shared" si="15"/>
        <v>0</v>
      </c>
      <c r="V93">
        <f t="shared" si="15"/>
        <v>0</v>
      </c>
    </row>
    <row r="94" spans="2:25" x14ac:dyDescent="0.25">
      <c r="B94" s="14"/>
      <c r="C94" s="12"/>
      <c r="D94" s="13"/>
      <c r="E94" t="s">
        <v>37</v>
      </c>
      <c r="F94">
        <f t="shared" si="12"/>
        <v>1.0592000000000001E-2</v>
      </c>
      <c r="G94">
        <f t="shared" si="12"/>
        <v>1.0592000000000001E-2</v>
      </c>
      <c r="I94">
        <f t="shared" si="13"/>
        <v>1.0592000000000001E-2</v>
      </c>
      <c r="J94">
        <f t="shared" si="13"/>
        <v>1.0592000000000001E-2</v>
      </c>
      <c r="L94">
        <f>(0.2*0.8+0.2*0.8)*F25+0.2*0.2*J25+(1-0.2*0.8-0.2*0.8-0.2*0.2)*B25</f>
        <v>1.0592000000000001E-2</v>
      </c>
      <c r="O94" s="12"/>
      <c r="P94" s="13"/>
      <c r="Q94" t="s">
        <v>37</v>
      </c>
      <c r="R94">
        <f t="shared" si="14"/>
        <v>1.2282000000000001E-2</v>
      </c>
      <c r="S94">
        <f t="shared" si="14"/>
        <v>1.2282000000000001E-2</v>
      </c>
      <c r="U94">
        <f t="shared" si="15"/>
        <v>1.2282000000000001E-2</v>
      </c>
      <c r="V94">
        <f t="shared" si="15"/>
        <v>1.2282000000000001E-2</v>
      </c>
      <c r="X94">
        <f>(0.3*0.7+0.3*0.7)*F25+0.3*0.3*J25+(1-0.3*0.7-0.3*0.7-0.3*0.3)*B25</f>
        <v>1.2282000000000001E-2</v>
      </c>
    </row>
    <row r="97" spans="1:25" x14ac:dyDescent="0.25">
      <c r="D97" s="9" t="s">
        <v>12</v>
      </c>
      <c r="E97" s="9"/>
      <c r="F97" s="9"/>
      <c r="G97" s="9"/>
      <c r="H97" s="9"/>
      <c r="I97" s="10" t="s">
        <v>23</v>
      </c>
      <c r="J97" s="10"/>
      <c r="K97" s="10"/>
      <c r="L97" s="11" t="s">
        <v>24</v>
      </c>
      <c r="M97" s="11"/>
      <c r="P97" s="9" t="s">
        <v>12</v>
      </c>
      <c r="Q97" s="9"/>
      <c r="R97" s="9"/>
      <c r="S97" s="9"/>
      <c r="T97" s="9"/>
      <c r="U97" s="10" t="s">
        <v>23</v>
      </c>
      <c r="V97" s="10"/>
      <c r="W97" s="10"/>
      <c r="X97" s="11" t="s">
        <v>24</v>
      </c>
      <c r="Y97" s="11"/>
    </row>
    <row r="98" spans="1:25" x14ac:dyDescent="0.25"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14" t="s">
        <v>11</v>
      </c>
      <c r="B99" s="16" t="s">
        <v>44</v>
      </c>
      <c r="C99" s="12" t="s">
        <v>40</v>
      </c>
      <c r="D99" s="13" t="s">
        <v>33</v>
      </c>
      <c r="E99" t="s">
        <v>34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0</v>
      </c>
      <c r="H99">
        <f>Q11+M11+I11+E11</f>
        <v>0</v>
      </c>
      <c r="I99">
        <f t="shared" ref="I99:J101" si="17">3*0.05*(1-0.05)*(1-0.05)*G18+3*0.05*0.05*(1-0.05)*K18+0.05*0.05*0.05*O18+(1-3*0.05*(1-0.05)*(1-0.05)-3*0.05*0.05*(1-0.05)-0.05*0.05*0.05)*C18</f>
        <v>0</v>
      </c>
      <c r="J99">
        <f t="shared" si="17"/>
        <v>0</v>
      </c>
      <c r="K99">
        <f>Q18+M18+E18+I18</f>
        <v>0</v>
      </c>
      <c r="N99" s="16" t="s">
        <v>45</v>
      </c>
      <c r="O99" s="12" t="s">
        <v>41</v>
      </c>
      <c r="P99" s="13" t="s">
        <v>35</v>
      </c>
      <c r="Q99" t="s">
        <v>34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0</v>
      </c>
      <c r="U99">
        <f t="shared" ref="U99:V101" si="19">3*0.1*(1-0.1)*(1-0.1)*G18+3*0.1*0.1*(1-0.1)*K18+0.1*0.1*0.1*O18+(1-3*0.1*(1-0.1)*(1-0.1)-3*0.1*0.1*(1-0.1)-0.1*0.1*0.1)*C18</f>
        <v>0</v>
      </c>
      <c r="V99">
        <f t="shared" si="19"/>
        <v>0</v>
      </c>
    </row>
    <row r="100" spans="1:25" x14ac:dyDescent="0.25">
      <c r="A100" s="14"/>
      <c r="B100" s="16"/>
      <c r="C100" s="12"/>
      <c r="D100" s="13"/>
      <c r="E100" t="s">
        <v>36</v>
      </c>
      <c r="F100">
        <f t="shared" si="16"/>
        <v>0</v>
      </c>
      <c r="G100">
        <f t="shared" si="16"/>
        <v>0</v>
      </c>
      <c r="H100">
        <f>Q12+M12+I12+E12</f>
        <v>0</v>
      </c>
      <c r="I100">
        <f t="shared" si="17"/>
        <v>0</v>
      </c>
      <c r="J100">
        <f t="shared" si="17"/>
        <v>0</v>
      </c>
      <c r="K100">
        <f>Q19+M19+E19+I19</f>
        <v>0</v>
      </c>
      <c r="N100" s="16"/>
      <c r="O100" s="12"/>
      <c r="P100" s="13"/>
      <c r="Q100" t="s">
        <v>36</v>
      </c>
      <c r="R100">
        <f t="shared" si="18"/>
        <v>0</v>
      </c>
      <c r="S100">
        <f t="shared" si="18"/>
        <v>0</v>
      </c>
      <c r="U100">
        <f t="shared" si="19"/>
        <v>0</v>
      </c>
      <c r="V100">
        <f t="shared" si="19"/>
        <v>0</v>
      </c>
    </row>
    <row r="101" spans="1:25" x14ac:dyDescent="0.25">
      <c r="A101" s="14"/>
      <c r="B101" s="16"/>
      <c r="C101" s="12"/>
      <c r="D101" s="13"/>
      <c r="E101" t="s">
        <v>37</v>
      </c>
      <c r="F101" s="3">
        <f>3*0.05*(1-0.05)*(1-0.05)*G13+3*0.05*0.05*(1-0.05)*K13+0.05*0.05*0.05*O13+(1-3*0.05*(1-0.05)*(1-0.05)-3*0.05*0.05*(1-0.05)-0.05*0.05*0.05)*C13</f>
        <v>8.4735124999999988E-3</v>
      </c>
      <c r="G101">
        <f t="shared" si="16"/>
        <v>8.4735124999999988E-3</v>
      </c>
      <c r="H101">
        <f>Q13+M13+I13+E13</f>
        <v>4.5735740000000007</v>
      </c>
      <c r="I101">
        <f t="shared" si="17"/>
        <v>8.4735124999999988E-3</v>
      </c>
      <c r="J101">
        <f t="shared" si="17"/>
        <v>8.4735249999999991E-3</v>
      </c>
      <c r="K101">
        <f>Q20+M20+E20+I20</f>
        <v>4.4841039999999994</v>
      </c>
      <c r="L101">
        <f>3*0.05*(1-0.05)*(1-0.05)*F25+3*0.05*0.05*(1-0.05)*J25+0.05*0.05*0.05*N25+(1-3*0.05*(1-0.05)*(1-0.05)-3*0.05*0.05*(1-0.05)-0.05*0.05*0.05)*B25</f>
        <v>8.4735249999999991E-3</v>
      </c>
      <c r="M101">
        <f>Q25+M25+I25+E25</f>
        <v>7.1342040000000004</v>
      </c>
      <c r="N101" s="16"/>
      <c r="O101" s="12"/>
      <c r="P101" s="13"/>
      <c r="Q101" t="s">
        <v>37</v>
      </c>
      <c r="R101">
        <f t="shared" si="18"/>
        <v>9.7440999999999986E-3</v>
      </c>
      <c r="S101">
        <f t="shared" si="18"/>
        <v>9.7440999999999986E-3</v>
      </c>
      <c r="U101">
        <f t="shared" si="19"/>
        <v>9.7440999999999986E-3</v>
      </c>
      <c r="V101">
        <f t="shared" si="19"/>
        <v>9.7441999999999997E-3</v>
      </c>
      <c r="X101">
        <f>3*0.1*(1-0.1)*(1-0.1)*F25+3*0.1*0.1*(1-0.1)*J25+0.1*0.1*0.1*N25+(1-3*0.1*(1-0.1)*(1-0.1)-3*0.1*0.1*(1-0.1)-0.1*0.1*0.1)*B25</f>
        <v>9.7441999999999997E-3</v>
      </c>
    </row>
    <row r="102" spans="1:25" x14ac:dyDescent="0.25">
      <c r="A102" s="14"/>
    </row>
    <row r="103" spans="1:25" x14ac:dyDescent="0.25">
      <c r="A103" s="14"/>
    </row>
    <row r="104" spans="1:25" x14ac:dyDescent="0.25">
      <c r="A104" s="14"/>
    </row>
    <row r="105" spans="1:25" x14ac:dyDescent="0.25">
      <c r="A105" s="14"/>
      <c r="B105" s="16" t="s">
        <v>46</v>
      </c>
      <c r="C105" s="12" t="s">
        <v>42</v>
      </c>
      <c r="D105" s="13" t="s">
        <v>38</v>
      </c>
      <c r="E105" t="s">
        <v>34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0</v>
      </c>
      <c r="I105">
        <f t="shared" ref="I105:J107" si="21">3*0.2*(1-0.2)*(1-0.2)*G18+3*0.2*0.2*(1-0.2)*K18+0.2*0.2*0.2*O18+(1-3*0.2*(1-0.2)*(1-0.2)-3*0.2*0.2*(1-0.2)-0.2*0.2*0.2)*C18</f>
        <v>0</v>
      </c>
      <c r="J105">
        <f t="shared" si="21"/>
        <v>0</v>
      </c>
      <c r="N105" s="16" t="s">
        <v>47</v>
      </c>
      <c r="O105" s="12" t="s">
        <v>43</v>
      </c>
      <c r="P105" s="13" t="s">
        <v>39</v>
      </c>
      <c r="Q105" t="s">
        <v>34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0</v>
      </c>
      <c r="U105">
        <f t="shared" ref="U105:V107" si="23">3*0.3*(1-0.3)*(1-0.3)*G18+3*0.3*0.3*(1-0.3)*K18+0.3*0.3*0.3*O18+(1-3*0.3*(1-0.3)*(1-0.3)-3*0.3*0.3*(1-0.3)-0.3*0.3*0.3)*C18</f>
        <v>0</v>
      </c>
      <c r="V105">
        <f t="shared" si="23"/>
        <v>0</v>
      </c>
    </row>
    <row r="106" spans="1:25" x14ac:dyDescent="0.25">
      <c r="A106" s="14"/>
      <c r="B106" s="16"/>
      <c r="C106" s="12"/>
      <c r="D106" s="13"/>
      <c r="E106" t="s">
        <v>36</v>
      </c>
      <c r="F106">
        <f t="shared" si="20"/>
        <v>0</v>
      </c>
      <c r="G106">
        <f t="shared" si="20"/>
        <v>0</v>
      </c>
      <c r="I106">
        <f t="shared" si="21"/>
        <v>0</v>
      </c>
      <c r="J106">
        <f t="shared" si="21"/>
        <v>0</v>
      </c>
      <c r="N106" s="16"/>
      <c r="O106" s="12"/>
      <c r="P106" s="13"/>
      <c r="Q106" t="s">
        <v>36</v>
      </c>
      <c r="R106">
        <f t="shared" si="22"/>
        <v>0</v>
      </c>
      <c r="S106">
        <f t="shared" si="22"/>
        <v>0</v>
      </c>
      <c r="U106">
        <f t="shared" si="23"/>
        <v>0</v>
      </c>
      <c r="V106">
        <f t="shared" si="23"/>
        <v>0</v>
      </c>
    </row>
    <row r="107" spans="1:25" x14ac:dyDescent="0.25">
      <c r="A107" s="14"/>
      <c r="B107" s="16"/>
      <c r="C107" s="12"/>
      <c r="D107" s="13"/>
      <c r="E107" t="s">
        <v>37</v>
      </c>
      <c r="F107">
        <f t="shared" si="20"/>
        <v>1.2276800000000001E-2</v>
      </c>
      <c r="G107">
        <f t="shared" si="20"/>
        <v>1.2276800000000001E-2</v>
      </c>
      <c r="I107">
        <f t="shared" si="21"/>
        <v>1.2276800000000001E-2</v>
      </c>
      <c r="J107">
        <f t="shared" si="21"/>
        <v>1.2277600000000003E-2</v>
      </c>
      <c r="L107">
        <f>3*0.2*(1-0.2)*(1-0.2)*F25+3*0.2*0.2*(1-0.2)*J25+0.2*0.2*0.2*N25+(1-3*0.2*(1-0.2)*(1-0.2)-3*0.2*0.2*(1-0.2)-0.2*0.2*0.2)*B25</f>
        <v>1.2277600000000003E-2</v>
      </c>
      <c r="N107" s="16"/>
      <c r="O107" s="12"/>
      <c r="P107" s="13"/>
      <c r="Q107" t="s">
        <v>37</v>
      </c>
      <c r="R107">
        <f t="shared" si="22"/>
        <v>1.4798699999999998E-2</v>
      </c>
      <c r="S107">
        <f t="shared" si="22"/>
        <v>1.4798699999999998E-2</v>
      </c>
      <c r="U107">
        <f t="shared" si="23"/>
        <v>1.4798699999999998E-2</v>
      </c>
      <c r="V107">
        <f t="shared" si="23"/>
        <v>1.4801399999999999E-2</v>
      </c>
      <c r="X107">
        <f>3*0.3*(1-0.3)*(1-0.3)*F25+3*0.3*0.3*(1-0.3)*J25+0.3*0.3*0.3*N25+(1-3*0.3*(1-0.3)*(1-0.3)-3*0.3*0.3*(1-0.3)-0.3*0.3*0.3)*B25</f>
        <v>1.4801399999999999E-2</v>
      </c>
    </row>
    <row r="110" spans="1:25" x14ac:dyDescent="0.25">
      <c r="A110" s="1" t="s">
        <v>7</v>
      </c>
      <c r="D110" s="9" t="s">
        <v>12</v>
      </c>
      <c r="E110" s="9"/>
      <c r="F110" s="9"/>
      <c r="G110" s="9"/>
      <c r="H110" s="9"/>
      <c r="I110" s="10" t="s">
        <v>23</v>
      </c>
      <c r="J110" s="10"/>
      <c r="K110" s="10"/>
      <c r="L110" s="11" t="s">
        <v>24</v>
      </c>
      <c r="M110" s="11"/>
      <c r="N110" s="2"/>
      <c r="P110" s="9" t="s">
        <v>12</v>
      </c>
      <c r="Q110" s="9"/>
      <c r="R110" s="9"/>
      <c r="S110" s="9"/>
      <c r="T110" s="9"/>
      <c r="U110" s="10" t="s">
        <v>23</v>
      </c>
      <c r="V110" s="10"/>
      <c r="W110" s="10"/>
      <c r="X110" s="11" t="s">
        <v>24</v>
      </c>
      <c r="Y110" s="11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14" t="s">
        <v>9</v>
      </c>
      <c r="D112" s="13" t="s">
        <v>33</v>
      </c>
      <c r="E112" t="s">
        <v>34</v>
      </c>
      <c r="F112">
        <f t="shared" ref="F112:G114" si="24">0.05*Y11+(1-0.05)*U11</f>
        <v>0</v>
      </c>
      <c r="G112">
        <f t="shared" si="24"/>
        <v>0</v>
      </c>
      <c r="H112">
        <f>AA11+W11</f>
        <v>0</v>
      </c>
      <c r="I112">
        <f t="shared" ref="I112:J114" si="25">0.05*Y18+(1-0.05)*U18</f>
        <v>0</v>
      </c>
      <c r="J112">
        <f t="shared" si="25"/>
        <v>0</v>
      </c>
      <c r="K112">
        <f>AA18+W18</f>
        <v>0</v>
      </c>
      <c r="P112" s="13" t="s">
        <v>35</v>
      </c>
      <c r="Q112" t="s">
        <v>34</v>
      </c>
      <c r="R112">
        <f t="shared" ref="R112:S114" si="26">0.1*Y11+(1-0.1)*U11</f>
        <v>0</v>
      </c>
      <c r="S112">
        <f t="shared" si="26"/>
        <v>0</v>
      </c>
      <c r="U112">
        <f t="shared" ref="U112:V114" si="27">0.1*Y18+(1-0.1)*U18</f>
        <v>0</v>
      </c>
      <c r="V112">
        <f t="shared" si="27"/>
        <v>0</v>
      </c>
    </row>
    <row r="113" spans="2:25" x14ac:dyDescent="0.25">
      <c r="C113" s="14"/>
      <c r="D113" s="13"/>
      <c r="E113" t="s">
        <v>36</v>
      </c>
      <c r="F113">
        <f t="shared" si="24"/>
        <v>0</v>
      </c>
      <c r="G113">
        <f t="shared" si="24"/>
        <v>0</v>
      </c>
      <c r="H113">
        <f>AA12+W12</f>
        <v>0</v>
      </c>
      <c r="I113">
        <f t="shared" si="25"/>
        <v>0</v>
      </c>
      <c r="J113">
        <f t="shared" si="25"/>
        <v>0</v>
      </c>
      <c r="K113">
        <f>AA19+W19</f>
        <v>0</v>
      </c>
      <c r="P113" s="13"/>
      <c r="Q113" t="s">
        <v>36</v>
      </c>
      <c r="R113">
        <f t="shared" si="26"/>
        <v>0</v>
      </c>
      <c r="S113">
        <f t="shared" si="26"/>
        <v>0</v>
      </c>
      <c r="U113">
        <f t="shared" si="27"/>
        <v>0</v>
      </c>
      <c r="V113">
        <f t="shared" si="27"/>
        <v>0</v>
      </c>
    </row>
    <row r="114" spans="2:25" x14ac:dyDescent="0.25">
      <c r="C114" s="14"/>
      <c r="D114" s="13"/>
      <c r="E114" t="s">
        <v>37</v>
      </c>
      <c r="F114">
        <f t="shared" si="24"/>
        <v>7.3099999999999988E-3</v>
      </c>
      <c r="G114">
        <f t="shared" si="24"/>
        <v>7.3149999999999995E-3</v>
      </c>
      <c r="H114">
        <f>AA13+W13</f>
        <v>1.8479179999999999</v>
      </c>
      <c r="I114">
        <f t="shared" si="25"/>
        <v>7.3149999999999995E-3</v>
      </c>
      <c r="J114">
        <f t="shared" si="25"/>
        <v>7.3149999999999995E-3</v>
      </c>
      <c r="K114">
        <f>AA20+W20</f>
        <v>2.2294659999999999</v>
      </c>
      <c r="L114">
        <f>0.05*X25+(1-0.05)*T25</f>
        <v>7.3099999999999988E-3</v>
      </c>
      <c r="M114">
        <f>AA25+W25</f>
        <v>4.102989</v>
      </c>
      <c r="P114" s="13"/>
      <c r="Q114" t="s">
        <v>37</v>
      </c>
      <c r="R114">
        <f t="shared" si="26"/>
        <v>7.7200000000000003E-3</v>
      </c>
      <c r="S114">
        <f t="shared" si="26"/>
        <v>7.7300000000000008E-3</v>
      </c>
      <c r="U114">
        <f t="shared" si="27"/>
        <v>7.7300000000000008E-3</v>
      </c>
      <c r="V114">
        <f t="shared" si="27"/>
        <v>7.7300000000000008E-3</v>
      </c>
      <c r="X114">
        <f>0.1*X25+(1-0.1)*T25</f>
        <v>7.7200000000000003E-3</v>
      </c>
    </row>
    <row r="115" spans="2:25" x14ac:dyDescent="0.25">
      <c r="C115" s="14"/>
    </row>
    <row r="116" spans="2:25" x14ac:dyDescent="0.25">
      <c r="C116" s="14"/>
    </row>
    <row r="117" spans="2:25" x14ac:dyDescent="0.25">
      <c r="C117" s="14"/>
    </row>
    <row r="118" spans="2:25" x14ac:dyDescent="0.25">
      <c r="C118" s="14"/>
      <c r="D118" s="13" t="s">
        <v>38</v>
      </c>
      <c r="E118" t="s">
        <v>34</v>
      </c>
      <c r="F118">
        <f t="shared" ref="F118:G120" si="28">0.2*Y11+(1-0.2)*U11</f>
        <v>0</v>
      </c>
      <c r="G118">
        <f t="shared" si="28"/>
        <v>0</v>
      </c>
      <c r="I118">
        <f t="shared" ref="I118:J120" si="29">0.2*Y18+(1-0.2)*U18</f>
        <v>0</v>
      </c>
      <c r="J118">
        <f t="shared" si="29"/>
        <v>0</v>
      </c>
      <c r="P118" s="13" t="s">
        <v>39</v>
      </c>
      <c r="Q118" t="s">
        <v>34</v>
      </c>
      <c r="R118">
        <f t="shared" ref="R118:S120" si="30">0.3*Y11+(1-0.3)*U11</f>
        <v>0</v>
      </c>
      <c r="S118">
        <f t="shared" si="30"/>
        <v>0</v>
      </c>
      <c r="U118">
        <f t="shared" ref="U118:V120" si="31">0.3*Y18+(1-0.3)*U18</f>
        <v>0</v>
      </c>
      <c r="V118">
        <f t="shared" si="31"/>
        <v>0</v>
      </c>
    </row>
    <row r="119" spans="2:25" x14ac:dyDescent="0.25">
      <c r="C119" s="14"/>
      <c r="D119" s="13"/>
      <c r="E119" t="s">
        <v>36</v>
      </c>
      <c r="F119">
        <f t="shared" si="28"/>
        <v>0</v>
      </c>
      <c r="G119">
        <f t="shared" si="28"/>
        <v>0</v>
      </c>
      <c r="I119">
        <f t="shared" si="29"/>
        <v>0</v>
      </c>
      <c r="J119">
        <f t="shared" si="29"/>
        <v>0</v>
      </c>
      <c r="P119" s="13"/>
      <c r="Q119" t="s">
        <v>36</v>
      </c>
      <c r="R119">
        <f t="shared" si="30"/>
        <v>0</v>
      </c>
      <c r="S119">
        <f t="shared" si="30"/>
        <v>0</v>
      </c>
      <c r="U119">
        <f t="shared" si="31"/>
        <v>0</v>
      </c>
      <c r="V119">
        <f t="shared" si="31"/>
        <v>0</v>
      </c>
    </row>
    <row r="120" spans="2:25" x14ac:dyDescent="0.25">
      <c r="C120" s="14"/>
      <c r="D120" s="13"/>
      <c r="E120" t="s">
        <v>37</v>
      </c>
      <c r="F120">
        <f t="shared" si="28"/>
        <v>8.5400000000000007E-3</v>
      </c>
      <c r="G120">
        <f t="shared" si="28"/>
        <v>8.5600000000000016E-3</v>
      </c>
      <c r="I120">
        <f t="shared" si="29"/>
        <v>8.5600000000000016E-3</v>
      </c>
      <c r="J120">
        <f t="shared" si="29"/>
        <v>8.5600000000000016E-3</v>
      </c>
      <c r="L120">
        <f>0.2*X25+(1-0.2)*T25</f>
        <v>8.5400000000000007E-3</v>
      </c>
      <c r="P120" s="13"/>
      <c r="Q120" t="s">
        <v>37</v>
      </c>
      <c r="R120">
        <f t="shared" si="30"/>
        <v>9.3600000000000003E-3</v>
      </c>
      <c r="S120">
        <f t="shared" si="30"/>
        <v>9.389999999999999E-3</v>
      </c>
      <c r="U120">
        <f t="shared" si="31"/>
        <v>9.389999999999999E-3</v>
      </c>
      <c r="V120">
        <f t="shared" si="31"/>
        <v>9.389999999999999E-3</v>
      </c>
      <c r="X120">
        <f>0.3*X25+(1-0.3)*T25</f>
        <v>9.3600000000000003E-3</v>
      </c>
    </row>
    <row r="123" spans="2:25" x14ac:dyDescent="0.25">
      <c r="D123" s="9" t="s">
        <v>12</v>
      </c>
      <c r="E123" s="9"/>
      <c r="F123" s="9"/>
      <c r="G123" s="9"/>
      <c r="H123" s="9"/>
      <c r="I123" s="10" t="s">
        <v>23</v>
      </c>
      <c r="J123" s="10"/>
      <c r="K123" s="10"/>
      <c r="L123" s="11" t="s">
        <v>24</v>
      </c>
      <c r="M123" s="11"/>
      <c r="P123" s="9" t="s">
        <v>12</v>
      </c>
      <c r="Q123" s="9"/>
      <c r="R123" s="9"/>
      <c r="S123" s="9"/>
      <c r="T123" s="9"/>
      <c r="U123" s="10" t="s">
        <v>23</v>
      </c>
      <c r="V123" s="10"/>
      <c r="W123" s="10"/>
      <c r="X123" s="11" t="s">
        <v>24</v>
      </c>
      <c r="Y123" s="11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14" t="s">
        <v>10</v>
      </c>
      <c r="C125" s="12" t="s">
        <v>40</v>
      </c>
      <c r="D125" s="13" t="s">
        <v>33</v>
      </c>
      <c r="E125" t="s">
        <v>34</v>
      </c>
      <c r="F125">
        <f t="shared" ref="F125:G127" si="32">(0.05*(1-0.05)+0.05*(1-0.05))*Y11+0.05*0.05*AC11+(1-0.05*(1-0.05)-0.05*(1-0.05)-0.05*0.05)*U11</f>
        <v>0</v>
      </c>
      <c r="G125">
        <f t="shared" si="32"/>
        <v>0</v>
      </c>
      <c r="H125">
        <f>AE11+AA11+W11</f>
        <v>0</v>
      </c>
      <c r="I125">
        <f t="shared" ref="I125:J127" si="33">(0.05*(1-0.05)+0.05*(1-0.05))*Y18+0.05*0.05*AC18+(1-0.05*(1-0.05)-0.05*(1-0.05)-0.05*0.05)*U18</f>
        <v>0</v>
      </c>
      <c r="J125">
        <f t="shared" si="33"/>
        <v>0</v>
      </c>
      <c r="K125">
        <f>AE18+AA18+W18</f>
        <v>0</v>
      </c>
      <c r="O125" s="12" t="s">
        <v>41</v>
      </c>
      <c r="P125" s="13" t="s">
        <v>35</v>
      </c>
      <c r="Q125" t="s">
        <v>34</v>
      </c>
      <c r="R125">
        <f t="shared" ref="R125:S127" si="34">(0.1*0.9+0.1*0.9)*Y11+0.1*0.1*AC11+(1-0.1*0.9-0.1*0.9-0.1*0.1)*U11</f>
        <v>0</v>
      </c>
      <c r="S125">
        <f t="shared" si="34"/>
        <v>0</v>
      </c>
      <c r="U125">
        <f t="shared" ref="U125:V127" si="35">(0.1*0.9+0.1*0.9)*Y18+0.1*0.1*AC18+(1-0.1*0.9-0.1*0.9-0.1*0.1)*U18</f>
        <v>0</v>
      </c>
      <c r="V125">
        <f t="shared" si="35"/>
        <v>0</v>
      </c>
    </row>
    <row r="126" spans="2:25" x14ac:dyDescent="0.25">
      <c r="B126" s="14"/>
      <c r="C126" s="12"/>
      <c r="D126" s="13"/>
      <c r="E126" t="s">
        <v>36</v>
      </c>
      <c r="F126">
        <f t="shared" si="32"/>
        <v>0</v>
      </c>
      <c r="G126">
        <f t="shared" si="32"/>
        <v>0</v>
      </c>
      <c r="H126">
        <f>AE12+AA12+W12</f>
        <v>0</v>
      </c>
      <c r="I126">
        <f t="shared" si="33"/>
        <v>0</v>
      </c>
      <c r="J126">
        <f t="shared" si="33"/>
        <v>0</v>
      </c>
      <c r="K126">
        <f>AE19+AA19+W19</f>
        <v>0</v>
      </c>
      <c r="O126" s="12"/>
      <c r="P126" s="13"/>
      <c r="Q126" t="s">
        <v>36</v>
      </c>
      <c r="R126">
        <f t="shared" si="34"/>
        <v>0</v>
      </c>
      <c r="S126">
        <f t="shared" si="34"/>
        <v>0</v>
      </c>
      <c r="U126">
        <f t="shared" si="35"/>
        <v>0</v>
      </c>
      <c r="V126">
        <f t="shared" si="35"/>
        <v>0</v>
      </c>
    </row>
    <row r="127" spans="2:25" x14ac:dyDescent="0.25">
      <c r="B127" s="14"/>
      <c r="C127" s="12"/>
      <c r="D127" s="13"/>
      <c r="E127" t="s">
        <v>37</v>
      </c>
      <c r="F127">
        <f t="shared" si="32"/>
        <v>7.7192500000000004E-3</v>
      </c>
      <c r="G127">
        <f t="shared" si="32"/>
        <v>7.7289999999999998E-3</v>
      </c>
      <c r="H127">
        <f>AE13+AA13+W13</f>
        <v>2.7767729999999999</v>
      </c>
      <c r="I127">
        <f t="shared" si="33"/>
        <v>7.7287500000000004E-3</v>
      </c>
      <c r="J127">
        <f t="shared" si="33"/>
        <v>7.7289999999999998E-3</v>
      </c>
      <c r="K127">
        <f>AE20+AA20+W20</f>
        <v>3.349564</v>
      </c>
      <c r="L127">
        <f>(0.05*(1-0.05)+0.05*(1-0.05))*X25+0.05*0.05*AB25+(1-0.05*(1-0.05)-0.05*(1-0.05)-0.05*0.05)*T25</f>
        <v>7.7195000000000007E-3</v>
      </c>
      <c r="M127">
        <f>AE25+AA25+W25</f>
        <v>6.1574660000000003</v>
      </c>
      <c r="O127" s="12"/>
      <c r="P127" s="13"/>
      <c r="Q127" t="s">
        <v>37</v>
      </c>
      <c r="R127">
        <f t="shared" si="34"/>
        <v>8.5370000000000012E-3</v>
      </c>
      <c r="S127">
        <f t="shared" si="34"/>
        <v>8.5560000000000011E-3</v>
      </c>
      <c r="U127">
        <f t="shared" si="35"/>
        <v>8.5550000000000001E-3</v>
      </c>
      <c r="V127">
        <f t="shared" si="35"/>
        <v>8.5560000000000011E-3</v>
      </c>
      <c r="X127">
        <f>(0.1*0.9+0.1*0.9)*X25+0.1*0.1*AB25+(1-0.1*0.9-0.1*0.9-0.1*0.1)*T25</f>
        <v>8.5380000000000005E-3</v>
      </c>
    </row>
    <row r="128" spans="2:25" x14ac:dyDescent="0.25">
      <c r="B128" s="14"/>
    </row>
    <row r="129" spans="1:25" x14ac:dyDescent="0.25">
      <c r="B129" s="14"/>
    </row>
    <row r="130" spans="1:25" x14ac:dyDescent="0.25">
      <c r="B130" s="14"/>
    </row>
    <row r="131" spans="1:25" x14ac:dyDescent="0.25">
      <c r="B131" s="14"/>
      <c r="C131" s="12" t="s">
        <v>42</v>
      </c>
      <c r="D131" s="13" t="s">
        <v>38</v>
      </c>
      <c r="E131" t="s">
        <v>34</v>
      </c>
      <c r="F131">
        <f t="shared" ref="F131:G133" si="36">(0.2*0.8+0.2*0.8)*Y11+0.2*0.2*AC11+(1-0.2*0.8-0.2*0.8-0.2*0.2)*U11</f>
        <v>0</v>
      </c>
      <c r="G131">
        <f t="shared" si="36"/>
        <v>0</v>
      </c>
      <c r="I131">
        <f t="shared" ref="I131:J133" si="37">(0.2*0.8+0.2*0.8)*Y18+0.2*0.2*AC18+(1-0.2*0.8-0.2*0.8-0.2*0.2)*U18</f>
        <v>0</v>
      </c>
      <c r="J131">
        <f t="shared" si="37"/>
        <v>0</v>
      </c>
      <c r="O131" s="12" t="s">
        <v>43</v>
      </c>
      <c r="P131" s="13" t="s">
        <v>39</v>
      </c>
      <c r="Q131" t="s">
        <v>34</v>
      </c>
      <c r="R131">
        <f t="shared" ref="R131:S133" si="38">(0.3*0.7+0.3*0.7)*Y11+0.3*0.3*AC11+(1-0.3*0.7-0.3*0.7-0.3*0.3)*U11</f>
        <v>0</v>
      </c>
      <c r="S131">
        <f t="shared" si="38"/>
        <v>0</v>
      </c>
      <c r="U131">
        <f t="shared" ref="U131:V133" si="39">(0.3*0.7+0.3*0.7)*Y18+0.3*0.3*AC18+(1-0.3*0.7-0.3*0.7-0.3*0.3)*U18</f>
        <v>0</v>
      </c>
      <c r="V131">
        <f t="shared" si="39"/>
        <v>0</v>
      </c>
    </row>
    <row r="132" spans="1:25" x14ac:dyDescent="0.25">
      <c r="B132" s="14"/>
      <c r="C132" s="12"/>
      <c r="D132" s="13"/>
      <c r="E132" t="s">
        <v>36</v>
      </c>
      <c r="F132">
        <f t="shared" si="36"/>
        <v>0</v>
      </c>
      <c r="G132">
        <f t="shared" si="36"/>
        <v>0</v>
      </c>
      <c r="I132">
        <f t="shared" si="37"/>
        <v>0</v>
      </c>
      <c r="J132">
        <f t="shared" si="37"/>
        <v>0</v>
      </c>
      <c r="O132" s="12"/>
      <c r="P132" s="13"/>
      <c r="Q132" t="s">
        <v>36</v>
      </c>
      <c r="R132">
        <f t="shared" si="38"/>
        <v>0</v>
      </c>
      <c r="S132">
        <f t="shared" si="38"/>
        <v>0</v>
      </c>
      <c r="U132">
        <f t="shared" si="39"/>
        <v>0</v>
      </c>
      <c r="V132">
        <f t="shared" si="39"/>
        <v>0</v>
      </c>
    </row>
    <row r="133" spans="1:25" x14ac:dyDescent="0.25">
      <c r="B133" s="14"/>
      <c r="C133" s="12"/>
      <c r="D133" s="13"/>
      <c r="E133" t="s">
        <v>37</v>
      </c>
      <c r="F133">
        <f t="shared" si="36"/>
        <v>1.0168E-2</v>
      </c>
      <c r="G133">
        <f t="shared" si="36"/>
        <v>1.0204000000000001E-2</v>
      </c>
      <c r="I133">
        <f t="shared" si="37"/>
        <v>1.0200000000000001E-2</v>
      </c>
      <c r="J133">
        <f t="shared" si="37"/>
        <v>1.0204000000000001E-2</v>
      </c>
      <c r="L133">
        <f>(0.2*0.8+0.2*0.8)*X25+0.2*0.2*AB25+(1-0.2*0.8-0.2*0.8-0.2*0.2)*T25</f>
        <v>1.0172E-2</v>
      </c>
      <c r="O133" s="12"/>
      <c r="P133" s="13"/>
      <c r="Q133" t="s">
        <v>37</v>
      </c>
      <c r="R133">
        <f t="shared" si="38"/>
        <v>1.1793E-2</v>
      </c>
      <c r="S133">
        <f t="shared" si="38"/>
        <v>1.1844E-2</v>
      </c>
      <c r="U133">
        <f t="shared" si="39"/>
        <v>1.1835E-2</v>
      </c>
      <c r="V133">
        <f t="shared" si="39"/>
        <v>1.1844E-2</v>
      </c>
      <c r="X133">
        <f>(0.3*0.7+0.3*0.7)*X25+0.3*0.3*AB25+(1-0.3*0.7-0.3*0.7-0.3*0.3)*T25</f>
        <v>1.1802E-2</v>
      </c>
    </row>
    <row r="136" spans="1:25" x14ac:dyDescent="0.25">
      <c r="D136" s="9" t="s">
        <v>12</v>
      </c>
      <c r="E136" s="9"/>
      <c r="F136" s="9"/>
      <c r="G136" s="9"/>
      <c r="H136" s="9"/>
      <c r="I136" s="10" t="s">
        <v>23</v>
      </c>
      <c r="J136" s="10"/>
      <c r="K136" s="10"/>
      <c r="L136" s="11" t="s">
        <v>24</v>
      </c>
      <c r="M136" s="11"/>
      <c r="P136" s="9" t="s">
        <v>12</v>
      </c>
      <c r="Q136" s="9"/>
      <c r="R136" s="9"/>
      <c r="S136" s="9"/>
      <c r="T136" s="9"/>
      <c r="U136" s="10" t="s">
        <v>23</v>
      </c>
      <c r="V136" s="10"/>
      <c r="W136" s="10"/>
      <c r="X136" s="11" t="s">
        <v>24</v>
      </c>
      <c r="Y136" s="11"/>
    </row>
    <row r="137" spans="1:25" x14ac:dyDescent="0.25"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14" t="s">
        <v>11</v>
      </c>
      <c r="B138" s="16" t="s">
        <v>44</v>
      </c>
      <c r="C138" s="12" t="s">
        <v>40</v>
      </c>
      <c r="D138" s="13" t="s">
        <v>33</v>
      </c>
      <c r="E138" t="s">
        <v>34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0</v>
      </c>
      <c r="H138">
        <f>AI11+AE11+AA11+W11</f>
        <v>0</v>
      </c>
      <c r="I138">
        <f t="shared" ref="I138:J140" si="41">3*0.05*(1-0.05)*(1-0.05)*Y18+3*0.05*0.05*(1-0.05)*AC18+0.05*0.05*0.05*AG18+(1-3*0.05*(1-0.05)*(1-0.05)-3*0.05*0.05*(1-0.05)-0.05*0.05*0.05)*U18</f>
        <v>0</v>
      </c>
      <c r="J138">
        <f t="shared" si="41"/>
        <v>0</v>
      </c>
      <c r="K138">
        <f>AI18+AE18+AA18+W18</f>
        <v>0</v>
      </c>
      <c r="N138" s="16" t="s">
        <v>45</v>
      </c>
      <c r="O138" s="12" t="s">
        <v>41</v>
      </c>
      <c r="P138" s="13" t="s">
        <v>35</v>
      </c>
      <c r="Q138" t="s">
        <v>34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0</v>
      </c>
      <c r="U138">
        <f t="shared" ref="U138:V140" si="43">3*0.1*(1-0.1)*(1-0.1)*Y18+3*0.1*0.1*(1-0.1)*AC18+0.1*0.1*0.1*AG18+(1-3*0.1*(1-0.1)*(1-0.1)-3*0.1*0.1*(1-0.1)-0.1*0.1*0.1)*U18</f>
        <v>0</v>
      </c>
      <c r="V138">
        <f t="shared" si="43"/>
        <v>0</v>
      </c>
    </row>
    <row r="139" spans="1:25" x14ac:dyDescent="0.25">
      <c r="A139" s="14"/>
      <c r="B139" s="16"/>
      <c r="C139" s="12"/>
      <c r="D139" s="13"/>
      <c r="E139" t="s">
        <v>36</v>
      </c>
      <c r="F139">
        <f t="shared" si="40"/>
        <v>0</v>
      </c>
      <c r="G139">
        <f t="shared" si="40"/>
        <v>0</v>
      </c>
      <c r="H139">
        <f>AI12+AE12+AA12+W12</f>
        <v>0</v>
      </c>
      <c r="I139">
        <f t="shared" si="41"/>
        <v>0</v>
      </c>
      <c r="J139">
        <f t="shared" si="41"/>
        <v>0</v>
      </c>
      <c r="K139">
        <f>AI19+AE19+AA19+W19</f>
        <v>0</v>
      </c>
      <c r="N139" s="16"/>
      <c r="O139" s="12"/>
      <c r="P139" s="13"/>
      <c r="Q139" t="s">
        <v>36</v>
      </c>
      <c r="R139">
        <f t="shared" si="42"/>
        <v>0</v>
      </c>
      <c r="S139">
        <f t="shared" si="42"/>
        <v>0</v>
      </c>
      <c r="U139">
        <f t="shared" si="43"/>
        <v>0</v>
      </c>
      <c r="V139">
        <f t="shared" si="43"/>
        <v>0</v>
      </c>
    </row>
    <row r="140" spans="1:25" x14ac:dyDescent="0.25">
      <c r="A140" s="14"/>
      <c r="B140" s="16"/>
      <c r="C140" s="12"/>
      <c r="D140" s="13"/>
      <c r="E140" t="s">
        <v>37</v>
      </c>
      <c r="F140">
        <f t="shared" si="40"/>
        <v>8.1277499999999996E-3</v>
      </c>
      <c r="G140">
        <f t="shared" si="40"/>
        <v>8.1420124999999986E-3</v>
      </c>
      <c r="H140">
        <f>AI13+AE13+AA13+W13</f>
        <v>3.8960029999999999</v>
      </c>
      <c r="I140">
        <f t="shared" si="41"/>
        <v>8.1412874999999985E-3</v>
      </c>
      <c r="J140">
        <f t="shared" si="41"/>
        <v>8.1420124999999986E-3</v>
      </c>
      <c r="K140">
        <f>AI20+AE20+AA20+W20</f>
        <v>4.4773180000000004</v>
      </c>
      <c r="L140">
        <f>3*0.05*(1-0.05)*(1-0.05)*X25+3*0.05*0.05*(1-0.05)*AB25+0.05*0.05*0.05*AF25+(1-3*0.05*(1-0.05)*(1-0.05)-3*0.05*0.05*(1-0.05)-0.05*0.05*0.05)*T25</f>
        <v>8.1284624999999992E-3</v>
      </c>
      <c r="M140">
        <f>AI25+AE25+AA25+W25</f>
        <v>8.2155860000000001</v>
      </c>
      <c r="N140" s="16"/>
      <c r="O140" s="12"/>
      <c r="P140" s="13"/>
      <c r="Q140" t="s">
        <v>37</v>
      </c>
      <c r="R140">
        <f t="shared" si="42"/>
        <v>9.3510000000000017E-3</v>
      </c>
      <c r="S140">
        <f t="shared" si="42"/>
        <v>9.3781000000000003E-3</v>
      </c>
      <c r="U140">
        <f t="shared" si="43"/>
        <v>9.3753000000000013E-3</v>
      </c>
      <c r="V140">
        <f t="shared" si="43"/>
        <v>9.3781000000000003E-3</v>
      </c>
      <c r="X140">
        <f>3*0.1*(1-0.1)*(1-0.1)*X25+3*0.1*0.1*(1-0.1)*AB25+0.1*0.1*0.1*AF25+(1-3*0.1*(1-0.1)*(1-0.1)-3*0.1*0.1*(1-0.1)-0.1*0.1*0.1)*T25</f>
        <v>9.3537000000000012E-3</v>
      </c>
    </row>
    <row r="141" spans="1:25" x14ac:dyDescent="0.25">
      <c r="A141" s="14"/>
    </row>
    <row r="142" spans="1:25" x14ac:dyDescent="0.25">
      <c r="A142" s="14"/>
    </row>
    <row r="143" spans="1:25" x14ac:dyDescent="0.25">
      <c r="A143" s="14"/>
    </row>
    <row r="144" spans="1:25" x14ac:dyDescent="0.25">
      <c r="A144" s="14"/>
      <c r="B144" s="16" t="s">
        <v>46</v>
      </c>
      <c r="C144" s="12" t="s">
        <v>42</v>
      </c>
      <c r="D144" s="13" t="s">
        <v>38</v>
      </c>
      <c r="E144" t="s">
        <v>34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0</v>
      </c>
      <c r="I144">
        <f t="shared" ref="I144:J146" si="45">3*0.2*(1-0.2)*(1-0.2)*Y18+3*0.2*0.2*(1-0.2)*AC18+0.2*0.2*0.2*AG18+(1-3*0.2*(1-0.2)*(1-0.2)-3*0.2*0.2*(1-0.2)-0.2*0.2*0.2)*U18</f>
        <v>0</v>
      </c>
      <c r="J144">
        <f t="shared" si="45"/>
        <v>0</v>
      </c>
      <c r="N144" s="16" t="s">
        <v>47</v>
      </c>
      <c r="O144" s="12" t="s">
        <v>43</v>
      </c>
      <c r="P144" s="13" t="s">
        <v>39</v>
      </c>
      <c r="Q144" t="s">
        <v>34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0</v>
      </c>
      <c r="U144">
        <f t="shared" ref="U144:V146" si="47">3*0.3*(1-0.3)*(1-0.3)*Y18+3*0.3*0.3*(1-0.3)*AC18+0.3*0.3*0.3*AG18+(1-3*0.3*(1-0.3)*(1-0.3)-3*0.3*0.3*(1-0.3)-0.3*0.3*0.3)*U18</f>
        <v>0</v>
      </c>
      <c r="V144">
        <f t="shared" si="47"/>
        <v>0</v>
      </c>
    </row>
    <row r="145" spans="1:25" x14ac:dyDescent="0.25">
      <c r="A145" s="14"/>
      <c r="B145" s="16"/>
      <c r="C145" s="12"/>
      <c r="D145" s="13"/>
      <c r="E145" t="s">
        <v>36</v>
      </c>
      <c r="F145">
        <f t="shared" si="44"/>
        <v>0</v>
      </c>
      <c r="G145">
        <f t="shared" si="44"/>
        <v>0</v>
      </c>
      <c r="I145">
        <f t="shared" si="45"/>
        <v>0</v>
      </c>
      <c r="J145">
        <f t="shared" si="45"/>
        <v>0</v>
      </c>
      <c r="N145" s="16"/>
      <c r="O145" s="12"/>
      <c r="P145" s="13"/>
      <c r="Q145" t="s">
        <v>36</v>
      </c>
      <c r="R145">
        <f t="shared" si="46"/>
        <v>0</v>
      </c>
      <c r="S145">
        <f t="shared" si="46"/>
        <v>0</v>
      </c>
      <c r="U145">
        <f t="shared" si="47"/>
        <v>0</v>
      </c>
      <c r="V145">
        <f t="shared" si="47"/>
        <v>0</v>
      </c>
    </row>
    <row r="146" spans="1:25" x14ac:dyDescent="0.25">
      <c r="A146" s="14"/>
      <c r="B146" s="16"/>
      <c r="C146" s="12"/>
      <c r="D146" s="13"/>
      <c r="E146" t="s">
        <v>37</v>
      </c>
      <c r="F146">
        <f t="shared" si="44"/>
        <v>1.1784000000000003E-2</v>
      </c>
      <c r="G146">
        <f t="shared" si="44"/>
        <v>1.1832800000000001E-2</v>
      </c>
      <c r="I146">
        <f t="shared" si="45"/>
        <v>1.18224E-2</v>
      </c>
      <c r="J146">
        <f t="shared" si="45"/>
        <v>1.1832800000000001E-2</v>
      </c>
      <c r="L146">
        <f>3*0.2*(1-0.2)*(1-0.2)*X25+3*0.2*0.2*(1-0.2)*AB25+0.2*0.2*0.2*AF25+(1-3*0.2*(1-0.2)*(1-0.2)-3*0.2*0.2*(1-0.2)-0.2*0.2*0.2)*T25</f>
        <v>1.1793600000000001E-2</v>
      </c>
      <c r="N146" s="16"/>
      <c r="O146" s="12"/>
      <c r="P146" s="13"/>
      <c r="Q146" t="s">
        <v>37</v>
      </c>
      <c r="R146">
        <f t="shared" si="46"/>
        <v>1.4198999999999998E-2</v>
      </c>
      <c r="S146">
        <f t="shared" si="46"/>
        <v>1.42647E-2</v>
      </c>
      <c r="U146">
        <f t="shared" si="47"/>
        <v>1.4243099999999998E-2</v>
      </c>
      <c r="V146">
        <f t="shared" si="47"/>
        <v>1.42647E-2</v>
      </c>
      <c r="X146">
        <f>3*0.3*(1-0.3)*(1-0.3)*X25+3*0.3*0.3*(1-0.3)*AB25+0.3*0.3*0.3*AF25+(1-3*0.3*(1-0.3)*(1-0.3)-3*0.3*0.3*(1-0.3)-0.3*0.3*0.3)*T25</f>
        <v>1.4217899999999997E-2</v>
      </c>
    </row>
    <row r="149" spans="1:25" x14ac:dyDescent="0.25">
      <c r="A149" s="1" t="s">
        <v>26</v>
      </c>
      <c r="D149" s="9" t="s">
        <v>12</v>
      </c>
      <c r="E149" s="9"/>
      <c r="F149" s="9"/>
      <c r="G149" s="9"/>
      <c r="H149" s="9"/>
      <c r="I149" s="10" t="s">
        <v>23</v>
      </c>
      <c r="J149" s="10"/>
      <c r="K149" s="10"/>
      <c r="L149" s="11" t="s">
        <v>24</v>
      </c>
      <c r="M149" s="11"/>
      <c r="N149" s="2"/>
      <c r="P149" s="9" t="s">
        <v>12</v>
      </c>
      <c r="Q149" s="9"/>
      <c r="R149" s="9"/>
      <c r="S149" s="9"/>
      <c r="T149" s="9"/>
      <c r="U149" s="10" t="s">
        <v>23</v>
      </c>
      <c r="V149" s="10"/>
      <c r="W149" s="10"/>
      <c r="X149" s="11" t="s">
        <v>24</v>
      </c>
      <c r="Y149" s="11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14" t="s">
        <v>9</v>
      </c>
      <c r="D151" s="13" t="s">
        <v>33</v>
      </c>
      <c r="E151" t="s">
        <v>34</v>
      </c>
      <c r="F151">
        <f t="shared" ref="F151:G152" si="48">0.05*G32+(1-0.05)*C32</f>
        <v>0</v>
      </c>
      <c r="G151">
        <f t="shared" si="48"/>
        <v>0</v>
      </c>
      <c r="H151">
        <f>I32++E32</f>
        <v>0</v>
      </c>
      <c r="I151">
        <f t="shared" ref="I151:J153" si="49">0.05*G39+(1-0.05)*C39</f>
        <v>0</v>
      </c>
      <c r="J151">
        <f t="shared" si="49"/>
        <v>0</v>
      </c>
      <c r="K151">
        <f>I39+E39</f>
        <v>0</v>
      </c>
      <c r="P151" s="13" t="s">
        <v>35</v>
      </c>
      <c r="Q151" t="s">
        <v>34</v>
      </c>
      <c r="R151">
        <f t="shared" ref="R151:S153" si="50">0.1*G32+(1-0.1)*C32</f>
        <v>0</v>
      </c>
      <c r="S151">
        <f t="shared" si="50"/>
        <v>0</v>
      </c>
      <c r="U151">
        <f t="shared" ref="U151:V153" si="51">0.1*G39+(1-0.1)*C39</f>
        <v>0</v>
      </c>
      <c r="V151">
        <f t="shared" si="51"/>
        <v>0</v>
      </c>
    </row>
    <row r="152" spans="1:25" x14ac:dyDescent="0.25">
      <c r="C152" s="14"/>
      <c r="D152" s="13"/>
      <c r="E152" t="s">
        <v>36</v>
      </c>
      <c r="F152">
        <f t="shared" si="48"/>
        <v>0</v>
      </c>
      <c r="G152">
        <f t="shared" si="48"/>
        <v>0</v>
      </c>
      <c r="H152">
        <f>I33++E33</f>
        <v>0</v>
      </c>
      <c r="I152">
        <f t="shared" si="49"/>
        <v>0</v>
      </c>
      <c r="J152">
        <f t="shared" si="49"/>
        <v>0</v>
      </c>
      <c r="K152">
        <f>I40+E40</f>
        <v>0</v>
      </c>
      <c r="P152" s="13"/>
      <c r="Q152" t="s">
        <v>36</v>
      </c>
      <c r="R152">
        <f t="shared" si="50"/>
        <v>0</v>
      </c>
      <c r="S152">
        <f t="shared" si="50"/>
        <v>0</v>
      </c>
      <c r="U152">
        <f t="shared" si="51"/>
        <v>0</v>
      </c>
      <c r="V152">
        <f t="shared" si="51"/>
        <v>0</v>
      </c>
    </row>
    <row r="153" spans="1:25" x14ac:dyDescent="0.25">
      <c r="C153" s="14"/>
      <c r="D153" s="13"/>
      <c r="E153" t="s">
        <v>37</v>
      </c>
      <c r="F153" s="3">
        <f>0.05*G34+(1-0.05)*C34</f>
        <v>6.5849999999999997E-3</v>
      </c>
      <c r="G153" s="3">
        <f>0.05*H34+(1-0.05)*D34</f>
        <v>6.7900000000000009E-3</v>
      </c>
      <c r="H153">
        <f>I34++E34</f>
        <v>1.75509</v>
      </c>
      <c r="I153">
        <f t="shared" si="49"/>
        <v>6.5899999999999995E-3</v>
      </c>
      <c r="J153">
        <f t="shared" si="49"/>
        <v>6.7900000000000009E-3</v>
      </c>
      <c r="K153">
        <f>I41+E41</f>
        <v>2.2302659999999999</v>
      </c>
      <c r="L153">
        <f>0.05*F46+(1-0.05)*B46</f>
        <v>6.7850000000000002E-3</v>
      </c>
      <c r="M153">
        <f>I46+E46</f>
        <v>4.0874190000000006</v>
      </c>
      <c r="P153" s="13"/>
      <c r="Q153" t="s">
        <v>37</v>
      </c>
      <c r="R153">
        <f t="shared" si="50"/>
        <v>6.9699999999999996E-3</v>
      </c>
      <c r="S153">
        <f t="shared" si="50"/>
        <v>7.1800000000000006E-3</v>
      </c>
      <c r="U153">
        <f t="shared" si="51"/>
        <v>6.9800000000000001E-3</v>
      </c>
      <c r="V153">
        <f t="shared" si="51"/>
        <v>7.1800000000000006E-3</v>
      </c>
      <c r="X153">
        <f>0.1*F46+(1-0.1)*B46</f>
        <v>7.1700000000000002E-3</v>
      </c>
    </row>
    <row r="154" spans="1:25" x14ac:dyDescent="0.25">
      <c r="C154" s="14"/>
    </row>
    <row r="155" spans="1:25" x14ac:dyDescent="0.25">
      <c r="C155" s="14"/>
    </row>
    <row r="156" spans="1:25" x14ac:dyDescent="0.25">
      <c r="C156" s="14"/>
    </row>
    <row r="157" spans="1:25" x14ac:dyDescent="0.25">
      <c r="C157" s="14"/>
      <c r="D157" s="13" t="s">
        <v>38</v>
      </c>
      <c r="E157" t="s">
        <v>34</v>
      </c>
      <c r="F157">
        <f t="shared" ref="F157:G159" si="52">0.2*G32+(1-0.2)*C32</f>
        <v>0</v>
      </c>
      <c r="G157">
        <f t="shared" si="52"/>
        <v>0</v>
      </c>
      <c r="I157">
        <f t="shared" ref="I157:J159" si="53">0.2*G39+(1-0.2)*C39</f>
        <v>0</v>
      </c>
      <c r="J157">
        <f t="shared" si="53"/>
        <v>0</v>
      </c>
      <c r="P157" s="13" t="s">
        <v>39</v>
      </c>
      <c r="Q157" t="s">
        <v>34</v>
      </c>
      <c r="R157">
        <f t="shared" ref="R157:S159" si="54">0.3*G32+(1-0.3)*C32</f>
        <v>0</v>
      </c>
      <c r="S157">
        <f t="shared" si="54"/>
        <v>0</v>
      </c>
      <c r="U157">
        <f t="shared" ref="U157:V159" si="55">0.3*G39+(1-0.3)*C39</f>
        <v>0</v>
      </c>
      <c r="V157">
        <f t="shared" si="55"/>
        <v>0</v>
      </c>
    </row>
    <row r="158" spans="1:25" x14ac:dyDescent="0.25">
      <c r="C158" s="14"/>
      <c r="D158" s="13"/>
      <c r="E158" t="s">
        <v>36</v>
      </c>
      <c r="F158">
        <f t="shared" si="52"/>
        <v>0</v>
      </c>
      <c r="G158">
        <f t="shared" si="52"/>
        <v>0</v>
      </c>
      <c r="I158">
        <f t="shared" si="53"/>
        <v>0</v>
      </c>
      <c r="J158">
        <f t="shared" si="53"/>
        <v>0</v>
      </c>
      <c r="P158" s="13"/>
      <c r="Q158" t="s">
        <v>36</v>
      </c>
      <c r="R158">
        <f t="shared" si="54"/>
        <v>0</v>
      </c>
      <c r="S158">
        <f t="shared" si="54"/>
        <v>0</v>
      </c>
      <c r="U158">
        <f t="shared" si="55"/>
        <v>0</v>
      </c>
      <c r="V158">
        <f t="shared" si="55"/>
        <v>0</v>
      </c>
    </row>
    <row r="159" spans="1:25" x14ac:dyDescent="0.25">
      <c r="C159" s="14"/>
      <c r="D159" s="13"/>
      <c r="E159" t="s">
        <v>37</v>
      </c>
      <c r="F159">
        <f t="shared" si="52"/>
        <v>7.7400000000000004E-3</v>
      </c>
      <c r="G159">
        <f t="shared" si="52"/>
        <v>7.9600000000000018E-3</v>
      </c>
      <c r="I159">
        <f t="shared" si="53"/>
        <v>7.7600000000000004E-3</v>
      </c>
      <c r="J159">
        <f t="shared" si="53"/>
        <v>7.9600000000000018E-3</v>
      </c>
      <c r="L159">
        <f>0.2*F46+(1-0.2)*B46</f>
        <v>7.9400000000000009E-3</v>
      </c>
      <c r="P159" s="13"/>
      <c r="Q159" t="s">
        <v>37</v>
      </c>
      <c r="R159">
        <f t="shared" si="54"/>
        <v>8.5099999999999985E-3</v>
      </c>
      <c r="S159">
        <f t="shared" si="54"/>
        <v>8.7399999999999995E-3</v>
      </c>
      <c r="U159">
        <f t="shared" si="55"/>
        <v>8.539999999999999E-3</v>
      </c>
      <c r="V159">
        <f t="shared" si="55"/>
        <v>8.7399999999999995E-3</v>
      </c>
      <c r="X159">
        <f>0.3*F46+(1-0.3)*B46</f>
        <v>8.709999999999999E-3</v>
      </c>
    </row>
    <row r="162" spans="2:25" x14ac:dyDescent="0.25">
      <c r="D162" s="9" t="s">
        <v>12</v>
      </c>
      <c r="E162" s="9"/>
      <c r="F162" s="9"/>
      <c r="G162" s="9"/>
      <c r="H162" s="9"/>
      <c r="I162" s="10" t="s">
        <v>23</v>
      </c>
      <c r="J162" s="10"/>
      <c r="K162" s="10"/>
      <c r="L162" s="11" t="s">
        <v>24</v>
      </c>
      <c r="M162" s="11"/>
      <c r="P162" s="9" t="s">
        <v>12</v>
      </c>
      <c r="Q162" s="9"/>
      <c r="R162" s="9"/>
      <c r="S162" s="9"/>
      <c r="T162" s="9"/>
      <c r="U162" s="10" t="s">
        <v>23</v>
      </c>
      <c r="V162" s="10"/>
      <c r="W162" s="10"/>
      <c r="X162" s="11" t="s">
        <v>24</v>
      </c>
      <c r="Y162" s="11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14" t="s">
        <v>10</v>
      </c>
      <c r="C164" s="12" t="s">
        <v>40</v>
      </c>
      <c r="D164" s="13" t="s">
        <v>33</v>
      </c>
      <c r="E164" t="s">
        <v>34</v>
      </c>
      <c r="F164">
        <f t="shared" ref="F164:G166" si="56">(0.05*(1-0.05)+0.05*(1-0.05))*G32+0.05*0.05*K32+(1-0.05*(1-0.05)-0.05*(1-0.05)-0.05*0.05)*C32</f>
        <v>0</v>
      </c>
      <c r="G164">
        <f t="shared" si="56"/>
        <v>0</v>
      </c>
      <c r="H164">
        <f>M32+I32+E32</f>
        <v>0</v>
      </c>
      <c r="I164">
        <f t="shared" ref="I164:J166" si="57">(0.05*(1-0.05)+0.05*(1-0.05))*G39+0.05*0.05*K39+(1-0.05*(1-0.05)-0.05*(1-0.05)-0.05*0.05)*C39</f>
        <v>0</v>
      </c>
      <c r="J164">
        <f t="shared" si="57"/>
        <v>0</v>
      </c>
      <c r="K164">
        <f>M39+I39+E39</f>
        <v>0</v>
      </c>
      <c r="O164" s="12" t="s">
        <v>41</v>
      </c>
      <c r="P164" s="13" t="s">
        <v>35</v>
      </c>
      <c r="Q164" t="s">
        <v>34</v>
      </c>
      <c r="R164">
        <f t="shared" ref="R164:S166" si="58">(0.1*0.9+0.1*0.9)*G32+0.1*0.1*K32+(1-0.1*0.9-0.1*0.9-0.1*0.1)*C32</f>
        <v>0</v>
      </c>
      <c r="S164">
        <f t="shared" si="58"/>
        <v>0</v>
      </c>
      <c r="U164">
        <f t="shared" ref="U164:V166" si="59">(0.1*0.9+0.1*0.9)*G39+0.1*0.1*K39+(1-0.1*0.9-0.1*0.9-0.1*0.1)*C39</f>
        <v>0</v>
      </c>
      <c r="V164">
        <f t="shared" si="59"/>
        <v>0</v>
      </c>
    </row>
    <row r="165" spans="2:25" x14ac:dyDescent="0.25">
      <c r="B165" s="14"/>
      <c r="C165" s="12"/>
      <c r="D165" s="13"/>
      <c r="E165" t="s">
        <v>36</v>
      </c>
      <c r="F165">
        <f t="shared" si="56"/>
        <v>0</v>
      </c>
      <c r="G165">
        <f t="shared" si="56"/>
        <v>0</v>
      </c>
      <c r="H165">
        <f>M33+I33+E33</f>
        <v>0</v>
      </c>
      <c r="I165">
        <f t="shared" si="57"/>
        <v>0</v>
      </c>
      <c r="J165">
        <f t="shared" si="57"/>
        <v>0</v>
      </c>
      <c r="K165">
        <f>M40+I40+E40</f>
        <v>0</v>
      </c>
      <c r="O165" s="12"/>
      <c r="P165" s="13"/>
      <c r="Q165" t="s">
        <v>36</v>
      </c>
      <c r="R165">
        <f t="shared" si="58"/>
        <v>0</v>
      </c>
      <c r="S165">
        <f t="shared" si="58"/>
        <v>0</v>
      </c>
      <c r="U165">
        <f t="shared" si="59"/>
        <v>0</v>
      </c>
      <c r="V165">
        <f t="shared" si="59"/>
        <v>0</v>
      </c>
    </row>
    <row r="166" spans="2:25" x14ac:dyDescent="0.25">
      <c r="B166" s="14"/>
      <c r="C166" s="12"/>
      <c r="D166" s="13"/>
      <c r="E166" t="s">
        <v>37</v>
      </c>
      <c r="F166">
        <f t="shared" si="56"/>
        <v>6.9682500000000005E-3</v>
      </c>
      <c r="G166">
        <f t="shared" si="56"/>
        <v>7.1785000000000009E-3</v>
      </c>
      <c r="H166">
        <f>M34+I34+E34</f>
        <v>2.8620049999999999</v>
      </c>
      <c r="I166">
        <f t="shared" si="57"/>
        <v>6.9780000000000007E-3</v>
      </c>
      <c r="J166">
        <f t="shared" si="57"/>
        <v>7.1782500000000006E-3</v>
      </c>
      <c r="K166">
        <f>M41+I41+E41</f>
        <v>3.3394229999999996</v>
      </c>
      <c r="L166">
        <f>(0.05*(1-0.05)+0.05*(1-0.05))*F46+0.05*0.05*J46+(1-0.05*(1-0.05)-0.05*(1-0.05)-0.05*0.05)*B46</f>
        <v>7.1685000000000013E-3</v>
      </c>
      <c r="M166">
        <f>M46+I46+E46</f>
        <v>6.1552780000000009</v>
      </c>
      <c r="O166" s="12"/>
      <c r="P166" s="13"/>
      <c r="Q166" t="s">
        <v>37</v>
      </c>
      <c r="R166">
        <f t="shared" si="58"/>
        <v>7.7330000000000003E-3</v>
      </c>
      <c r="S166">
        <f t="shared" si="58"/>
        <v>7.954000000000001E-3</v>
      </c>
      <c r="U166">
        <f t="shared" si="59"/>
        <v>7.7520000000000011E-3</v>
      </c>
      <c r="V166">
        <f t="shared" si="59"/>
        <v>7.9530000000000017E-3</v>
      </c>
      <c r="X166">
        <f>(0.1*0.9+0.1*0.9)*F46+0.1*0.1*J46+(1-0.1*0.9-0.1*0.9-0.1*0.1)*B46</f>
        <v>7.9340000000000001E-3</v>
      </c>
    </row>
    <row r="167" spans="2:25" x14ac:dyDescent="0.25">
      <c r="B167" s="14"/>
    </row>
    <row r="168" spans="2:25" x14ac:dyDescent="0.25">
      <c r="B168" s="14"/>
    </row>
    <row r="169" spans="2:25" x14ac:dyDescent="0.25">
      <c r="B169" s="14"/>
    </row>
    <row r="170" spans="2:25" x14ac:dyDescent="0.25">
      <c r="B170" s="14"/>
      <c r="C170" s="12" t="s">
        <v>42</v>
      </c>
      <c r="D170" s="13" t="s">
        <v>38</v>
      </c>
      <c r="E170" t="s">
        <v>34</v>
      </c>
      <c r="F170">
        <f t="shared" ref="F170:G172" si="60">(0.2*0.8+0.2*0.8)*G32+0.2*0.2*K32+(1-0.2*0.8-0.2*0.8-0.2*0.2)*C32</f>
        <v>0</v>
      </c>
      <c r="G170">
        <f t="shared" si="60"/>
        <v>0</v>
      </c>
      <c r="I170">
        <f t="shared" ref="I170:J172" si="61">(0.2*0.8+0.2*0.8)*G39+0.2*0.2*K39+(1-0.2*0.8-0.2*0.8-0.2*0.2)*C39</f>
        <v>0</v>
      </c>
      <c r="J170">
        <f t="shared" si="61"/>
        <v>0</v>
      </c>
      <c r="O170" s="12" t="s">
        <v>43</v>
      </c>
      <c r="P170" s="13" t="s">
        <v>39</v>
      </c>
      <c r="Q170" t="s">
        <v>34</v>
      </c>
      <c r="R170">
        <f t="shared" ref="R170:S172" si="62">(0.3*0.7+0.3*0.7)*G32+0.3*0.3*K32+(1-0.3*0.7-0.3*0.7-0.3*0.3)*C32</f>
        <v>0</v>
      </c>
      <c r="S170">
        <f t="shared" si="62"/>
        <v>0</v>
      </c>
      <c r="U170">
        <f t="shared" ref="U170:V172" si="63">(0.3*0.7+0.3*0.7)*G39+0.3*0.3*K39+(1-0.3*0.7-0.3*0.7-0.3*0.3)*C39</f>
        <v>0</v>
      </c>
      <c r="V170">
        <f t="shared" si="63"/>
        <v>0</v>
      </c>
    </row>
    <row r="171" spans="2:25" x14ac:dyDescent="0.25">
      <c r="B171" s="14"/>
      <c r="C171" s="12"/>
      <c r="D171" s="13"/>
      <c r="E171" t="s">
        <v>36</v>
      </c>
      <c r="F171">
        <f t="shared" si="60"/>
        <v>0</v>
      </c>
      <c r="G171">
        <f t="shared" si="60"/>
        <v>0</v>
      </c>
      <c r="I171">
        <f t="shared" si="61"/>
        <v>0</v>
      </c>
      <c r="J171">
        <f t="shared" si="61"/>
        <v>0</v>
      </c>
      <c r="O171" s="12"/>
      <c r="P171" s="13"/>
      <c r="Q171" t="s">
        <v>36</v>
      </c>
      <c r="R171">
        <f t="shared" si="62"/>
        <v>0</v>
      </c>
      <c r="S171">
        <f t="shared" si="62"/>
        <v>0</v>
      </c>
      <c r="U171">
        <f t="shared" si="63"/>
        <v>0</v>
      </c>
      <c r="V171">
        <f t="shared" si="63"/>
        <v>0</v>
      </c>
    </row>
    <row r="172" spans="2:25" x14ac:dyDescent="0.25">
      <c r="B172" s="14"/>
      <c r="C172" s="12"/>
      <c r="D172" s="13"/>
      <c r="E172" t="s">
        <v>37</v>
      </c>
      <c r="F172">
        <f t="shared" si="60"/>
        <v>9.2519999999999998E-3</v>
      </c>
      <c r="G172">
        <f t="shared" si="60"/>
        <v>9.496000000000001E-3</v>
      </c>
      <c r="I172">
        <f t="shared" si="61"/>
        <v>9.2880000000000011E-3</v>
      </c>
      <c r="J172">
        <f t="shared" si="61"/>
        <v>9.4920000000000004E-3</v>
      </c>
      <c r="L172">
        <f>(0.2*0.8+0.2*0.8)*F46+0.2*0.2*J46+(1-0.2*0.8-0.2*0.8-0.2*0.2)*B46</f>
        <v>9.4559999999999991E-3</v>
      </c>
      <c r="O172" s="12"/>
      <c r="P172" s="13"/>
      <c r="Q172" t="s">
        <v>37</v>
      </c>
      <c r="R172">
        <f t="shared" si="62"/>
        <v>1.0756999999999999E-2</v>
      </c>
      <c r="S172">
        <f t="shared" si="62"/>
        <v>1.1026000000000001E-2</v>
      </c>
      <c r="U172">
        <f t="shared" si="63"/>
        <v>1.0808E-2</v>
      </c>
      <c r="V172">
        <f t="shared" si="63"/>
        <v>1.1017000000000002E-2</v>
      </c>
      <c r="X172">
        <f>(0.3*0.7+0.3*0.7)*F46+0.3*0.3*J46+(1-0.3*0.7-0.3*0.7-0.3*0.3)*B46</f>
        <v>1.0966E-2</v>
      </c>
    </row>
    <row r="175" spans="2:25" x14ac:dyDescent="0.25">
      <c r="D175" s="9" t="s">
        <v>12</v>
      </c>
      <c r="E175" s="9"/>
      <c r="F175" s="9"/>
      <c r="G175" s="9"/>
      <c r="H175" s="9"/>
      <c r="I175" s="10" t="s">
        <v>23</v>
      </c>
      <c r="J175" s="10"/>
      <c r="K175" s="10"/>
      <c r="L175" s="11" t="s">
        <v>24</v>
      </c>
      <c r="M175" s="11"/>
      <c r="P175" s="9" t="s">
        <v>12</v>
      </c>
      <c r="Q175" s="9"/>
      <c r="R175" s="9"/>
      <c r="S175" s="9"/>
      <c r="T175" s="9"/>
      <c r="U175" s="10" t="s">
        <v>23</v>
      </c>
      <c r="V175" s="10"/>
      <c r="W175" s="10"/>
      <c r="X175" s="11" t="s">
        <v>24</v>
      </c>
      <c r="Y175" s="11"/>
    </row>
    <row r="176" spans="2:25" x14ac:dyDescent="0.25"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14" t="s">
        <v>11</v>
      </c>
      <c r="B177" s="16" t="s">
        <v>44</v>
      </c>
      <c r="C177" s="12" t="s">
        <v>40</v>
      </c>
      <c r="D177" s="13" t="s">
        <v>33</v>
      </c>
      <c r="E177" t="s">
        <v>34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0</v>
      </c>
      <c r="H177">
        <f>Q32+M32+I32+E32</f>
        <v>0</v>
      </c>
      <c r="I177">
        <f t="shared" ref="I177:J179" si="65">3*0.05*(1-0.05)*(1-0.05)*G39+3*0.05*0.05*(1-0.05)*K39+0.05*0.05*0.05*O39+(1-3*0.05*(1-0.05)*(1-0.05)-3*0.05*0.05*(1-0.05)-0.05*0.05*0.05)*C39</f>
        <v>0</v>
      </c>
      <c r="J177">
        <f t="shared" si="65"/>
        <v>0</v>
      </c>
      <c r="K177">
        <f>Q39+M39+I39+E39</f>
        <v>0</v>
      </c>
      <c r="N177" s="16" t="s">
        <v>45</v>
      </c>
      <c r="O177" s="12" t="s">
        <v>41</v>
      </c>
      <c r="P177" s="13" t="s">
        <v>35</v>
      </c>
      <c r="Q177" t="s">
        <v>34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0</v>
      </c>
      <c r="U177">
        <f t="shared" ref="U177:V179" si="67">3*0.1*(1-0.1)*(1-0.1)*G39+3*0.1*0.1*(1-0.1)*K39+0.1*0.1*0.1*O39+(1-3*0.1*(1-0.1)*(1-0.1)-3*0.1*0.1*(1-0.1)-0.1*0.1*0.1)*C39</f>
        <v>0</v>
      </c>
      <c r="V177">
        <f t="shared" si="67"/>
        <v>0</v>
      </c>
    </row>
    <row r="178" spans="1:25" x14ac:dyDescent="0.25">
      <c r="A178" s="14"/>
      <c r="B178" s="16"/>
      <c r="C178" s="12"/>
      <c r="D178" s="13"/>
      <c r="E178" t="s">
        <v>36</v>
      </c>
      <c r="F178">
        <f t="shared" si="64"/>
        <v>0</v>
      </c>
      <c r="G178">
        <f t="shared" si="64"/>
        <v>0</v>
      </c>
      <c r="H178">
        <f>Q33+M33+I33+E33</f>
        <v>0</v>
      </c>
      <c r="I178">
        <f t="shared" si="65"/>
        <v>0</v>
      </c>
      <c r="J178">
        <f t="shared" si="65"/>
        <v>0</v>
      </c>
      <c r="K178">
        <f>Q40+M40+I40+E40</f>
        <v>0</v>
      </c>
      <c r="N178" s="16"/>
      <c r="O178" s="12"/>
      <c r="P178" s="13"/>
      <c r="Q178" t="s">
        <v>36</v>
      </c>
      <c r="R178">
        <f t="shared" si="66"/>
        <v>0</v>
      </c>
      <c r="S178">
        <f t="shared" si="66"/>
        <v>0</v>
      </c>
      <c r="U178">
        <f t="shared" si="67"/>
        <v>0</v>
      </c>
      <c r="V178">
        <f t="shared" si="67"/>
        <v>0</v>
      </c>
    </row>
    <row r="179" spans="1:25" x14ac:dyDescent="0.25">
      <c r="A179" s="14"/>
      <c r="B179" s="16"/>
      <c r="C179" s="12"/>
      <c r="D179" s="13"/>
      <c r="E179" t="s">
        <v>37</v>
      </c>
      <c r="F179">
        <f t="shared" si="64"/>
        <v>7.3497749999999994E-3</v>
      </c>
      <c r="G179">
        <f t="shared" si="64"/>
        <v>7.5655124999999997E-3</v>
      </c>
      <c r="H179">
        <f>Q34+M34+I34+E34</f>
        <v>3.6620409999999999</v>
      </c>
      <c r="I179">
        <f t="shared" si="65"/>
        <v>7.3640375000000001E-3</v>
      </c>
      <c r="J179">
        <f t="shared" si="65"/>
        <v>7.5647874999999996E-3</v>
      </c>
      <c r="K179">
        <f>Q41+M41+I41+E41</f>
        <v>4.453797999999999</v>
      </c>
      <c r="L179">
        <f>3*0.05*(1-0.05)*(1-0.05)*F46+3*0.05*0.05*(1-0.05)*J46+0.05*0.05*0.05*N46+(1-3*0.05*(1-0.05)*(1-0.05)-3*0.05*0.05*(1-0.05)-0.05*0.05*0.05)*B46</f>
        <v>7.5504999999999991E-3</v>
      </c>
      <c r="M179">
        <f>Q46+M46+I46+E46</f>
        <v>8.2690960000000011</v>
      </c>
      <c r="N179" s="16"/>
      <c r="O179" s="12"/>
      <c r="P179" s="13"/>
      <c r="Q179" t="s">
        <v>37</v>
      </c>
      <c r="R179">
        <f t="shared" si="66"/>
        <v>8.4892000000000006E-3</v>
      </c>
      <c r="S179">
        <f t="shared" si="66"/>
        <v>8.7221E-3</v>
      </c>
      <c r="U179">
        <f t="shared" si="67"/>
        <v>8.516300000000001E-3</v>
      </c>
      <c r="V179">
        <f t="shared" si="67"/>
        <v>8.719300000000001E-3</v>
      </c>
      <c r="X179">
        <f>3*0.1*(1-0.1)*(1-0.1)*F46+3*0.1*0.1*(1-0.1)*J46+0.1*0.1*0.1*N46+(1-3*0.1*(1-0.1)*(1-0.1)-3*0.1*0.1*(1-0.1)-0.1*0.1*0.1)*B46</f>
        <v>8.6920000000000018E-3</v>
      </c>
    </row>
    <row r="180" spans="1:25" x14ac:dyDescent="0.25">
      <c r="A180" s="14"/>
    </row>
    <row r="181" spans="1:25" x14ac:dyDescent="0.25">
      <c r="A181" s="14"/>
    </row>
    <row r="182" spans="1:25" x14ac:dyDescent="0.25">
      <c r="A182" s="14"/>
    </row>
    <row r="183" spans="1:25" x14ac:dyDescent="0.25">
      <c r="A183" s="14"/>
      <c r="B183" s="16" t="s">
        <v>46</v>
      </c>
      <c r="C183" s="12" t="s">
        <v>42</v>
      </c>
      <c r="D183" s="13" t="s">
        <v>38</v>
      </c>
      <c r="E183" t="s">
        <v>34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0</v>
      </c>
      <c r="I183">
        <f t="shared" ref="I183:J185" si="69">3*0.2*(1-0.2)*(1-0.2)*G39+3*0.2*0.2*(1-0.2)*K39+0.2*0.2*0.2*O39+(1-3*0.2*(1-0.2)*(1-0.2)-3*0.2*0.2*(1-0.2)-0.2*0.2*0.2)*C39</f>
        <v>0</v>
      </c>
      <c r="J183">
        <f t="shared" si="69"/>
        <v>0</v>
      </c>
      <c r="N183" s="16" t="s">
        <v>47</v>
      </c>
      <c r="O183" s="12" t="s">
        <v>43</v>
      </c>
      <c r="P183" s="13" t="s">
        <v>39</v>
      </c>
      <c r="Q183" t="s">
        <v>34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0</v>
      </c>
      <c r="U183">
        <f t="shared" ref="U183:V185" si="71">3*0.3*(1-0.3)*(1-0.3)*G39+3*0.3*0.3*(1-0.3)*K39+0.3*0.3*0.3*O39+(1-3*0.3*(1-0.3)*(1-0.3)-3*0.3*0.3*(1-0.3)-0.3*0.3*0.3)*C39</f>
        <v>0</v>
      </c>
      <c r="V183">
        <f t="shared" si="71"/>
        <v>0</v>
      </c>
    </row>
    <row r="184" spans="1:25" x14ac:dyDescent="0.25">
      <c r="A184" s="14"/>
      <c r="B184" s="16"/>
      <c r="C184" s="12"/>
      <c r="D184" s="13"/>
      <c r="E184" t="s">
        <v>36</v>
      </c>
      <c r="F184">
        <f t="shared" si="68"/>
        <v>0</v>
      </c>
      <c r="G184">
        <f t="shared" si="68"/>
        <v>0</v>
      </c>
      <c r="I184">
        <f t="shared" si="69"/>
        <v>0</v>
      </c>
      <c r="J184">
        <f t="shared" si="69"/>
        <v>0</v>
      </c>
      <c r="N184" s="16"/>
      <c r="O184" s="12"/>
      <c r="P184" s="13"/>
      <c r="Q184" t="s">
        <v>36</v>
      </c>
      <c r="R184">
        <f t="shared" si="70"/>
        <v>0</v>
      </c>
      <c r="S184">
        <f t="shared" si="70"/>
        <v>0</v>
      </c>
      <c r="U184">
        <f t="shared" si="71"/>
        <v>0</v>
      </c>
      <c r="V184">
        <f t="shared" si="71"/>
        <v>0</v>
      </c>
    </row>
    <row r="185" spans="1:25" x14ac:dyDescent="0.25">
      <c r="A185" s="14"/>
      <c r="B185" s="16"/>
      <c r="C185" s="12"/>
      <c r="D185" s="13"/>
      <c r="E185" t="s">
        <v>37</v>
      </c>
      <c r="F185">
        <f t="shared" si="68"/>
        <v>1.07376E-2</v>
      </c>
      <c r="G185">
        <f t="shared" si="68"/>
        <v>1.1008800000000003E-2</v>
      </c>
      <c r="I185">
        <f t="shared" si="69"/>
        <v>1.0786400000000002E-2</v>
      </c>
      <c r="J185">
        <f t="shared" si="69"/>
        <v>1.0998400000000002E-2</v>
      </c>
      <c r="L185">
        <f>3*0.2*(1-0.2)*(1-0.2)*F46+3*0.2*0.2*(1-0.2)*J46+0.2*0.2*0.2*N46+(1-3*0.2*(1-0.2)*(1-0.2)-3*0.2*0.2*(1-0.2)-0.2*0.2*0.2)*B46</f>
        <v>1.0948000000000001E-2</v>
      </c>
      <c r="N185" s="16"/>
      <c r="O185" s="12"/>
      <c r="P185" s="13"/>
      <c r="Q185" t="s">
        <v>37</v>
      </c>
      <c r="R185">
        <f t="shared" si="70"/>
        <v>1.2946399999999999E-2</v>
      </c>
      <c r="S185">
        <f t="shared" si="70"/>
        <v>1.3260699999999999E-2</v>
      </c>
      <c r="U185">
        <f t="shared" si="71"/>
        <v>1.30121E-2</v>
      </c>
      <c r="V185">
        <f t="shared" si="71"/>
        <v>1.32391E-2</v>
      </c>
      <c r="X185">
        <f>3*0.3*(1-0.3)*(1-0.3)*F46+3*0.3*0.3*(1-0.3)*J46+0.3*0.3*0.3*N46+(1-3*0.3*(1-0.3)*(1-0.3)-3*0.3*0.3*(1-0.3)-0.3*0.3*0.3)*B46</f>
        <v>1.3167999999999999E-2</v>
      </c>
    </row>
    <row r="188" spans="1:25" x14ac:dyDescent="0.25">
      <c r="A188" s="1" t="s">
        <v>27</v>
      </c>
      <c r="D188" s="9" t="s">
        <v>12</v>
      </c>
      <c r="E188" s="9"/>
      <c r="F188" s="9"/>
      <c r="G188" s="9"/>
      <c r="H188" s="9"/>
      <c r="I188" s="10" t="s">
        <v>23</v>
      </c>
      <c r="J188" s="10"/>
      <c r="K188" s="10"/>
      <c r="L188" s="11" t="s">
        <v>24</v>
      </c>
      <c r="M188" s="11"/>
      <c r="N188" s="2"/>
      <c r="P188" s="9" t="s">
        <v>12</v>
      </c>
      <c r="Q188" s="9"/>
      <c r="R188" s="9"/>
      <c r="S188" s="9"/>
      <c r="T188" s="9"/>
      <c r="U188" s="10" t="s">
        <v>23</v>
      </c>
      <c r="V188" s="10"/>
      <c r="W188" s="10"/>
      <c r="X188" s="11" t="s">
        <v>24</v>
      </c>
      <c r="Y188" s="11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14" t="s">
        <v>9</v>
      </c>
      <c r="D190" s="13" t="s">
        <v>33</v>
      </c>
      <c r="E190" t="s">
        <v>34</v>
      </c>
      <c r="F190">
        <f t="shared" ref="F190:G192" si="72">0.05*Y32+(1-0.05)*U32</f>
        <v>0</v>
      </c>
      <c r="G190">
        <f t="shared" si="72"/>
        <v>0</v>
      </c>
      <c r="H190">
        <f>AA32+W32</f>
        <v>0</v>
      </c>
      <c r="I190">
        <f t="shared" ref="I190:J192" si="73">0.05*Y39+(1-0.05)*U39</f>
        <v>0</v>
      </c>
      <c r="J190">
        <f t="shared" si="73"/>
        <v>0</v>
      </c>
      <c r="K190">
        <f>AA39+W39</f>
        <v>0</v>
      </c>
      <c r="P190" s="13" t="s">
        <v>35</v>
      </c>
      <c r="Q190" t="s">
        <v>34</v>
      </c>
      <c r="R190">
        <f t="shared" ref="R190:S192" si="74">0.1*Y32+(1-0.1)*U32</f>
        <v>0</v>
      </c>
      <c r="S190">
        <f t="shared" si="74"/>
        <v>0</v>
      </c>
      <c r="U190">
        <f t="shared" ref="U190:V192" si="75">0.1*Y39+(1-0.1)*U39</f>
        <v>0</v>
      </c>
      <c r="V190">
        <f t="shared" si="75"/>
        <v>0</v>
      </c>
    </row>
    <row r="191" spans="1:25" x14ac:dyDescent="0.25">
      <c r="C191" s="14"/>
      <c r="D191" s="13"/>
      <c r="E191" t="s">
        <v>36</v>
      </c>
      <c r="F191">
        <f t="shared" si="72"/>
        <v>0</v>
      </c>
      <c r="G191">
        <f t="shared" si="72"/>
        <v>0</v>
      </c>
      <c r="H191">
        <f>AA33+W33</f>
        <v>0</v>
      </c>
      <c r="I191">
        <f t="shared" si="73"/>
        <v>0</v>
      </c>
      <c r="J191">
        <f t="shared" si="73"/>
        <v>0</v>
      </c>
      <c r="K191">
        <f>AA40+W40</f>
        <v>0</v>
      </c>
      <c r="P191" s="13"/>
      <c r="Q191" t="s">
        <v>36</v>
      </c>
      <c r="R191">
        <f t="shared" si="74"/>
        <v>0</v>
      </c>
      <c r="S191">
        <f t="shared" si="74"/>
        <v>0</v>
      </c>
      <c r="U191">
        <f t="shared" si="75"/>
        <v>0</v>
      </c>
      <c r="V191">
        <f t="shared" si="75"/>
        <v>0</v>
      </c>
    </row>
    <row r="192" spans="1:25" x14ac:dyDescent="0.25">
      <c r="C192" s="14"/>
      <c r="D192" s="13"/>
      <c r="E192" t="s">
        <v>37</v>
      </c>
      <c r="F192" s="3">
        <f>0.05*Y34+(1-0.05)*U34</f>
        <v>5.0500000000000007E-3</v>
      </c>
      <c r="G192">
        <f t="shared" si="72"/>
        <v>5.7650000000000002E-3</v>
      </c>
      <c r="H192">
        <f>AA34+W34</f>
        <v>1.61249</v>
      </c>
      <c r="I192">
        <f t="shared" si="73"/>
        <v>5.0650000000000001E-3</v>
      </c>
      <c r="J192">
        <f t="shared" si="73"/>
        <v>5.7549999999999997E-3</v>
      </c>
      <c r="K192">
        <f>AA41+W41</f>
        <v>2.2278210000000001</v>
      </c>
      <c r="L192">
        <f>0.05*X46+(1-0.05)*T46</f>
        <v>5.555E-3</v>
      </c>
      <c r="M192">
        <f>AA46+W46</f>
        <v>4.1122300000000003</v>
      </c>
      <c r="P192" s="13"/>
      <c r="Q192" t="s">
        <v>37</v>
      </c>
      <c r="R192">
        <f t="shared" si="74"/>
        <v>5.4000000000000003E-3</v>
      </c>
      <c r="S192">
        <f t="shared" si="74"/>
        <v>6.1300000000000009E-3</v>
      </c>
      <c r="U192">
        <f t="shared" si="75"/>
        <v>5.4300000000000008E-3</v>
      </c>
      <c r="V192">
        <f t="shared" si="75"/>
        <v>6.1100000000000008E-3</v>
      </c>
      <c r="X192">
        <f>0.1*X46+(1-0.1)*T46</f>
        <v>5.9100000000000003E-3</v>
      </c>
    </row>
    <row r="193" spans="2:25" x14ac:dyDescent="0.25">
      <c r="C193" s="14"/>
    </row>
    <row r="194" spans="2:25" x14ac:dyDescent="0.25">
      <c r="C194" s="14"/>
    </row>
    <row r="195" spans="2:25" x14ac:dyDescent="0.25">
      <c r="C195" s="14"/>
    </row>
    <row r="196" spans="2:25" x14ac:dyDescent="0.25">
      <c r="C196" s="14"/>
      <c r="D196" s="13" t="s">
        <v>38</v>
      </c>
      <c r="E196" t="s">
        <v>34</v>
      </c>
      <c r="F196">
        <f t="shared" ref="F196:G198" si="76">0.2*Y32+(1-0.2)*U32</f>
        <v>0</v>
      </c>
      <c r="G196">
        <f t="shared" si="76"/>
        <v>0</v>
      </c>
      <c r="I196">
        <f t="shared" ref="I196:J198" si="77">0.2*Y39+(1-0.2)*U39</f>
        <v>0</v>
      </c>
      <c r="J196">
        <f t="shared" si="77"/>
        <v>0</v>
      </c>
      <c r="P196" s="13" t="s">
        <v>39</v>
      </c>
      <c r="Q196" t="s">
        <v>34</v>
      </c>
      <c r="R196">
        <f t="shared" ref="R196:S198" si="78">0.3*Y32+(1-0.3)*U32</f>
        <v>0</v>
      </c>
      <c r="S196">
        <f t="shared" si="78"/>
        <v>0</v>
      </c>
      <c r="U196">
        <f t="shared" ref="U196:V198" si="79">0.3*Y39+(1-0.3)*U39</f>
        <v>0</v>
      </c>
      <c r="V196">
        <f t="shared" si="79"/>
        <v>0</v>
      </c>
    </row>
    <row r="197" spans="2:25" x14ac:dyDescent="0.25">
      <c r="C197" s="14"/>
      <c r="D197" s="13"/>
      <c r="E197" t="s">
        <v>36</v>
      </c>
      <c r="F197">
        <f t="shared" si="76"/>
        <v>0</v>
      </c>
      <c r="G197">
        <f t="shared" si="76"/>
        <v>0</v>
      </c>
      <c r="I197">
        <f t="shared" si="77"/>
        <v>0</v>
      </c>
      <c r="J197">
        <f t="shared" si="77"/>
        <v>0</v>
      </c>
      <c r="P197" s="13"/>
      <c r="Q197" t="s">
        <v>36</v>
      </c>
      <c r="R197">
        <f t="shared" si="78"/>
        <v>0</v>
      </c>
      <c r="S197">
        <f t="shared" si="78"/>
        <v>0</v>
      </c>
      <c r="U197">
        <f t="shared" si="79"/>
        <v>0</v>
      </c>
      <c r="V197">
        <f t="shared" si="79"/>
        <v>0</v>
      </c>
    </row>
    <row r="198" spans="2:25" x14ac:dyDescent="0.25">
      <c r="C198" s="14"/>
      <c r="D198" s="13"/>
      <c r="E198" t="s">
        <v>37</v>
      </c>
      <c r="F198">
        <f t="shared" si="76"/>
        <v>6.1000000000000004E-3</v>
      </c>
      <c r="G198">
        <f t="shared" si="76"/>
        <v>6.8599999999999998E-3</v>
      </c>
      <c r="I198">
        <f t="shared" si="77"/>
        <v>6.1600000000000005E-3</v>
      </c>
      <c r="J198">
        <f t="shared" si="77"/>
        <v>6.8200000000000005E-3</v>
      </c>
      <c r="L198">
        <f>0.2*X46+(1-0.2)*T46</f>
        <v>6.62E-3</v>
      </c>
      <c r="P198" s="13"/>
      <c r="Q198" t="s">
        <v>37</v>
      </c>
      <c r="R198">
        <f t="shared" si="78"/>
        <v>6.8000000000000005E-3</v>
      </c>
      <c r="S198">
        <f t="shared" si="78"/>
        <v>7.5899999999999995E-3</v>
      </c>
      <c r="U198">
        <f t="shared" si="79"/>
        <v>6.8900000000000003E-3</v>
      </c>
      <c r="V198">
        <f t="shared" si="79"/>
        <v>7.5300000000000002E-3</v>
      </c>
      <c r="X198">
        <f>0.3*X46+(1-0.3)*T46</f>
        <v>7.3299999999999997E-3</v>
      </c>
    </row>
    <row r="201" spans="2:25" x14ac:dyDescent="0.25">
      <c r="D201" s="9" t="s">
        <v>12</v>
      </c>
      <c r="E201" s="9"/>
      <c r="F201" s="9"/>
      <c r="G201" s="9"/>
      <c r="H201" s="9"/>
      <c r="I201" s="10" t="s">
        <v>23</v>
      </c>
      <c r="J201" s="10"/>
      <c r="K201" s="10"/>
      <c r="L201" s="11" t="s">
        <v>24</v>
      </c>
      <c r="M201" s="11"/>
      <c r="P201" s="9" t="s">
        <v>12</v>
      </c>
      <c r="Q201" s="9"/>
      <c r="R201" s="9"/>
      <c r="S201" s="9"/>
      <c r="T201" s="9"/>
      <c r="U201" s="10" t="s">
        <v>23</v>
      </c>
      <c r="V201" s="10"/>
      <c r="W201" s="10"/>
      <c r="X201" s="11" t="s">
        <v>24</v>
      </c>
      <c r="Y201" s="11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14" t="s">
        <v>10</v>
      </c>
      <c r="C203" s="12" t="s">
        <v>40</v>
      </c>
      <c r="D203" s="13" t="s">
        <v>33</v>
      </c>
      <c r="E203" t="s">
        <v>34</v>
      </c>
      <c r="F203">
        <f t="shared" ref="F203:G205" si="80">(0.05*(1-0.05)+0.05*(1-0.05))*Y32+0.05*0.05*AC32+(1-0.05*(1-0.05)-0.05*(1-0.05)-0.05*0.05)*U32</f>
        <v>0</v>
      </c>
      <c r="G203">
        <f t="shared" si="80"/>
        <v>0</v>
      </c>
      <c r="H203">
        <f>AE32+AA32+W32</f>
        <v>0</v>
      </c>
      <c r="I203">
        <f t="shared" ref="I203:J205" si="81">(0.05*(1-0.05)+0.05*(1-0.05))*Y39+0.05*0.05*AC39+(1-0.05*(1-0.05)-0.05*(1-0.05)-0.05*0.05)*U39</f>
        <v>0</v>
      </c>
      <c r="J203">
        <f t="shared" si="81"/>
        <v>0</v>
      </c>
      <c r="K203">
        <f>AE39+AA39+W39</f>
        <v>0</v>
      </c>
      <c r="O203" s="12" t="s">
        <v>41</v>
      </c>
      <c r="P203" s="13" t="s">
        <v>35</v>
      </c>
      <c r="Q203" t="s">
        <v>34</v>
      </c>
      <c r="R203">
        <f t="shared" ref="R203:S205" si="82">(0.1*0.9+0.1*0.9)*Y32+0.1*0.1*AC32+(1-0.1*0.9-0.1*0.9-0.1*0.1)*U32</f>
        <v>0</v>
      </c>
      <c r="S203">
        <f t="shared" si="82"/>
        <v>0</v>
      </c>
      <c r="U203">
        <f t="shared" ref="U203:V205" si="83">(0.1*0.9+0.1*0.9)*Y39+0.1*0.1*AC39+(1-0.1*0.9-0.1*0.9-0.1*0.1)*U39</f>
        <v>0</v>
      </c>
      <c r="V203">
        <f t="shared" si="83"/>
        <v>0</v>
      </c>
    </row>
    <row r="204" spans="2:25" x14ac:dyDescent="0.25">
      <c r="B204" s="14"/>
      <c r="C204" s="12"/>
      <c r="D204" s="13"/>
      <c r="E204" t="s">
        <v>36</v>
      </c>
      <c r="F204">
        <f t="shared" si="80"/>
        <v>0</v>
      </c>
      <c r="G204">
        <f t="shared" si="80"/>
        <v>0</v>
      </c>
      <c r="H204">
        <f>AE33+AA33+W33</f>
        <v>0</v>
      </c>
      <c r="I204">
        <f t="shared" si="81"/>
        <v>0</v>
      </c>
      <c r="J204">
        <f t="shared" si="81"/>
        <v>0</v>
      </c>
      <c r="K204">
        <f>AE40+AA40+W40</f>
        <v>0</v>
      </c>
      <c r="O204" s="12"/>
      <c r="P204" s="13"/>
      <c r="Q204" t="s">
        <v>36</v>
      </c>
      <c r="R204">
        <f t="shared" si="82"/>
        <v>0</v>
      </c>
      <c r="S204">
        <f t="shared" si="82"/>
        <v>0</v>
      </c>
      <c r="U204">
        <f t="shared" si="83"/>
        <v>0</v>
      </c>
      <c r="V204">
        <f t="shared" si="83"/>
        <v>0</v>
      </c>
    </row>
    <row r="205" spans="2:25" x14ac:dyDescent="0.25">
      <c r="B205" s="14"/>
      <c r="C205" s="12"/>
      <c r="D205" s="13"/>
      <c r="E205" t="s">
        <v>37</v>
      </c>
      <c r="F205">
        <f t="shared" si="80"/>
        <v>5.3970000000000008E-3</v>
      </c>
      <c r="G205">
        <f t="shared" si="80"/>
        <v>6.1272500000000008E-3</v>
      </c>
      <c r="H205">
        <f>AE34+AA34+W34</f>
        <v>2.426911</v>
      </c>
      <c r="I205">
        <f t="shared" si="81"/>
        <v>5.4265000000000008E-3</v>
      </c>
      <c r="J205">
        <f t="shared" si="81"/>
        <v>6.1070000000000013E-3</v>
      </c>
      <c r="K205">
        <f>AE41+AA41+W41</f>
        <v>3.3411459999999997</v>
      </c>
      <c r="L205">
        <f>(0.05*(1-0.05)+0.05*(1-0.05))*X46+0.05*0.05*AB46+(1-0.05*(1-0.05)-0.05*(1-0.05)-0.05*0.05)*T46</f>
        <v>5.9072500000000002E-3</v>
      </c>
      <c r="M205">
        <f>AE46+AA46+W46</f>
        <v>6.1774149999999999</v>
      </c>
      <c r="O205" s="12"/>
      <c r="P205" s="13"/>
      <c r="Q205" t="s">
        <v>37</v>
      </c>
      <c r="R205">
        <f t="shared" si="82"/>
        <v>6.0880000000000014E-3</v>
      </c>
      <c r="S205">
        <f t="shared" si="82"/>
        <v>6.8490000000000009E-3</v>
      </c>
      <c r="U205">
        <f t="shared" si="83"/>
        <v>6.1460000000000004E-3</v>
      </c>
      <c r="V205">
        <f t="shared" si="83"/>
        <v>6.8080000000000007E-3</v>
      </c>
      <c r="X205">
        <f>(0.1*0.9+0.1*0.9)*X46+0.1*0.1*AB46+(1-0.1*0.9-0.1*0.9-0.1*0.1)*T46</f>
        <v>6.6090000000000003E-3</v>
      </c>
    </row>
    <row r="206" spans="2:25" x14ac:dyDescent="0.25">
      <c r="B206" s="14"/>
    </row>
    <row r="207" spans="2:25" x14ac:dyDescent="0.25">
      <c r="B207" s="14"/>
    </row>
    <row r="208" spans="2:25" x14ac:dyDescent="0.25">
      <c r="B208" s="14"/>
    </row>
    <row r="209" spans="1:25" x14ac:dyDescent="0.25">
      <c r="B209" s="14"/>
      <c r="C209" s="12" t="s">
        <v>42</v>
      </c>
      <c r="D209" s="13" t="s">
        <v>38</v>
      </c>
      <c r="E209" t="s">
        <v>34</v>
      </c>
      <c r="F209">
        <f t="shared" ref="F209:G211" si="84">(0.2*0.8+0.2*0.8)*Y32+0.2*0.2*AC32+(1-0.2*0.8-0.2*0.8-0.2*0.2)*U32</f>
        <v>0</v>
      </c>
      <c r="G209">
        <f t="shared" si="84"/>
        <v>0</v>
      </c>
      <c r="I209">
        <f t="shared" ref="I209:J211" si="85">(0.2*0.8+0.2*0.8)*Y39+0.2*0.2*AC39+(1-0.2*0.8-0.2*0.8-0.2*0.2)*U39</f>
        <v>0</v>
      </c>
      <c r="J209">
        <f t="shared" si="85"/>
        <v>0</v>
      </c>
      <c r="O209" s="12" t="s">
        <v>43</v>
      </c>
      <c r="P209" s="13" t="s">
        <v>39</v>
      </c>
      <c r="Q209" t="s">
        <v>34</v>
      </c>
      <c r="R209">
        <f t="shared" ref="R209:S211" si="86">(0.3*0.7+0.3*0.7)*Y32+0.3*0.3*AC32+(1-0.3*0.7-0.3*0.7-0.3*0.3)*U32</f>
        <v>0</v>
      </c>
      <c r="S209">
        <f t="shared" si="86"/>
        <v>0</v>
      </c>
      <c r="U209">
        <f t="shared" ref="U209:V211" si="87">(0.3*0.7+0.3*0.7)*Y39+0.3*0.3*AC39+(1-0.3*0.7-0.3*0.7-0.3*0.3)*U39</f>
        <v>0</v>
      </c>
      <c r="V209">
        <f t="shared" si="87"/>
        <v>0</v>
      </c>
    </row>
    <row r="210" spans="1:25" x14ac:dyDescent="0.25">
      <c r="B210" s="14"/>
      <c r="C210" s="12"/>
      <c r="D210" s="13"/>
      <c r="E210" t="s">
        <v>36</v>
      </c>
      <c r="F210">
        <f t="shared" si="84"/>
        <v>0</v>
      </c>
      <c r="G210">
        <f t="shared" si="84"/>
        <v>0</v>
      </c>
      <c r="I210">
        <f t="shared" si="85"/>
        <v>0</v>
      </c>
      <c r="J210">
        <f t="shared" si="85"/>
        <v>0</v>
      </c>
      <c r="O210" s="12"/>
      <c r="P210" s="13"/>
      <c r="Q210" t="s">
        <v>36</v>
      </c>
      <c r="R210">
        <f t="shared" si="86"/>
        <v>0</v>
      </c>
      <c r="S210">
        <f t="shared" si="86"/>
        <v>0</v>
      </c>
      <c r="U210">
        <f t="shared" si="87"/>
        <v>0</v>
      </c>
      <c r="V210">
        <f t="shared" si="87"/>
        <v>0</v>
      </c>
    </row>
    <row r="211" spans="1:25" x14ac:dyDescent="0.25">
      <c r="B211" s="14"/>
      <c r="C211" s="12"/>
      <c r="D211" s="13"/>
      <c r="E211" t="s">
        <v>37</v>
      </c>
      <c r="F211">
        <f t="shared" si="84"/>
        <v>7.4520000000000003E-3</v>
      </c>
      <c r="G211">
        <f t="shared" si="84"/>
        <v>8.2760000000000021E-3</v>
      </c>
      <c r="I211">
        <f t="shared" si="85"/>
        <v>7.5640000000000013E-3</v>
      </c>
      <c r="J211">
        <f t="shared" si="85"/>
        <v>8.1920000000000014E-3</v>
      </c>
      <c r="L211">
        <f>(0.2*0.8+0.2*0.8)*X46+0.2*0.2*AB46+(1-0.2*0.8-0.2*0.8-0.2*0.2)*T46</f>
        <v>7.9959999999999996E-3</v>
      </c>
      <c r="O211" s="12"/>
      <c r="P211" s="13"/>
      <c r="Q211" t="s">
        <v>37</v>
      </c>
      <c r="R211">
        <f t="shared" si="86"/>
        <v>8.7920000000000012E-3</v>
      </c>
      <c r="S211">
        <f t="shared" si="86"/>
        <v>9.6810000000000004E-3</v>
      </c>
      <c r="U211">
        <f t="shared" si="87"/>
        <v>8.9540000000000002E-3</v>
      </c>
      <c r="V211">
        <f t="shared" si="87"/>
        <v>9.5520000000000015E-3</v>
      </c>
      <c r="X211">
        <f>(0.3*0.7+0.3*0.7)*X46+0.3*0.3*AB46+(1-0.3*0.7-0.3*0.7-0.3*0.3)*T46</f>
        <v>9.3609999999999995E-3</v>
      </c>
    </row>
    <row r="214" spans="1:25" x14ac:dyDescent="0.25">
      <c r="D214" s="9" t="s">
        <v>12</v>
      </c>
      <c r="E214" s="9"/>
      <c r="F214" s="9"/>
      <c r="G214" s="9"/>
      <c r="H214" s="9"/>
      <c r="I214" s="10" t="s">
        <v>23</v>
      </c>
      <c r="J214" s="10"/>
      <c r="K214" s="10"/>
      <c r="L214" s="11" t="s">
        <v>24</v>
      </c>
      <c r="M214" s="11"/>
      <c r="P214" s="9" t="s">
        <v>12</v>
      </c>
      <c r="Q214" s="9"/>
      <c r="R214" s="9"/>
      <c r="S214" s="9"/>
      <c r="T214" s="9"/>
      <c r="U214" s="10" t="s">
        <v>23</v>
      </c>
      <c r="V214" s="10"/>
      <c r="W214" s="10"/>
      <c r="X214" s="11" t="s">
        <v>24</v>
      </c>
      <c r="Y214" s="11"/>
    </row>
    <row r="215" spans="1:25" x14ac:dyDescent="0.25"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14" t="s">
        <v>11</v>
      </c>
      <c r="B216" s="16" t="s">
        <v>44</v>
      </c>
      <c r="C216" s="12" t="s">
        <v>40</v>
      </c>
      <c r="D216" s="13" t="s">
        <v>33</v>
      </c>
      <c r="E216" t="s">
        <v>34</v>
      </c>
      <c r="F216">
        <f t="shared" ref="F216:G217" si="88">3*0.05*(1-0.05)*(1-0.05)*Y32+3*0.05*0.05*(1-0.05)*AC32+0.05*0.05*0.05*AG32+(1-3*0.05*(1-0.05)*(1-0.05)-3*0.05*0.05*(1-0.05)-0.05*0.05*0.05)*U32</f>
        <v>0</v>
      </c>
      <c r="G216">
        <f t="shared" si="88"/>
        <v>0</v>
      </c>
      <c r="H216">
        <f>AI32+AE32+AA32+W32</f>
        <v>0</v>
      </c>
      <c r="I216">
        <f t="shared" ref="I216:J218" si="89">3*0.05*(1-0.05)*(1-0.05)*Y39+3*0.05*0.05*(1-0.05)*AC39+0.05*0.05*0.05*AG39+(1-3*0.05*(1-0.05)*(1-0.05)-3*0.05*0.05*(1-0.05)-0.05*0.05*0.05)*U39</f>
        <v>0</v>
      </c>
      <c r="J216">
        <f t="shared" si="89"/>
        <v>0</v>
      </c>
      <c r="K216">
        <f>AI39+AE39+AA39+W39</f>
        <v>0</v>
      </c>
      <c r="N216" s="16" t="s">
        <v>45</v>
      </c>
      <c r="O216" s="12" t="s">
        <v>41</v>
      </c>
      <c r="P216" s="13" t="s">
        <v>35</v>
      </c>
      <c r="Q216" t="s">
        <v>34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0</v>
      </c>
      <c r="U216">
        <f t="shared" ref="U216:V218" si="91">3*0.1*(1-0.1)*(1-0.1)*Y39+3*0.1*0.1*(1-0.1)*AC39+0.1*0.1*0.1*AG39+(1-3*0.1*(1-0.1)*(1-0.1)-3*0.1*0.1*(1-0.1)-0.1*0.1*0.1)*U39</f>
        <v>0</v>
      </c>
      <c r="V216">
        <f t="shared" si="91"/>
        <v>0</v>
      </c>
    </row>
    <row r="217" spans="1:25" x14ac:dyDescent="0.25">
      <c r="A217" s="14"/>
      <c r="B217" s="16"/>
      <c r="C217" s="12"/>
      <c r="D217" s="13"/>
      <c r="E217" t="s">
        <v>36</v>
      </c>
      <c r="F217">
        <f t="shared" si="88"/>
        <v>0</v>
      </c>
      <c r="G217">
        <f t="shared" si="88"/>
        <v>0</v>
      </c>
      <c r="H217">
        <f>AI33+AE33+AA33+W33</f>
        <v>0</v>
      </c>
      <c r="I217">
        <f t="shared" si="89"/>
        <v>0</v>
      </c>
      <c r="J217">
        <f t="shared" si="89"/>
        <v>0</v>
      </c>
      <c r="K217">
        <f>AI40+AE40+AA40+W40</f>
        <v>0</v>
      </c>
      <c r="N217" s="16"/>
      <c r="O217" s="12"/>
      <c r="P217" s="13"/>
      <c r="Q217" t="s">
        <v>36</v>
      </c>
      <c r="R217">
        <f t="shared" si="90"/>
        <v>0</v>
      </c>
      <c r="S217">
        <f t="shared" si="90"/>
        <v>0</v>
      </c>
      <c r="U217">
        <f t="shared" si="91"/>
        <v>0</v>
      </c>
      <c r="V217">
        <f t="shared" si="91"/>
        <v>0</v>
      </c>
    </row>
    <row r="218" spans="1:25" x14ac:dyDescent="0.25">
      <c r="A218" s="14"/>
      <c r="B218" s="16"/>
      <c r="C218" s="12"/>
      <c r="D218" s="13"/>
      <c r="E218" t="s">
        <v>37</v>
      </c>
      <c r="F218" s="3">
        <f>3*0.05*(1-0.05)*(1-0.05)*Y34+3*0.05*0.05*(1-0.05)*AC34+0.05*0.05*0.05*AG34+(1-3*0.05*(1-0.05)*(1-0.05)-3*0.05*0.05*(1-0.05)-0.05*0.05*0.05)*U34</f>
        <v>5.7410499999999993E-3</v>
      </c>
      <c r="G218" s="3">
        <f>3*0.05*(1-0.05)*(1-0.05)*Z34+3*0.05*0.05*(1-0.05)*AD34+0.05*0.05*0.05*AH34+(1-3*0.05*(1-0.05)*(1-0.05)-3*0.05*0.05*(1-0.05)-0.05*0.05*0.05)*V34</f>
        <v>6.4867999999999992E-3</v>
      </c>
      <c r="H218">
        <f>AI34+AE34+AA34+W34</f>
        <v>3.5465150000000003</v>
      </c>
      <c r="I218">
        <f t="shared" si="89"/>
        <v>5.7845374999999999E-3</v>
      </c>
      <c r="J218">
        <f t="shared" si="89"/>
        <v>6.4560874999999998E-3</v>
      </c>
      <c r="K218">
        <f>AI41+AE41+AA41+W41</f>
        <v>4.4708950000000005</v>
      </c>
      <c r="L218">
        <f>3*0.05*(1-0.05)*(1-0.05)*X46+3*0.05*0.05*(1-0.05)*AB46+0.05*0.05*0.05*AF46+(1-3*0.05*(1-0.05)*(1-0.05)-3*0.05*0.05*(1-0.05)-0.05*0.05*0.05)*T46</f>
        <v>6.2567749999999991E-3</v>
      </c>
      <c r="M218">
        <f>AI46+AE46+AA46+W46</f>
        <v>8.2294090000000004</v>
      </c>
      <c r="N218" s="16"/>
      <c r="O218" s="12"/>
      <c r="P218" s="13"/>
      <c r="Q218" t="s">
        <v>37</v>
      </c>
      <c r="R218">
        <f t="shared" si="90"/>
        <v>6.7644000000000003E-3</v>
      </c>
      <c r="S218">
        <f t="shared" si="90"/>
        <v>7.5574000000000006E-3</v>
      </c>
      <c r="U218">
        <f t="shared" si="91"/>
        <v>6.8482999999999999E-3</v>
      </c>
      <c r="V218">
        <f t="shared" si="91"/>
        <v>7.4947000000000008E-3</v>
      </c>
      <c r="X218">
        <f>3*0.1*(1-0.1)*(1-0.1)*X46+3*0.1*0.1*(1-0.1)*AB46+0.1*0.1*0.1*AF46+(1-3*0.1*(1-0.1)*(1-0.1)-3*0.1*0.1*(1-0.1)-0.1*0.1*0.1)*T46</f>
        <v>7.2972000000000002E-3</v>
      </c>
    </row>
    <row r="219" spans="1:25" x14ac:dyDescent="0.25">
      <c r="A219" s="14"/>
    </row>
    <row r="220" spans="1:25" x14ac:dyDescent="0.25">
      <c r="A220" s="14"/>
    </row>
    <row r="221" spans="1:25" x14ac:dyDescent="0.25">
      <c r="A221" s="14"/>
    </row>
    <row r="222" spans="1:25" x14ac:dyDescent="0.25">
      <c r="A222" s="14"/>
      <c r="B222" s="16" t="s">
        <v>46</v>
      </c>
      <c r="C222" s="12" t="s">
        <v>42</v>
      </c>
      <c r="D222" s="13" t="s">
        <v>38</v>
      </c>
      <c r="E222" t="s">
        <v>34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0</v>
      </c>
      <c r="I222">
        <f t="shared" ref="I222:J224" si="93">3*0.2*(1-0.2)*(1-0.2)*Y39+3*0.2*0.2*(1-0.2)*AC39+0.2*0.2*0.2*AG39+(1-3*0.2*(1-0.2)*(1-0.2)-3*0.2*0.2*(1-0.2)-0.2*0.2*0.2)*U39</f>
        <v>0</v>
      </c>
      <c r="J222">
        <f t="shared" si="93"/>
        <v>0</v>
      </c>
      <c r="N222" s="16" t="s">
        <v>47</v>
      </c>
      <c r="O222" s="12" t="s">
        <v>43</v>
      </c>
      <c r="P222" s="13" t="s">
        <v>39</v>
      </c>
      <c r="Q222" t="s">
        <v>34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0</v>
      </c>
      <c r="U222">
        <f t="shared" ref="U222:V224" si="95">3*0.3*(1-0.3)*(1-0.3)*Y39+3*0.3*0.3*(1-0.3)*AC39+0.3*0.3*0.3*AG39+(1-3*0.3*(1-0.3)*(1-0.3)-3*0.3*0.3*(1-0.3)-0.3*0.3*0.3)*U39</f>
        <v>0</v>
      </c>
      <c r="V222">
        <f t="shared" si="95"/>
        <v>0</v>
      </c>
    </row>
    <row r="223" spans="1:25" x14ac:dyDescent="0.25">
      <c r="A223" s="14"/>
      <c r="B223" s="16"/>
      <c r="C223" s="12"/>
      <c r="D223" s="13"/>
      <c r="E223" t="s">
        <v>36</v>
      </c>
      <c r="F223">
        <f t="shared" si="92"/>
        <v>0</v>
      </c>
      <c r="G223">
        <f t="shared" si="92"/>
        <v>0</v>
      </c>
      <c r="I223">
        <f t="shared" si="93"/>
        <v>0</v>
      </c>
      <c r="J223">
        <f t="shared" si="93"/>
        <v>0</v>
      </c>
      <c r="N223" s="16"/>
      <c r="O223" s="12"/>
      <c r="P223" s="13"/>
      <c r="Q223" t="s">
        <v>36</v>
      </c>
      <c r="R223">
        <f t="shared" si="94"/>
        <v>0</v>
      </c>
      <c r="S223">
        <f t="shared" si="94"/>
        <v>0</v>
      </c>
      <c r="U223">
        <f t="shared" si="95"/>
        <v>0</v>
      </c>
      <c r="V223">
        <f t="shared" si="95"/>
        <v>0</v>
      </c>
    </row>
    <row r="224" spans="1:25" x14ac:dyDescent="0.25">
      <c r="A224" s="14"/>
      <c r="B224" s="16"/>
      <c r="C224" s="12"/>
      <c r="D224" s="13"/>
      <c r="E224" t="s">
        <v>37</v>
      </c>
      <c r="F224">
        <f t="shared" si="92"/>
        <v>8.7592000000000017E-3</v>
      </c>
      <c r="G224">
        <f t="shared" si="92"/>
        <v>9.6512000000000021E-3</v>
      </c>
      <c r="I224">
        <f t="shared" si="93"/>
        <v>8.9144000000000011E-3</v>
      </c>
      <c r="J224">
        <f t="shared" si="93"/>
        <v>9.5216000000000016E-3</v>
      </c>
      <c r="L224">
        <f>3*0.2*(1-0.2)*(1-0.2)*X46+3*0.2*0.2*(1-0.2)*AB46+0.2*0.2*0.2*AF46+(1-3*0.2*(1-0.2)*(1-0.2)-3*0.2*0.2*(1-0.2)-0.2*0.2*0.2)*T46</f>
        <v>9.3296000000000004E-3</v>
      </c>
      <c r="N224" s="16"/>
      <c r="O224" s="12"/>
      <c r="P224" s="13"/>
      <c r="Q224" t="s">
        <v>37</v>
      </c>
      <c r="R224">
        <f t="shared" si="94"/>
        <v>1.06868E-2</v>
      </c>
      <c r="S224">
        <f t="shared" si="94"/>
        <v>1.1683799999999999E-2</v>
      </c>
      <c r="U224">
        <f t="shared" si="95"/>
        <v>1.0900099999999999E-2</v>
      </c>
      <c r="V224">
        <f t="shared" si="95"/>
        <v>1.1484900000000001E-2</v>
      </c>
      <c r="X224">
        <f>3*0.3*(1-0.3)*(1-0.3)*X46+3*0.3*0.3*(1-0.3)*AB46+0.3*0.3*0.3*AF46+(1-3*0.3*(1-0.3)*(1-0.3)-3*0.3*0.3*(1-0.3)-0.3*0.3*0.3)*T46</f>
        <v>1.12984E-2</v>
      </c>
    </row>
    <row r="227" spans="1:25" x14ac:dyDescent="0.25">
      <c r="A227" s="1" t="s">
        <v>28</v>
      </c>
      <c r="D227" s="9" t="s">
        <v>12</v>
      </c>
      <c r="E227" s="9"/>
      <c r="F227" s="9"/>
      <c r="G227" s="9"/>
      <c r="H227" s="9"/>
      <c r="I227" s="10" t="s">
        <v>23</v>
      </c>
      <c r="J227" s="10"/>
      <c r="K227" s="10"/>
      <c r="L227" s="11" t="s">
        <v>24</v>
      </c>
      <c r="M227" s="11"/>
      <c r="N227" s="2"/>
      <c r="P227" s="9" t="s">
        <v>12</v>
      </c>
      <c r="Q227" s="9"/>
      <c r="R227" s="9"/>
      <c r="S227" s="9"/>
      <c r="T227" s="9"/>
      <c r="U227" s="10" t="s">
        <v>23</v>
      </c>
      <c r="V227" s="10"/>
      <c r="W227" s="10"/>
      <c r="X227" s="11" t="s">
        <v>24</v>
      </c>
      <c r="Y227" s="11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14" t="s">
        <v>9</v>
      </c>
      <c r="D229" s="13" t="s">
        <v>33</v>
      </c>
      <c r="E229" t="s">
        <v>34</v>
      </c>
      <c r="F229">
        <f t="shared" ref="F229:G230" si="96">0.05*G52+(1-0.05)*C52</f>
        <v>0</v>
      </c>
      <c r="G229">
        <f t="shared" si="96"/>
        <v>0</v>
      </c>
      <c r="H229">
        <f>I52+E52</f>
        <v>0</v>
      </c>
      <c r="I229">
        <f t="shared" ref="I229:J230" si="97">0.05*G59+(1-0.05)*C59</f>
        <v>0</v>
      </c>
      <c r="J229">
        <f t="shared" si="97"/>
        <v>0</v>
      </c>
      <c r="K229">
        <f>I59+E59</f>
        <v>0</v>
      </c>
      <c r="P229" s="13" t="s">
        <v>35</v>
      </c>
      <c r="Q229" t="s">
        <v>34</v>
      </c>
      <c r="R229">
        <f t="shared" ref="R229:S230" si="98">0.1*G52+(1-0.1)*C52</f>
        <v>0</v>
      </c>
      <c r="S229">
        <f t="shared" si="98"/>
        <v>0</v>
      </c>
      <c r="U229">
        <f t="shared" ref="U229:V231" si="99">0.1*G59+(1-0.1)*C59</f>
        <v>0</v>
      </c>
      <c r="V229">
        <f t="shared" si="99"/>
        <v>0</v>
      </c>
    </row>
    <row r="230" spans="1:25" x14ac:dyDescent="0.25">
      <c r="C230" s="14"/>
      <c r="D230" s="13"/>
      <c r="E230" t="s">
        <v>36</v>
      </c>
      <c r="F230">
        <f t="shared" si="96"/>
        <v>0</v>
      </c>
      <c r="G230">
        <f t="shared" si="96"/>
        <v>0</v>
      </c>
      <c r="H230">
        <f>I53+E53</f>
        <v>0</v>
      </c>
      <c r="I230">
        <f t="shared" si="97"/>
        <v>0</v>
      </c>
      <c r="J230">
        <f t="shared" si="97"/>
        <v>0</v>
      </c>
      <c r="K230">
        <f>I60+E60</f>
        <v>0</v>
      </c>
      <c r="P230" s="13"/>
      <c r="Q230" t="s">
        <v>36</v>
      </c>
      <c r="R230">
        <f t="shared" si="98"/>
        <v>0</v>
      </c>
      <c r="S230">
        <f t="shared" si="98"/>
        <v>0</v>
      </c>
      <c r="U230">
        <f t="shared" si="99"/>
        <v>0</v>
      </c>
      <c r="V230">
        <f t="shared" si="99"/>
        <v>0</v>
      </c>
    </row>
    <row r="231" spans="1:25" x14ac:dyDescent="0.25">
      <c r="C231" s="14"/>
      <c r="D231" s="13"/>
      <c r="E231" t="s">
        <v>37</v>
      </c>
      <c r="F231" s="3">
        <f>0.05*G54+(1-0.05)*C54</f>
        <v>2.8549999999999999E-3</v>
      </c>
      <c r="G231" s="3">
        <f>0.05*H54+(1-0.05)*D54</f>
        <v>3.9499999999999995E-3</v>
      </c>
      <c r="H231">
        <f>I54+E54</f>
        <v>1.8124799999999999</v>
      </c>
      <c r="I231" s="3">
        <f>0.05*G61+(1-0.05)*C61</f>
        <v>2.8600000000000001E-3</v>
      </c>
      <c r="J231" s="3">
        <f>0.05*H61+(1-0.05)*D61</f>
        <v>3.9100000000000003E-3</v>
      </c>
      <c r="K231">
        <f>I61+E61</f>
        <v>2.2319529999999999</v>
      </c>
      <c r="L231">
        <f>0.05*F66+(1-0.05)*B66</f>
        <v>3.4499999999999999E-3</v>
      </c>
      <c r="M231">
        <f>I66+E66</f>
        <v>4.1321159999999999</v>
      </c>
      <c r="P231" s="13"/>
      <c r="Q231" t="s">
        <v>37</v>
      </c>
      <c r="R231" s="3">
        <f>0.1*G54+(1-0.1)*C54</f>
        <v>3.2100000000000002E-3</v>
      </c>
      <c r="S231" s="3">
        <f>0.1*H54+(1-0.1)*D54</f>
        <v>4.3E-3</v>
      </c>
      <c r="U231">
        <f t="shared" si="99"/>
        <v>3.2200000000000002E-3</v>
      </c>
      <c r="V231">
        <f t="shared" si="99"/>
        <v>4.2199999999999998E-3</v>
      </c>
      <c r="X231">
        <f>0.1*F66+(1-0.1)*B66</f>
        <v>3.8E-3</v>
      </c>
    </row>
    <row r="232" spans="1:25" x14ac:dyDescent="0.25">
      <c r="C232" s="14"/>
    </row>
    <row r="233" spans="1:25" x14ac:dyDescent="0.25">
      <c r="C233" s="14"/>
    </row>
    <row r="234" spans="1:25" x14ac:dyDescent="0.25">
      <c r="C234" s="14"/>
    </row>
    <row r="235" spans="1:25" x14ac:dyDescent="0.25">
      <c r="C235" s="14"/>
      <c r="D235" s="13" t="s">
        <v>38</v>
      </c>
      <c r="E235" t="s">
        <v>34</v>
      </c>
      <c r="F235">
        <f t="shared" ref="F235:G236" si="100">0.2*G52+(1-0.2)*C52</f>
        <v>0</v>
      </c>
      <c r="G235">
        <f t="shared" si="100"/>
        <v>0</v>
      </c>
      <c r="I235">
        <f t="shared" ref="I235:J237" si="101">0.2*G59+(1-0.2)*C59</f>
        <v>0</v>
      </c>
      <c r="J235">
        <f t="shared" si="101"/>
        <v>0</v>
      </c>
      <c r="P235" s="13" t="s">
        <v>39</v>
      </c>
      <c r="Q235" t="s">
        <v>34</v>
      </c>
      <c r="R235">
        <f t="shared" ref="R235:S236" si="102">0.3*G52+(1-0.3)*C52</f>
        <v>0</v>
      </c>
      <c r="S235">
        <f t="shared" si="102"/>
        <v>0</v>
      </c>
      <c r="U235">
        <f t="shared" ref="U235:V237" si="103">0.3*G59+(1-0.3)*C59</f>
        <v>0</v>
      </c>
      <c r="V235">
        <f t="shared" si="103"/>
        <v>0</v>
      </c>
    </row>
    <row r="236" spans="1:25" x14ac:dyDescent="0.25">
      <c r="C236" s="14"/>
      <c r="D236" s="13"/>
      <c r="E236" t="s">
        <v>36</v>
      </c>
      <c r="F236">
        <f t="shared" si="100"/>
        <v>0</v>
      </c>
      <c r="G236">
        <f t="shared" si="100"/>
        <v>0</v>
      </c>
      <c r="I236">
        <f t="shared" si="101"/>
        <v>0</v>
      </c>
      <c r="J236">
        <f t="shared" si="101"/>
        <v>0</v>
      </c>
      <c r="P236" s="13"/>
      <c r="Q236" t="s">
        <v>36</v>
      </c>
      <c r="R236">
        <f t="shared" si="102"/>
        <v>0</v>
      </c>
      <c r="S236">
        <f t="shared" si="102"/>
        <v>0</v>
      </c>
      <c r="U236">
        <f t="shared" si="103"/>
        <v>0</v>
      </c>
      <c r="V236">
        <f t="shared" si="103"/>
        <v>0</v>
      </c>
    </row>
    <row r="237" spans="1:25" x14ac:dyDescent="0.25">
      <c r="C237" s="14"/>
      <c r="D237" s="13"/>
      <c r="E237" t="s">
        <v>37</v>
      </c>
      <c r="F237" s="3">
        <f>0.2*G54+(1-0.2)*C54</f>
        <v>3.9199999999999999E-3</v>
      </c>
      <c r="G237" s="3">
        <f>0.2*H54+(1-0.2)*D54</f>
        <v>5.0000000000000001E-3</v>
      </c>
      <c r="I237">
        <f t="shared" si="101"/>
        <v>3.9399999999999999E-3</v>
      </c>
      <c r="J237">
        <f t="shared" si="101"/>
        <v>4.8400000000000006E-3</v>
      </c>
      <c r="L237">
        <f>0.2*F66+(1-0.2)*B66</f>
        <v>4.5000000000000005E-3</v>
      </c>
      <c r="P237" s="13"/>
      <c r="Q237" t="s">
        <v>37</v>
      </c>
      <c r="R237" s="3">
        <f>0.3*G54+(1-0.3)*C54</f>
        <v>4.6299999999999996E-3</v>
      </c>
      <c r="S237" s="3">
        <f>0.3*H54+(1-0.3)*D54</f>
        <v>5.7000000000000002E-3</v>
      </c>
      <c r="U237">
        <f t="shared" si="103"/>
        <v>4.6599999999999992E-3</v>
      </c>
      <c r="V237">
        <f t="shared" si="103"/>
        <v>5.4599999999999996E-3</v>
      </c>
      <c r="X237">
        <f>0.3*F66+(1-0.3)*B66</f>
        <v>5.1999999999999998E-3</v>
      </c>
    </row>
    <row r="240" spans="1:25" x14ac:dyDescent="0.25">
      <c r="D240" s="9" t="s">
        <v>12</v>
      </c>
      <c r="E240" s="9"/>
      <c r="F240" s="9"/>
      <c r="G240" s="9"/>
      <c r="H240" s="9"/>
      <c r="I240" s="10" t="s">
        <v>23</v>
      </c>
      <c r="J240" s="10"/>
      <c r="K240" s="10"/>
      <c r="L240" s="11" t="s">
        <v>24</v>
      </c>
      <c r="M240" s="11"/>
      <c r="P240" s="9" t="s">
        <v>12</v>
      </c>
      <c r="Q240" s="9"/>
      <c r="R240" s="9"/>
      <c r="S240" s="9"/>
      <c r="T240" s="9"/>
      <c r="U240" s="10" t="s">
        <v>23</v>
      </c>
      <c r="V240" s="10"/>
      <c r="W240" s="10"/>
      <c r="X240" s="11" t="s">
        <v>24</v>
      </c>
      <c r="Y240" s="11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14" t="s">
        <v>10</v>
      </c>
      <c r="C242" s="12" t="s">
        <v>40</v>
      </c>
      <c r="D242" s="13" t="s">
        <v>33</v>
      </c>
      <c r="E242" t="s">
        <v>34</v>
      </c>
      <c r="F242">
        <f t="shared" ref="F242:G243" si="104">(0.05*(1-0.05)+0.05*(1-0.05))*G52+0.05*0.05*K52+(1-0.05*(1-0.05)-0.05*(1-0.05)-0.05*0.05)*C52</f>
        <v>0</v>
      </c>
      <c r="G242">
        <f t="shared" si="104"/>
        <v>0</v>
      </c>
      <c r="H242">
        <f>M52+I52+E52</f>
        <v>0</v>
      </c>
      <c r="I242">
        <f t="shared" ref="I242:J244" si="105">(0.05*(1-0.05)+0.05*(1-0.05))*G59+0.05*0.05*K59+(1-0.05*(1-0.05)-0.05*(1-0.05)-0.05*0.05)*C59</f>
        <v>0</v>
      </c>
      <c r="J242">
        <f t="shared" si="105"/>
        <v>0</v>
      </c>
      <c r="K242">
        <f>M59+I59+E59</f>
        <v>0</v>
      </c>
      <c r="O242" s="12" t="s">
        <v>41</v>
      </c>
      <c r="P242" s="13" t="s">
        <v>35</v>
      </c>
      <c r="Q242" t="s">
        <v>34</v>
      </c>
      <c r="R242">
        <f t="shared" ref="R242:S243" si="106">(0.1*0.9+0.1*0.9)*G52+0.1*0.1*K52+(1-0.1*0.9-0.1*0.9-0.1*0.1)*C52</f>
        <v>0</v>
      </c>
      <c r="S242">
        <f t="shared" si="106"/>
        <v>0</v>
      </c>
      <c r="U242">
        <f t="shared" ref="U242:V244" si="107">(0.1*0.9+0.1*0.9)*G59+0.1*0.1*K59+(1-0.1*0.9-0.1*0.9-0.1*0.1)*C59</f>
        <v>0</v>
      </c>
      <c r="V242">
        <f t="shared" si="107"/>
        <v>0</v>
      </c>
    </row>
    <row r="243" spans="1:25" x14ac:dyDescent="0.25">
      <c r="B243" s="14"/>
      <c r="C243" s="12"/>
      <c r="D243" s="13"/>
      <c r="E243" t="s">
        <v>36</v>
      </c>
      <c r="F243">
        <f t="shared" si="104"/>
        <v>0</v>
      </c>
      <c r="G243">
        <f t="shared" si="104"/>
        <v>0</v>
      </c>
      <c r="H243">
        <f>M53+I53+E53</f>
        <v>0</v>
      </c>
      <c r="I243">
        <f t="shared" si="105"/>
        <v>0</v>
      </c>
      <c r="J243">
        <f t="shared" si="105"/>
        <v>0</v>
      </c>
      <c r="K243">
        <f>M60+I60+E60</f>
        <v>0</v>
      </c>
      <c r="O243" s="12"/>
      <c r="P243" s="13"/>
      <c r="Q243" t="s">
        <v>36</v>
      </c>
      <c r="R243">
        <f t="shared" si="106"/>
        <v>0</v>
      </c>
      <c r="S243">
        <f t="shared" si="106"/>
        <v>0</v>
      </c>
      <c r="U243">
        <f t="shared" si="107"/>
        <v>0</v>
      </c>
      <c r="V243">
        <f t="shared" si="107"/>
        <v>0</v>
      </c>
    </row>
    <row r="244" spans="1:25" x14ac:dyDescent="0.25">
      <c r="B244" s="14"/>
      <c r="C244" s="12"/>
      <c r="D244" s="13"/>
      <c r="E244" t="s">
        <v>37</v>
      </c>
      <c r="F244" s="3">
        <f>(0.05*(1-0.05)+0.05*(1-0.05))*G54+0.05*0.05*K54+(1-0.05*(1-0.05)-0.05*(1-0.05)-0.05*0.05)*C54</f>
        <v>3.1992500000000003E-3</v>
      </c>
      <c r="G244" s="3">
        <f>(0.05*(1-0.05)+0.05*(1-0.05))*H54+0.05*0.05*L54+(1-0.05*(1-0.05)-0.05*(1-0.05)-0.05*0.05)*D54</f>
        <v>4.2917500000000004E-3</v>
      </c>
      <c r="H244">
        <f>M54+I54+E54</f>
        <v>2.6254949999999999</v>
      </c>
      <c r="I244">
        <f t="shared" si="105"/>
        <v>3.2127500000000003E-3</v>
      </c>
      <c r="J244">
        <f t="shared" si="105"/>
        <v>4.215E-3</v>
      </c>
      <c r="K244">
        <f>M61+I61+E61</f>
        <v>3.3881320000000006</v>
      </c>
      <c r="L244">
        <f>(0.05*(1-0.05)+0.05*(1-0.05))*F66+0.05*0.05*J66+(1-0.05*(1-0.05)-0.05*(1-0.05)-0.05*0.05)*B66</f>
        <v>3.7927500000000001E-3</v>
      </c>
      <c r="M244">
        <f>M66+I66+E66</f>
        <v>5.8491160000000004</v>
      </c>
      <c r="O244" s="12"/>
      <c r="P244" s="13"/>
      <c r="Q244" t="s">
        <v>37</v>
      </c>
      <c r="R244">
        <f>(0.1*0.9+0.1*0.9)*G54+0.1*0.1*K54+(1-0.1*0.9-0.1*0.9-0.1*0.1)*D54</f>
        <v>4.7680000000000005E-3</v>
      </c>
      <c r="S244">
        <f>(0.1*0.9+0.1*0.9)*H54+0.1*0.1*L54+(1-0.1*0.9-0.1*0.9-0.1*0.1)*C54</f>
        <v>4.0760000000000006E-3</v>
      </c>
      <c r="U244">
        <f t="shared" si="107"/>
        <v>3.9110000000000004E-3</v>
      </c>
      <c r="V244">
        <f t="shared" si="107"/>
        <v>4.8200000000000005E-3</v>
      </c>
      <c r="X244">
        <f>(0.1*0.9+0.1*0.9)*F66+0.1*0.1*J66+(1-0.1*0.9-0.1*0.9-0.1*0.1)*B66</f>
        <v>4.471000000000001E-3</v>
      </c>
    </row>
    <row r="245" spans="1:25" x14ac:dyDescent="0.25">
      <c r="B245" s="14"/>
    </row>
    <row r="246" spans="1:25" x14ac:dyDescent="0.25">
      <c r="B246" s="14"/>
    </row>
    <row r="247" spans="1:25" x14ac:dyDescent="0.25">
      <c r="B247" s="14"/>
    </row>
    <row r="248" spans="1:25" x14ac:dyDescent="0.25">
      <c r="B248" s="14"/>
      <c r="C248" s="12" t="s">
        <v>42</v>
      </c>
      <c r="D248" s="13" t="s">
        <v>38</v>
      </c>
      <c r="E248" t="s">
        <v>34</v>
      </c>
      <c r="F248">
        <f t="shared" ref="F248:G249" si="108">(0.2*0.8+0.2*0.8)*G52+0.2*0.2*K52+(1-0.2*0.8-0.2*0.8-0.2*0.2)*C52</f>
        <v>0</v>
      </c>
      <c r="G248">
        <f t="shared" si="108"/>
        <v>0</v>
      </c>
      <c r="I248">
        <f t="shared" ref="I248:J250" si="109">(0.2*0.8+0.2*0.8)*G59+0.2*0.2*K59+(1-0.2*0.8-0.2*0.8-0.2*0.2)*C59</f>
        <v>0</v>
      </c>
      <c r="J248">
        <f t="shared" si="109"/>
        <v>0</v>
      </c>
      <c r="O248" s="12" t="s">
        <v>43</v>
      </c>
      <c r="P248" s="13" t="s">
        <v>39</v>
      </c>
      <c r="Q248" t="s">
        <v>34</v>
      </c>
      <c r="R248">
        <f t="shared" ref="R248:S249" si="110">(0.3*0.7+0.3*0.7)*G52+0.3*0.3*K52+(1-0.3*0.7-0.3*0.7-0.3*0.3)*C52</f>
        <v>0</v>
      </c>
      <c r="S248">
        <f t="shared" si="110"/>
        <v>0</v>
      </c>
      <c r="U248">
        <f t="shared" ref="U248:V250" si="111">(0.3*0.7+0.3*0.7)*G59+0.3*0.3*K59+(1-0.3*0.7-0.3*0.7-0.3*0.3)*C59</f>
        <v>0</v>
      </c>
      <c r="V248">
        <f t="shared" si="111"/>
        <v>0</v>
      </c>
    </row>
    <row r="249" spans="1:25" x14ac:dyDescent="0.25">
      <c r="B249" s="14"/>
      <c r="C249" s="12"/>
      <c r="D249" s="13"/>
      <c r="E249" t="s">
        <v>36</v>
      </c>
      <c r="F249">
        <f t="shared" si="108"/>
        <v>0</v>
      </c>
      <c r="G249">
        <f t="shared" si="108"/>
        <v>0</v>
      </c>
      <c r="I249">
        <f t="shared" si="109"/>
        <v>0</v>
      </c>
      <c r="J249">
        <f t="shared" si="109"/>
        <v>0</v>
      </c>
      <c r="O249" s="12"/>
      <c r="P249" s="13"/>
      <c r="Q249" t="s">
        <v>36</v>
      </c>
      <c r="R249">
        <f t="shared" si="110"/>
        <v>0</v>
      </c>
      <c r="S249">
        <f t="shared" si="110"/>
        <v>0</v>
      </c>
      <c r="U249">
        <f t="shared" si="111"/>
        <v>0</v>
      </c>
      <c r="V249">
        <f t="shared" si="111"/>
        <v>0</v>
      </c>
    </row>
    <row r="250" spans="1:25" x14ac:dyDescent="0.25">
      <c r="B250" s="14"/>
      <c r="C250" s="12"/>
      <c r="D250" s="13"/>
      <c r="E250" t="s">
        <v>37</v>
      </c>
      <c r="F250">
        <f>(0.2*0.8+0.2*0.8)*G54+0.2*0.2*K54+(1-0.2*0.8-0.2*0.8-0.2*0.2)*D54</f>
        <v>5.8720000000000005E-3</v>
      </c>
      <c r="G250">
        <f>(0.2*0.8+0.2*0.8)*H54+0.2*0.2*L54+(1-0.2*0.8-0.2*0.8-0.2*0.2)*C54</f>
        <v>5.5640000000000004E-3</v>
      </c>
      <c r="I250">
        <f t="shared" si="109"/>
        <v>5.2640000000000013E-3</v>
      </c>
      <c r="J250">
        <f t="shared" si="109"/>
        <v>6.0000000000000001E-3</v>
      </c>
      <c r="L250">
        <f>(0.2*0.8+0.2*0.8)*F66+0.2*0.2*J66+(1-0.2*0.8-0.2*0.8-0.2*0.2)*B66</f>
        <v>5.7840000000000001E-3</v>
      </c>
      <c r="O250" s="12"/>
      <c r="P250" s="13"/>
      <c r="Q250" t="s">
        <v>37</v>
      </c>
      <c r="R250">
        <f>(0.3*0.7+0.3*0.7)*G54+0.3*0.3*K54+(1-0.3*0.7-0.3*0.7-0.3*0.3)*D54</f>
        <v>6.9119999999999997E-3</v>
      </c>
      <c r="S250">
        <f>(0.3*0.7+0.3*0.7)*H54+0.3*0.3*L54+(1-0.3*0.7-0.3*0.7-0.3*0.3)*C54</f>
        <v>6.9640000000000006E-3</v>
      </c>
      <c r="U250">
        <f t="shared" si="111"/>
        <v>6.5590000000000006E-3</v>
      </c>
      <c r="V250">
        <f t="shared" si="111"/>
        <v>7.1400000000000005E-3</v>
      </c>
      <c r="X250">
        <f>(0.3*0.7+0.3*0.7)*F66+0.3*0.3*J66+(1-0.3*0.7-0.3*0.7-0.3*0.3)*B66</f>
        <v>7.0389999999999993E-3</v>
      </c>
    </row>
    <row r="253" spans="1:25" x14ac:dyDescent="0.25">
      <c r="D253" s="9" t="s">
        <v>12</v>
      </c>
      <c r="E253" s="9"/>
      <c r="F253" s="9"/>
      <c r="G253" s="9"/>
      <c r="H253" s="9"/>
      <c r="I253" s="10" t="s">
        <v>23</v>
      </c>
      <c r="J253" s="10"/>
      <c r="K253" s="10"/>
      <c r="L253" s="11" t="s">
        <v>24</v>
      </c>
      <c r="M253" s="11"/>
      <c r="P253" s="9" t="s">
        <v>12</v>
      </c>
      <c r="Q253" s="9"/>
      <c r="R253" s="9"/>
      <c r="S253" s="9"/>
      <c r="T253" s="9"/>
      <c r="U253" s="10" t="s">
        <v>23</v>
      </c>
      <c r="V253" s="10"/>
      <c r="W253" s="10"/>
      <c r="X253" s="11" t="s">
        <v>24</v>
      </c>
      <c r="Y253" s="11"/>
    </row>
    <row r="254" spans="1:25" x14ac:dyDescent="0.25"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14" t="s">
        <v>11</v>
      </c>
      <c r="B255" s="16" t="s">
        <v>44</v>
      </c>
      <c r="C255" s="12" t="s">
        <v>40</v>
      </c>
      <c r="D255" s="13" t="s">
        <v>33</v>
      </c>
      <c r="E255" t="s">
        <v>34</v>
      </c>
      <c r="F255">
        <f t="shared" ref="F255:G256" si="112">3*0.05*(1-0.05)*(1-0.05)*G52+3*0.05*0.05*(1-0.05)*K52+0.05*0.05*0.05*O52+(1-3*0.05*(1-0.05)*(1-0.05)-3*0.05*0.05*(1-0.05)-0.05*0.05*0.05)*C52</f>
        <v>0</v>
      </c>
      <c r="G255">
        <f t="shared" si="112"/>
        <v>0</v>
      </c>
      <c r="H255">
        <f>Q52+M52+I52+E52</f>
        <v>0</v>
      </c>
      <c r="I255">
        <f t="shared" ref="I255:J257" si="113">3*0.05*(1-0.05)*(1-0.05)*G59+3*0.05*0.05*(1-0.05)*K59+0.05*0.05*0.05*O59+(1-3*0.05*(1-0.05)*(1-0.05)-3*0.05*0.05*(1-0.05)-0.05*0.05*0.05)*C59</f>
        <v>0</v>
      </c>
      <c r="J255">
        <f t="shared" si="113"/>
        <v>0</v>
      </c>
      <c r="K255">
        <f>Q59+M59+I59+E59</f>
        <v>0</v>
      </c>
      <c r="N255" s="16" t="s">
        <v>45</v>
      </c>
      <c r="O255" s="12" t="s">
        <v>41</v>
      </c>
      <c r="P255" s="13" t="s">
        <v>35</v>
      </c>
      <c r="Q255" t="s">
        <v>34</v>
      </c>
      <c r="R255">
        <f t="shared" ref="R255:S256" si="114">3*0.1*(1-0.1)*(1-0.1)*G52+3*0.1*0.1*(1-0.1)*K52+0.1*0.1*0.1*O52+(1-3*0.1*(1-0.1)*(1-0.1)-3*0.1*0.1*(1-0.1)-0.1*0.1*0.1)*C52</f>
        <v>0</v>
      </c>
      <c r="S255">
        <f t="shared" si="114"/>
        <v>0</v>
      </c>
      <c r="U255">
        <f t="shared" ref="U255:V257" si="115">3*0.1*(1-0.1)*(1-0.1)*G59+3*0.1*0.1*(1-0.1)*K59+0.1*0.1*0.1*O59+(1-3*0.1*(1-0.1)*(1-0.1)-3*0.1*0.1*(1-0.1)-0.1*0.1*0.1)*C59</f>
        <v>0</v>
      </c>
      <c r="V255">
        <f t="shared" si="115"/>
        <v>0</v>
      </c>
    </row>
    <row r="256" spans="1:25" x14ac:dyDescent="0.25">
      <c r="A256" s="14"/>
      <c r="B256" s="16"/>
      <c r="C256" s="12"/>
      <c r="D256" s="13"/>
      <c r="E256" t="s">
        <v>36</v>
      </c>
      <c r="F256">
        <f t="shared" si="112"/>
        <v>0</v>
      </c>
      <c r="G256">
        <f t="shared" si="112"/>
        <v>0</v>
      </c>
      <c r="H256">
        <f>Q53+M53+I53+E53</f>
        <v>0</v>
      </c>
      <c r="I256">
        <f t="shared" si="113"/>
        <v>0</v>
      </c>
      <c r="J256">
        <f t="shared" si="113"/>
        <v>0</v>
      </c>
      <c r="K256">
        <f>Q60+M60+I60+E60</f>
        <v>0</v>
      </c>
      <c r="N256" s="16"/>
      <c r="O256" s="12"/>
      <c r="P256" s="13"/>
      <c r="Q256" t="s">
        <v>36</v>
      </c>
      <c r="R256">
        <f t="shared" si="114"/>
        <v>0</v>
      </c>
      <c r="S256">
        <f t="shared" si="114"/>
        <v>0</v>
      </c>
      <c r="U256">
        <f t="shared" si="115"/>
        <v>0</v>
      </c>
      <c r="V256">
        <f t="shared" si="115"/>
        <v>0</v>
      </c>
    </row>
    <row r="257" spans="1:24" x14ac:dyDescent="0.25">
      <c r="A257" s="14"/>
      <c r="B257" s="16"/>
      <c r="C257" s="12"/>
      <c r="D257" s="13"/>
      <c r="E257" t="s">
        <v>37</v>
      </c>
      <c r="F257" s="3">
        <f>3*0.05*(1-0.05)*(1-0.05)*G54+3*0.05*0.05*(1-0.05)*K54+0.05*0.05*0.05*O54+(1-3*0.05*(1-0.05)*(1-0.05)-3*0.05*0.05*(1-0.05)-0.05*0.05*0.05)*C54</f>
        <v>3.5333500000000002E-3</v>
      </c>
      <c r="G257" s="3">
        <f>3*0.05*(1-0.05)*(1-0.05)*H54+3*0.05*0.05*(1-0.05)*L54+0.05*0.05*0.05*P54+(1-3*0.05*(1-0.05)*(1-0.05)-3*0.05*0.05*(1-0.05)-0.05*0.05*0.05)*D54</f>
        <v>4.6257249999999998E-3</v>
      </c>
      <c r="H257">
        <f>Q54+M54+I54+E54</f>
        <v>3.4770760000000003</v>
      </c>
      <c r="I257">
        <f t="shared" si="113"/>
        <v>3.5584375E-3</v>
      </c>
      <c r="J257">
        <f t="shared" si="113"/>
        <v>4.5150999999999993E-3</v>
      </c>
      <c r="K257">
        <f>Q61+M61+I61+E61</f>
        <v>4.5123439999999997</v>
      </c>
      <c r="L257">
        <f>3*0.05*(1-0.05)*(1-0.05)*F66+3*0.05*0.05*(1-0.05)*J66+0.05*0.05*0.05*N66+(1-3*0.05*(1-0.05)*(1-0.05)-3*0.05*0.05*(1-0.05)-0.05*0.05*0.05)*B66</f>
        <v>4.1284749999999995E-3</v>
      </c>
      <c r="M257">
        <f>Q66+M66+I66+E66</f>
        <v>7.9087309999999995</v>
      </c>
      <c r="N257" s="16"/>
      <c r="O257" s="12"/>
      <c r="P257" s="13"/>
      <c r="Q257" t="s">
        <v>37</v>
      </c>
      <c r="R257">
        <f>3*0.1*(1-0.1)*(1-0.1)*G54+3*0.1*0.1*(1-0.1)*K54+0.1*0.1*0.1*O54+(1-3*0.1*(1-0.1)*(1-0.1)-3*0.1*0.1*(1-0.1)-0.1*0.1*0.1)*D54</f>
        <v>5.3077000000000003E-3</v>
      </c>
      <c r="S257">
        <f>3*0.1*(1-0.1)*(1-0.1)*H54+3*0.1*0.1*(1-0.1)*L54+0.1*0.1*0.1*P54+(1-3*0.1*(1-0.1)*(1-0.1)-3*0.1*0.1*(1-0.1)-0.1*0.1*0.1)*C54</f>
        <v>4.8029000000000006E-3</v>
      </c>
      <c r="U257">
        <f t="shared" si="115"/>
        <v>4.5745000000000004E-3</v>
      </c>
      <c r="V257">
        <f t="shared" si="115"/>
        <v>5.4007999999999999E-3</v>
      </c>
      <c r="X257">
        <f>3*0.1*(1-0.1)*(1-0.1)*F66+3*0.1*0.1*(1-0.1)*J66+0.1*0.1*0.1*N66+(1-3*0.1*(1-0.1)*(1-0.1)-3*0.1*0.1*(1-0.1)-0.1*0.1*0.1)*B66</f>
        <v>5.1148000000000009E-3</v>
      </c>
    </row>
    <row r="258" spans="1:24" x14ac:dyDescent="0.25">
      <c r="A258" s="14"/>
    </row>
    <row r="259" spans="1:24" x14ac:dyDescent="0.25">
      <c r="A259" s="14"/>
    </row>
    <row r="260" spans="1:24" x14ac:dyDescent="0.25">
      <c r="A260" s="14"/>
    </row>
    <row r="261" spans="1:24" x14ac:dyDescent="0.25">
      <c r="A261" s="14"/>
      <c r="B261" s="16" t="s">
        <v>46</v>
      </c>
      <c r="C261" s="12" t="s">
        <v>42</v>
      </c>
      <c r="D261" s="13" t="s">
        <v>38</v>
      </c>
      <c r="E261" t="s">
        <v>34</v>
      </c>
      <c r="F261">
        <f t="shared" ref="F261:G262" si="116">3*0.2*(1-0.2)*(1-0.2)*G52+3*0.2*0.2*(1-0.2)*K52+0.2*0.2*0.2*O52+(1-3*0.2*(1-0.2)*(1-0.2)-3*0.2*0.2*(1-0.2)-0.2*0.2*0.2)*C52</f>
        <v>0</v>
      </c>
      <c r="G261">
        <f t="shared" si="116"/>
        <v>0</v>
      </c>
      <c r="I261">
        <f t="shared" ref="I261:J263" si="117">3*0.2*(1-0.2)*(1-0.2)*G59+3*0.2*0.2*(1-0.2)*K59+0.2*0.2*0.2*O59+(1-3*0.2*(1-0.2)*(1-0.2)-3*0.2*0.2*(1-0.2)-0.2*0.2*0.2)*C59</f>
        <v>0</v>
      </c>
      <c r="J261">
        <f t="shared" si="117"/>
        <v>0</v>
      </c>
      <c r="N261" s="16" t="s">
        <v>47</v>
      </c>
      <c r="O261" s="12" t="s">
        <v>43</v>
      </c>
      <c r="P261" s="13" t="s">
        <v>39</v>
      </c>
      <c r="Q261" t="s">
        <v>34</v>
      </c>
      <c r="R261">
        <f t="shared" ref="R261:S262" si="118">3*0.3*(1-0.3)*(1-0.3)*G52+3*0.3*0.3*(1-0.3)*K52+0.3*0.3*0.3*O52+(1-3*0.3*(1-0.3)*(1-0.3)-3*0.3*0.3*(1-0.3)-0.3*0.3*0.3)*C52</f>
        <v>0</v>
      </c>
      <c r="S261">
        <f t="shared" si="118"/>
        <v>0</v>
      </c>
      <c r="U261">
        <f t="shared" ref="U261:V263" si="119">3*0.3*(1-0.3)*(1-0.3)*G59+3*0.3*0.3*(1-0.3)*K59+0.3*0.3*0.3*O59+(1-3*0.3*(1-0.3)*(1-0.3)-3*0.3*0.3*(1-0.3)-0.3*0.3*0.3)*C59</f>
        <v>0</v>
      </c>
      <c r="V261">
        <f t="shared" si="119"/>
        <v>0</v>
      </c>
    </row>
    <row r="262" spans="1:24" x14ac:dyDescent="0.25">
      <c r="A262" s="14"/>
      <c r="B262" s="16"/>
      <c r="C262" s="12"/>
      <c r="D262" s="13"/>
      <c r="E262" t="s">
        <v>36</v>
      </c>
      <c r="F262">
        <f t="shared" si="116"/>
        <v>0</v>
      </c>
      <c r="G262">
        <f t="shared" si="116"/>
        <v>0</v>
      </c>
      <c r="I262">
        <f t="shared" si="117"/>
        <v>0</v>
      </c>
      <c r="J262">
        <f t="shared" si="117"/>
        <v>0</v>
      </c>
      <c r="N262" s="16"/>
      <c r="O262" s="12"/>
      <c r="P262" s="13"/>
      <c r="Q262" t="s">
        <v>36</v>
      </c>
      <c r="R262">
        <f t="shared" si="118"/>
        <v>0</v>
      </c>
      <c r="S262">
        <f t="shared" si="118"/>
        <v>0</v>
      </c>
      <c r="U262">
        <f t="shared" si="119"/>
        <v>0</v>
      </c>
      <c r="V262">
        <f t="shared" si="119"/>
        <v>0</v>
      </c>
    </row>
    <row r="263" spans="1:24" x14ac:dyDescent="0.25">
      <c r="A263" s="14"/>
      <c r="B263" s="16"/>
      <c r="C263" s="12"/>
      <c r="D263" s="13"/>
      <c r="E263" t="s">
        <v>37</v>
      </c>
      <c r="F263">
        <f>3*0.2*(1-0.2)*(1-0.2)*G54+3*0.2*0.2*(1-0.2)*K54+0.2*0.2*0.2*O54+(1-3*0.2*(1-0.2)*(1-0.2)-3*0.2*0.2*(1-0.2)-0.2*0.2*0.2)*D54</f>
        <v>6.8456000000000003E-3</v>
      </c>
      <c r="G263">
        <f>3*0.2*(1-0.2)*(1-0.2)*H54+3*0.2*0.2*(1-0.2)*L54+0.2*0.2*0.2*P54+(1-3*0.2*(1-0.2)*(1-0.2)-3*0.2*0.2*(1-0.2)-0.2*0.2*0.2)*C54</f>
        <v>6.8712000000000009E-3</v>
      </c>
      <c r="I263">
        <f t="shared" si="117"/>
        <v>6.4840000000000019E-3</v>
      </c>
      <c r="J263">
        <f t="shared" si="117"/>
        <v>7.0863999999999996E-3</v>
      </c>
      <c r="L263">
        <f>3*0.2*(1-0.2)*(1-0.2)*F66+3*0.2*0.2*(1-0.2)*J66+0.2*0.2*0.2*N66+(1-3*0.2*(1-0.2)*(1-0.2)-3*0.2*0.2*(1-0.2)-0.2*0.2*0.2)*B66</f>
        <v>6.9664000000000011E-3</v>
      </c>
      <c r="N263" s="16"/>
      <c r="O263" s="12"/>
      <c r="P263" s="13"/>
      <c r="Q263" t="s">
        <v>37</v>
      </c>
      <c r="R263">
        <f>3*0.3*(1-0.3)*(1-0.3)*G54+3*0.3*0.3*(1-0.3)*K54+0.3*0.3*0.3*O54+(1-3*0.3*(1-0.3)*(1-0.3)-3*0.3*0.3*(1-0.3)-0.3*0.3*0.3)*D54</f>
        <v>8.2358999999999991E-3</v>
      </c>
      <c r="S263">
        <f>3*0.3*(1-0.3)*(1-0.3)*H54+3*0.3*0.3*(1-0.3)*L54+0.3*0.3*0.3*P54+(1-3*0.3*(1-0.3)*(1-0.3)-3*0.3*0.3*(1-0.3)-0.3*0.3*0.3)*C54</f>
        <v>8.7343000000000004E-3</v>
      </c>
      <c r="U263">
        <f t="shared" si="119"/>
        <v>8.2374999999999983E-3</v>
      </c>
      <c r="V263">
        <f t="shared" si="119"/>
        <v>8.6615999999999985E-3</v>
      </c>
      <c r="X263">
        <f>3*0.3*(1-0.3)*(1-0.3)*F66+3*0.3*0.3*(1-0.3)*J66+0.3*0.3*0.3*N66+(1-3*0.3*(1-0.3)*(1-0.3)-3*0.3*0.3*(1-0.3)-0.3*0.3*0.3)*B66</f>
        <v>8.665599999999999E-3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2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47根构件 </vt:lpstr>
      <vt:lpstr>7根构件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Windows 用户</cp:lastModifiedBy>
  <dcterms:created xsi:type="dcterms:W3CDTF">2018-02-27T11:14:00Z</dcterms:created>
  <dcterms:modified xsi:type="dcterms:W3CDTF">2019-06-23T09:54:34Z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