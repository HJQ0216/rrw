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单参数" sheetId="1" r:id="rId1"/>
  </sheets>
  <definedNames>
    <definedName name="_xlnm._FilterDatabase" localSheetId="0" hidden="1">串联单参数!$A$2:$X$28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<sst xmlns="http://schemas.openxmlformats.org/spreadsheetml/2006/main" count="118" uniqueCount="57">
  <si>
    <t>串联系统中单参数影响（按原文参数）</t>
  </si>
  <si>
    <t>工况ID</t>
  </si>
  <si>
    <t>单参数项目</t>
  </si>
  <si>
    <t>变化参数取值</t>
  </si>
  <si>
    <t>构件总数 n</t>
  </si>
  <si>
    <t>潜在脆性构件数 n1</t>
  </si>
  <si>
    <t>可靠指标 β</t>
  </si>
  <si>
    <t>相关系数 ρ</t>
  </si>
  <si>
    <t>脆性发生概率 Pbi</t>
  </si>
  <si>
    <r>
      <rPr>
        <b/>
        <sz val="11"/>
        <color rgb="FFFFFFFF"/>
        <rFont val="宋体"/>
        <charset val="134"/>
      </rP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下界</t>
    </r>
  </si>
  <si>
    <r>
      <rPr>
        <b/>
        <sz val="11"/>
        <color rgb="FFFFFFFF"/>
        <rFont val="宋体"/>
        <charset val="134"/>
      </rP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上界</t>
    </r>
  </si>
  <si>
    <r>
      <rPr>
        <b/>
        <sz val="11"/>
        <color rgb="FFFFFFFF"/>
        <rFont val="宋体"/>
        <charset val="134"/>
      </rP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下界</t>
    </r>
  </si>
  <si>
    <r>
      <rPr>
        <b/>
        <sz val="11"/>
        <color rgb="FFFFFFFF"/>
        <rFont val="宋体"/>
        <charset val="134"/>
      </rP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上界</t>
    </r>
  </si>
  <si>
    <t>RRW 下界</t>
  </si>
  <si>
    <t>RRW 上界</t>
  </si>
  <si>
    <t>RRW 均值</t>
  </si>
  <si>
    <r>
      <rPr>
        <b/>
        <sz val="11"/>
        <color rgb="FFFFFFFF"/>
        <rFont val="宋体"/>
        <charset val="134"/>
      </rP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下界</t>
    </r>
  </si>
  <si>
    <r>
      <rPr>
        <b/>
        <sz val="11"/>
        <color rgb="FFFFFFFF"/>
        <rFont val="宋体"/>
        <charset val="134"/>
      </rP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上界</t>
    </r>
  </si>
  <si>
    <r>
      <rPr>
        <b/>
        <sz val="11"/>
        <color rgb="FFFFFFFF"/>
        <rFont val="Calibri"/>
        <charset val="134"/>
      </rPr>
      <t xml:space="preserve">RAW </t>
    </r>
    <r>
      <rPr>
        <b/>
        <sz val="11"/>
        <color rgb="FFFFFFFF"/>
        <rFont val="宋体"/>
        <charset val="134"/>
      </rPr>
      <t>下界</t>
    </r>
  </si>
  <si>
    <r>
      <rPr>
        <b/>
        <sz val="11"/>
        <color rgb="FFFFFFFF"/>
        <rFont val="Calibri"/>
        <charset val="134"/>
      </rPr>
      <t xml:space="preserve">RAW </t>
    </r>
    <r>
      <rPr>
        <b/>
        <sz val="11"/>
        <color rgb="FFFFFFFF"/>
        <rFont val="宋体"/>
        <charset val="134"/>
      </rPr>
      <t>上界</t>
    </r>
  </si>
  <si>
    <r>
      <rPr>
        <b/>
        <sz val="11"/>
        <color rgb="FFFFFFFF"/>
        <rFont val="Calibri"/>
        <charset val="134"/>
      </rPr>
      <t xml:space="preserve">RAW </t>
    </r>
    <r>
      <rPr>
        <b/>
        <sz val="11"/>
        <color rgb="FFFFFFFF"/>
        <rFont val="宋体"/>
        <charset val="134"/>
      </rPr>
      <t>均值</t>
    </r>
  </si>
  <si>
    <t>论文参数设定</t>
  </si>
  <si>
    <t>SP-RHO-01</t>
  </si>
  <si>
    <t>相关系数ρ</t>
  </si>
  <si>
    <t>固定n=8、n1=1、β=3.0、Pbi=0.2；对应毕业论文图2.6</t>
  </si>
  <si>
    <t>SP-RHO-02</t>
  </si>
  <si>
    <t>SP-RHO-03</t>
  </si>
  <si>
    <t>SP-RHO-04</t>
  </si>
  <si>
    <t>SP-RHO-05</t>
  </si>
  <si>
    <t>SP-N-01</t>
  </si>
  <si>
    <t>构件总数n</t>
  </si>
  <si>
    <t>固定n1=1、β=3.0、ρ=0.1、Pbi=0.2；对应毕业论文图2.7</t>
  </si>
  <si>
    <t>SP-N-02</t>
  </si>
  <si>
    <t>SP-N-03</t>
  </si>
  <si>
    <t>SP-N-04</t>
  </si>
  <si>
    <t>SP-N-05</t>
  </si>
  <si>
    <t>SP-N-06</t>
  </si>
  <si>
    <t>SP-N-07</t>
  </si>
  <si>
    <t>SP-N-08</t>
  </si>
  <si>
    <t>SP-N-09</t>
  </si>
  <si>
    <t>SP-N-10</t>
  </si>
  <si>
    <t>SP-N-11</t>
  </si>
  <si>
    <t>SP-BETA-01</t>
  </si>
  <si>
    <t>可靠指标β</t>
  </si>
  <si>
    <t>固定n=10、n1=1、ρ=0.1、Pbi=0.2；对应毕业论文图2.8</t>
  </si>
  <si>
    <t>SP-BETA-02</t>
  </si>
  <si>
    <t xml:space="preserve">
        </t>
  </si>
  <si>
    <t>SP-BETA-03</t>
  </si>
  <si>
    <t>SP-BETA-04</t>
  </si>
  <si>
    <t>SP-BETA-05</t>
  </si>
  <si>
    <t>SP-BETA-06</t>
  </si>
  <si>
    <t>SP-BETA-07</t>
  </si>
  <si>
    <t>SP-N1-01</t>
  </si>
  <si>
    <t>潜在脆性构件数n1</t>
  </si>
  <si>
    <t>固定n=8、β=3.0、ρ=0.1、Pbi=0.2；对应毕业论文图2.9</t>
  </si>
  <si>
    <t>SP-N1-02</t>
  </si>
  <si>
    <t>SP-N1-03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</si>
</sst>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tabSelected="1" zoomScale="85" zoomScaleNormal="85" workbookViewId="0">
      <pane ySplit="2" topLeftCell="A3" activePane="bottomLeft" state="frozen"/>
      <selection/>
      <selection pane="bottomLeft" activeCell="L7" sqref="L7"/>
    </sheetView>
  </sheetViews>
  <sheetFormatPr defaultColWidth="9" defaultRowHeight="14.4"/>
  <cols>
    <col min="1" max="1" width="14" customWidth="1"/>
    <col min="2" max="2" width="20" customWidth="1"/>
    <col min="3" max="3" width="16" customWidth="1"/>
    <col min="4" max="4" width="12" customWidth="1"/>
    <col min="5" max="5" width="17" customWidth="1"/>
    <col min="6" max="7" width="13" customWidth="1"/>
    <col min="8" max="8" width="17" customWidth="1"/>
    <col min="9" max="10" width="15" style="1" customWidth="1"/>
    <col min="11" max="12" width="17" customWidth="1"/>
    <col min="13" max="13" width="14" customWidth="1"/>
    <col min="14" max="14" width="16" customWidth="1"/>
    <col min="15" max="17" width="14" customWidth="1"/>
    <col min="18" max="19" width="17" style="2" customWidth="1"/>
    <col min="20" max="21" width="16" style="1" customWidth="1"/>
    <col min="22" max="22" width="16" style="2" customWidth="1"/>
    <col min="23" max="23" width="0.111111111111111" customWidth="1"/>
    <col min="24" max="24" width="48" customWidth="1"/>
  </cols>
  <sheetData>
    <row r="1" ht="30" customHeight="1" spans="1:24">
      <c r="A1" s="3" t="s">
        <v>0</v>
      </c>
    </row>
    <row r="2" ht="38" customHeight="1" spans="1:2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7"/>
      <c r="N2" s="7"/>
      <c r="O2" s="8" t="s">
        <v>13</v>
      </c>
      <c r="P2" s="8" t="s">
        <v>14</v>
      </c>
      <c r="Q2" s="8" t="s">
        <v>15</v>
      </c>
      <c r="R2" s="6" t="s">
        <v>16</v>
      </c>
      <c r="S2" s="6" t="s">
        <v>17</v>
      </c>
      <c r="T2" s="9" t="s">
        <v>18</v>
      </c>
      <c r="U2" s="9" t="s">
        <v>19</v>
      </c>
      <c r="V2" s="8" t="s">
        <v>20</v>
      </c>
      <c r="W2" s="8"/>
      <c r="X2" s="4" t="s">
        <v>21</v>
      </c>
    </row>
    <row r="3" ht="31" customHeight="1" spans="1:24">
      <c r="A3" s="10" t="s">
        <v>22</v>
      </c>
      <c r="B3" s="10" t="s">
        <v>23</v>
      </c>
      <c r="C3" s="11">
        <v>0.1</v>
      </c>
      <c r="D3" s="11">
        <v>8</v>
      </c>
      <c r="E3" s="11">
        <v>1</v>
      </c>
      <c r="F3" s="11">
        <v>3</v>
      </c>
      <c r="G3" s="11">
        <v>0.1</v>
      </c>
      <c r="H3" s="11">
        <v>0.2</v>
      </c>
      <c r="I3" s="12">
        <v>0.01092</v>
      </c>
      <c r="J3" s="12">
        <v>0.01092</v>
      </c>
      <c r="K3" s="13"/>
      <c r="L3" s="13"/>
      <c r="M3" s="13"/>
      <c r="N3" s="13"/>
      <c r="O3" s="14" t="str">
        <f t="shared" ref="O3:O28" si="0">IFERROR(I3/L3,"")</f>
        <v>
        </v>
      </c>
      <c r="P3" s="14" t="str">
        <f t="shared" ref="P3:P28" si="1">IFERROR(J3/K3,"")</f>
        <v>
        </v>
      </c>
      <c r="Q3" s="14" t="str">
        <f t="shared" ref="Q3:Q28" si="2">IF(COUNT(O3:P3)=2,AVERAGE(O3:P3),"")</f>
        <v>
        </v>
      </c>
      <c r="R3" s="15">
        <v>0.0093</v>
      </c>
      <c r="S3" s="15">
        <v>0.0093</v>
      </c>
      <c r="T3" s="16">
        <v>0.851648351648352</v>
      </c>
      <c r="U3" s="16">
        <v>0.851648351648352</v>
      </c>
      <c r="V3" s="17">
        <v>0.851648351648352</v>
      </c>
      <c r="W3" s="18" t="str">
        <f t="shared" ref="W3:W28" si="3">IF(COUNT(I3:L3)+COUNT(R3:S3)&lt;6,"待导师填写",IF(AND(I3&gt;=0,J3&lt;=1,K3&gt;=0,L3&lt;=1,R3&gt;=0,S3&lt;=1,I3&lt;=J3,K3&lt;=L3,R3&lt;=S3,O3&lt;=P3,T3&lt;=U3,Q3&gt;=1),"通过","检查"))</f>
        <v>待导师填写</v>
      </c>
      <c r="X3" s="19" t="s">
        <v>24</v>
      </c>
    </row>
    <row r="4" ht="31" customHeight="1" spans="1:24">
      <c r="A4" s="10" t="s">
        <v>25</v>
      </c>
      <c r="B4" s="10" t="s">
        <v>23</v>
      </c>
      <c r="C4" s="11">
        <v>0.3</v>
      </c>
      <c r="D4" s="11">
        <v>8</v>
      </c>
      <c r="E4" s="11">
        <v>1</v>
      </c>
      <c r="F4" s="11">
        <v>3</v>
      </c>
      <c r="G4" s="11">
        <v>0.3</v>
      </c>
      <c r="H4" s="11">
        <v>0.2</v>
      </c>
      <c r="I4" s="12">
        <v>0.01042</v>
      </c>
      <c r="J4" s="12">
        <v>0.01042</v>
      </c>
      <c r="K4" s="13"/>
      <c r="L4" s="13"/>
      <c r="M4" s="13"/>
      <c r="N4" s="13"/>
      <c r="O4" s="14" t="str">
        <f t="shared" si="0"/>
        <v>
        </v>
      </c>
      <c r="P4" s="14" t="str">
        <f t="shared" si="1"/>
        <v>
        </v>
      </c>
      <c r="Q4" s="14" t="str">
        <f t="shared" si="2"/>
        <v>
        </v>
      </c>
      <c r="R4" s="15">
        <v>0.009</v>
      </c>
      <c r="S4" s="15">
        <v>0.009</v>
      </c>
      <c r="T4" s="16">
        <v>0.863723608445297</v>
      </c>
      <c r="U4" s="16">
        <v>0.863723608445297</v>
      </c>
      <c r="V4" s="17">
        <v>0.863723608445297</v>
      </c>
      <c r="W4" s="18" t="str">
        <f t="shared" si="3"/>
        <v>待导师填写</v>
      </c>
      <c r="X4" s="19" t="s">
        <v>24</v>
      </c>
    </row>
    <row r="5" ht="31" customHeight="1" spans="1:24">
      <c r="A5" s="10" t="s">
        <v>26</v>
      </c>
      <c r="B5" s="10" t="s">
        <v>23</v>
      </c>
      <c r="C5" s="11">
        <v>0.5</v>
      </c>
      <c r="D5" s="11">
        <v>8</v>
      </c>
      <c r="E5" s="11">
        <v>1</v>
      </c>
      <c r="F5" s="11">
        <v>3</v>
      </c>
      <c r="G5" s="11">
        <v>0.5</v>
      </c>
      <c r="H5" s="11">
        <v>0.2</v>
      </c>
      <c r="I5" s="12">
        <v>0.009</v>
      </c>
      <c r="J5" s="12">
        <v>0.0095</v>
      </c>
      <c r="K5" s="13"/>
      <c r="L5" s="13"/>
      <c r="M5" s="13"/>
      <c r="N5" s="13"/>
      <c r="O5" s="14" t="str">
        <f t="shared" si="0"/>
        <v>
        </v>
      </c>
      <c r="P5" s="14" t="str">
        <f t="shared" si="1"/>
        <v>
        </v>
      </c>
      <c r="Q5" s="14" t="str">
        <f t="shared" si="2"/>
        <v>
        </v>
      </c>
      <c r="R5" s="15">
        <v>0.008</v>
      </c>
      <c r="S5" s="15">
        <v>0.0083</v>
      </c>
      <c r="T5" s="16">
        <v>0.888888888888889</v>
      </c>
      <c r="U5" s="16">
        <v>0.873684210526316</v>
      </c>
      <c r="V5" s="17">
        <v>0.881286549707602</v>
      </c>
      <c r="W5" s="18" t="str">
        <f t="shared" si="3"/>
        <v>待导师填写</v>
      </c>
      <c r="X5" s="19" t="s">
        <v>24</v>
      </c>
    </row>
    <row r="6" ht="31" customHeight="1" spans="1:24">
      <c r="A6" s="10" t="s">
        <v>27</v>
      </c>
      <c r="B6" s="10" t="s">
        <v>23</v>
      </c>
      <c r="C6" s="11">
        <v>0.7</v>
      </c>
      <c r="D6" s="11">
        <v>8</v>
      </c>
      <c r="E6" s="11">
        <v>1</v>
      </c>
      <c r="F6" s="11">
        <v>3</v>
      </c>
      <c r="G6" s="11">
        <v>0.7</v>
      </c>
      <c r="H6" s="11">
        <v>0.2</v>
      </c>
      <c r="I6" s="12">
        <v>0.00634</v>
      </c>
      <c r="J6" s="12">
        <v>0.00788</v>
      </c>
      <c r="K6" s="13"/>
      <c r="L6" s="13"/>
      <c r="M6" s="13"/>
      <c r="N6" s="13"/>
      <c r="O6" s="14" t="str">
        <f t="shared" si="0"/>
        <v>
        </v>
      </c>
      <c r="P6" s="14" t="str">
        <f t="shared" si="1"/>
        <v>
        </v>
      </c>
      <c r="Q6" s="14" t="str">
        <f t="shared" si="2"/>
        <v>
        </v>
      </c>
      <c r="R6" s="15">
        <v>0.0059</v>
      </c>
      <c r="S6" s="15">
        <v>0.0069</v>
      </c>
      <c r="T6" s="16">
        <v>0.930599369085173</v>
      </c>
      <c r="U6" s="16">
        <v>0.875634517766497</v>
      </c>
      <c r="V6" s="17">
        <v>0.903116943425835</v>
      </c>
      <c r="W6" s="18" t="str">
        <f t="shared" si="3"/>
        <v>待导师填写</v>
      </c>
      <c r="X6" s="19" t="s">
        <v>24</v>
      </c>
    </row>
    <row r="7" ht="31" customHeight="1" spans="1:24">
      <c r="A7" s="10" t="s">
        <v>28</v>
      </c>
      <c r="B7" s="10" t="s">
        <v>23</v>
      </c>
      <c r="C7" s="11">
        <v>0.9</v>
      </c>
      <c r="D7" s="11">
        <v>8</v>
      </c>
      <c r="E7" s="11">
        <v>1</v>
      </c>
      <c r="F7" s="11">
        <v>3</v>
      </c>
      <c r="G7" s="11">
        <v>0.9</v>
      </c>
      <c r="H7" s="11">
        <v>0.2</v>
      </c>
      <c r="I7" s="12">
        <v>0.0034</v>
      </c>
      <c r="J7" s="12">
        <v>0.00514</v>
      </c>
      <c r="K7" s="13"/>
      <c r="L7" s="13"/>
      <c r="M7" s="13"/>
      <c r="N7" s="13"/>
      <c r="O7" s="14" t="str">
        <f t="shared" si="0"/>
        <v>
        </v>
      </c>
      <c r="P7" s="14" t="str">
        <f t="shared" si="1"/>
        <v>
        </v>
      </c>
      <c r="Q7" s="14" t="str">
        <f t="shared" si="2"/>
        <v>
        </v>
      </c>
      <c r="R7" s="15">
        <v>0.0033</v>
      </c>
      <c r="S7" s="15">
        <v>0.0046</v>
      </c>
      <c r="T7" s="16">
        <v>0.970588235294118</v>
      </c>
      <c r="U7" s="16">
        <v>0.894941634241245</v>
      </c>
      <c r="V7" s="17">
        <v>0.932764934767681</v>
      </c>
      <c r="W7" s="18" t="str">
        <f t="shared" si="3"/>
        <v>待导师填写</v>
      </c>
      <c r="X7" s="19" t="s">
        <v>24</v>
      </c>
    </row>
    <row r="8" ht="31" customHeight="1" spans="1:24">
      <c r="A8" s="10" t="s">
        <v>29</v>
      </c>
      <c r="B8" s="10" t="s">
        <v>30</v>
      </c>
      <c r="C8" s="11">
        <v>8</v>
      </c>
      <c r="D8" s="11">
        <v>8</v>
      </c>
      <c r="E8" s="11">
        <v>1</v>
      </c>
      <c r="F8" s="11">
        <v>3</v>
      </c>
      <c r="G8" s="11">
        <v>0.1</v>
      </c>
      <c r="H8" s="11">
        <v>0.2</v>
      </c>
      <c r="I8" s="12">
        <v>0.01092</v>
      </c>
      <c r="J8" s="12">
        <v>0.01092</v>
      </c>
      <c r="K8" s="13"/>
      <c r="L8" s="13"/>
      <c r="M8" s="13"/>
      <c r="N8" s="13"/>
      <c r="O8" s="14" t="str">
        <f t="shared" si="0"/>
        <v>
        </v>
      </c>
      <c r="P8" s="14" t="str">
        <f t="shared" si="1"/>
        <v>
        </v>
      </c>
      <c r="Q8" s="14" t="str">
        <f t="shared" si="2"/>
        <v>
        </v>
      </c>
      <c r="R8" s="15">
        <v>0.0093</v>
      </c>
      <c r="S8" s="15">
        <v>0.0093</v>
      </c>
      <c r="T8" s="16">
        <v>0.851648351648352</v>
      </c>
      <c r="U8" s="16">
        <v>0.851648351648352</v>
      </c>
      <c r="V8" s="16">
        <v>0.851648351648352</v>
      </c>
      <c r="W8" s="18" t="str">
        <f t="shared" si="3"/>
        <v>待导师填写</v>
      </c>
      <c r="X8" s="19" t="s">
        <v>31</v>
      </c>
    </row>
    <row r="9" ht="31" customHeight="1" spans="1:24">
      <c r="A9" s="10" t="s">
        <v>32</v>
      </c>
      <c r="B9" s="10" t="s">
        <v>30</v>
      </c>
      <c r="C9" s="11">
        <v>12</v>
      </c>
      <c r="D9" s="11">
        <v>12</v>
      </c>
      <c r="E9" s="11">
        <v>1</v>
      </c>
      <c r="F9" s="11">
        <v>3</v>
      </c>
      <c r="G9" s="11">
        <v>0.1</v>
      </c>
      <c r="H9" s="11">
        <v>0.2</v>
      </c>
      <c r="I9" s="12">
        <v>0.01612</v>
      </c>
      <c r="J9" s="12">
        <v>0.01612</v>
      </c>
      <c r="K9" s="13"/>
      <c r="L9" s="13"/>
      <c r="M9" s="13"/>
      <c r="N9" s="13"/>
      <c r="O9" s="14" t="str">
        <f t="shared" si="0"/>
        <v>
        </v>
      </c>
      <c r="P9" s="14" t="str">
        <f t="shared" si="1"/>
        <v>
        </v>
      </c>
      <c r="Q9" s="14" t="str">
        <f t="shared" si="2"/>
        <v>
        </v>
      </c>
      <c r="R9" s="15">
        <v>0.0146</v>
      </c>
      <c r="S9" s="15">
        <v>0.0146</v>
      </c>
      <c r="T9" s="16">
        <v>0.905707196029777</v>
      </c>
      <c r="U9" s="16">
        <v>0.905707196029777</v>
      </c>
      <c r="V9" s="16">
        <v>0.905707196029777</v>
      </c>
      <c r="W9" s="18" t="str">
        <f t="shared" si="3"/>
        <v>待导师填写</v>
      </c>
      <c r="X9" s="19" t="s">
        <v>31</v>
      </c>
    </row>
    <row r="10" ht="31" customHeight="1" spans="1:24">
      <c r="A10" s="10" t="s">
        <v>33</v>
      </c>
      <c r="B10" s="10" t="s">
        <v>30</v>
      </c>
      <c r="C10" s="11">
        <v>16</v>
      </c>
      <c r="D10" s="11">
        <v>16</v>
      </c>
      <c r="E10" s="11">
        <v>1</v>
      </c>
      <c r="F10" s="11">
        <v>3</v>
      </c>
      <c r="G10" s="11">
        <v>0.1</v>
      </c>
      <c r="H10" s="11">
        <v>0.2</v>
      </c>
      <c r="I10" s="12">
        <v>0.02124</v>
      </c>
      <c r="J10" s="12">
        <v>0.02124</v>
      </c>
      <c r="K10" s="13"/>
      <c r="L10" s="13"/>
      <c r="M10" s="13"/>
      <c r="N10" s="13"/>
      <c r="O10" s="14" t="str">
        <f t="shared" si="0"/>
        <v>
        </v>
      </c>
      <c r="P10" s="14" t="str">
        <f t="shared" si="1"/>
        <v>
        </v>
      </c>
      <c r="Q10" s="14" t="str">
        <f t="shared" si="2"/>
        <v>
        </v>
      </c>
      <c r="R10" s="15">
        <v>0.0197</v>
      </c>
      <c r="S10" s="15">
        <v>0.0198</v>
      </c>
      <c r="T10" s="16">
        <v>0.927495291902071</v>
      </c>
      <c r="U10" s="16">
        <v>0.932203389830508</v>
      </c>
      <c r="V10" s="16">
        <v>0.92984934086629</v>
      </c>
      <c r="W10" s="18" t="str">
        <f t="shared" si="3"/>
        <v>待导师填写</v>
      </c>
      <c r="X10" s="19" t="s">
        <v>31</v>
      </c>
    </row>
    <row r="11" ht="31" customHeight="1" spans="1:24">
      <c r="A11" s="10" t="s">
        <v>34</v>
      </c>
      <c r="B11" s="10" t="s">
        <v>30</v>
      </c>
      <c r="C11" s="11">
        <v>20</v>
      </c>
      <c r="D11" s="11">
        <v>20</v>
      </c>
      <c r="E11" s="11">
        <v>1</v>
      </c>
      <c r="F11" s="11">
        <v>3</v>
      </c>
      <c r="G11" s="11">
        <v>0.1</v>
      </c>
      <c r="H11" s="11">
        <v>0.2</v>
      </c>
      <c r="I11" s="12">
        <v>0.02632</v>
      </c>
      <c r="J11" s="12">
        <v>0.02632</v>
      </c>
      <c r="K11" s="13"/>
      <c r="L11" s="13"/>
      <c r="M11" s="13"/>
      <c r="N11" s="13"/>
      <c r="O11" s="14" t="str">
        <f t="shared" si="0"/>
        <v>
        </v>
      </c>
      <c r="P11" s="14" t="str">
        <f t="shared" si="1"/>
        <v>
        </v>
      </c>
      <c r="Q11" s="14" t="str">
        <f t="shared" si="2"/>
        <v>
        </v>
      </c>
      <c r="R11" s="15">
        <v>0.0248</v>
      </c>
      <c r="S11" s="15">
        <v>0.0248</v>
      </c>
      <c r="T11" s="16">
        <v>0.94224924012158</v>
      </c>
      <c r="U11" s="16">
        <v>0.94224924012158</v>
      </c>
      <c r="V11" s="16">
        <v>0.94224924012158</v>
      </c>
      <c r="W11" s="18" t="str">
        <f t="shared" si="3"/>
        <v>待导师填写</v>
      </c>
      <c r="X11" s="19" t="s">
        <v>31</v>
      </c>
    </row>
    <row r="12" ht="31" customHeight="1" spans="1:24">
      <c r="A12" s="10" t="s">
        <v>35</v>
      </c>
      <c r="B12" s="10" t="s">
        <v>30</v>
      </c>
      <c r="C12" s="11">
        <v>24</v>
      </c>
      <c r="D12" s="11">
        <v>24</v>
      </c>
      <c r="E12" s="11">
        <v>1</v>
      </c>
      <c r="F12" s="11">
        <v>3</v>
      </c>
      <c r="G12" s="11">
        <v>0.1</v>
      </c>
      <c r="H12" s="11">
        <v>0.2</v>
      </c>
      <c r="I12" s="12">
        <v>0.03132</v>
      </c>
      <c r="J12" s="12">
        <v>0.03132</v>
      </c>
      <c r="K12" s="13"/>
      <c r="L12" s="13"/>
      <c r="M12" s="13"/>
      <c r="N12" s="13"/>
      <c r="O12" s="14" t="str">
        <f t="shared" si="0"/>
        <v>
        </v>
      </c>
      <c r="P12" s="14" t="str">
        <f t="shared" si="1"/>
        <v>
        </v>
      </c>
      <c r="Q12" s="14" t="str">
        <f t="shared" si="2"/>
        <v>
        </v>
      </c>
      <c r="R12" s="15">
        <v>0.0298</v>
      </c>
      <c r="S12" s="15">
        <v>0.0299</v>
      </c>
      <c r="T12" s="16">
        <v>0.9514687100894</v>
      </c>
      <c r="U12" s="16">
        <v>0.954661558109834</v>
      </c>
      <c r="V12" s="16">
        <v>0.953065134099617</v>
      </c>
      <c r="W12" s="18" t="str">
        <f t="shared" si="3"/>
        <v>待导师填写</v>
      </c>
      <c r="X12" s="19" t="s">
        <v>31</v>
      </c>
    </row>
    <row r="13" ht="31" customHeight="1" spans="1:24">
      <c r="A13" s="10" t="s">
        <v>36</v>
      </c>
      <c r="B13" s="10" t="s">
        <v>30</v>
      </c>
      <c r="C13" s="11">
        <v>28</v>
      </c>
      <c r="D13" s="11">
        <v>28</v>
      </c>
      <c r="E13" s="11">
        <v>1</v>
      </c>
      <c r="F13" s="11">
        <v>3</v>
      </c>
      <c r="G13" s="11">
        <v>0.1</v>
      </c>
      <c r="H13" s="11">
        <v>0.2</v>
      </c>
      <c r="I13" s="12">
        <v>0.03614</v>
      </c>
      <c r="J13" s="12">
        <v>0.03632</v>
      </c>
      <c r="K13" s="13"/>
      <c r="L13" s="13"/>
      <c r="M13" s="13"/>
      <c r="N13" s="13"/>
      <c r="O13" s="14" t="str">
        <f t="shared" si="0"/>
        <v>
        </v>
      </c>
      <c r="P13" s="14" t="str">
        <f t="shared" si="1"/>
        <v>
        </v>
      </c>
      <c r="Q13" s="14" t="str">
        <f t="shared" si="2"/>
        <v>
        </v>
      </c>
      <c r="R13" s="15">
        <v>0.0347</v>
      </c>
      <c r="S13" s="15">
        <v>0.0348</v>
      </c>
      <c r="T13" s="16">
        <v>0.960154952960708</v>
      </c>
      <c r="U13" s="16">
        <v>0.958149779735683</v>
      </c>
      <c r="V13" s="16">
        <v>0.959152366348195</v>
      </c>
      <c r="W13" s="18" t="str">
        <f t="shared" si="3"/>
        <v>待导师填写</v>
      </c>
      <c r="X13" s="19" t="s">
        <v>31</v>
      </c>
    </row>
    <row r="14" ht="31" customHeight="1" spans="1:24">
      <c r="A14" s="10" t="s">
        <v>37</v>
      </c>
      <c r="B14" s="10" t="s">
        <v>30</v>
      </c>
      <c r="C14" s="11">
        <v>32</v>
      </c>
      <c r="D14" s="11">
        <v>32</v>
      </c>
      <c r="E14" s="11">
        <v>1</v>
      </c>
      <c r="F14" s="11">
        <v>3</v>
      </c>
      <c r="G14" s="11">
        <v>0.1</v>
      </c>
      <c r="H14" s="11">
        <v>0.2</v>
      </c>
      <c r="I14" s="12">
        <v>0.04102</v>
      </c>
      <c r="J14" s="12">
        <v>0.0412</v>
      </c>
      <c r="K14" s="13"/>
      <c r="L14" s="13"/>
      <c r="M14" s="13"/>
      <c r="N14" s="13"/>
      <c r="O14" s="14" t="str">
        <f t="shared" si="0"/>
        <v>
        </v>
      </c>
      <c r="P14" s="14" t="str">
        <f t="shared" si="1"/>
        <v>
        </v>
      </c>
      <c r="Q14" s="14" t="str">
        <f t="shared" si="2"/>
        <v>
        </v>
      </c>
      <c r="R14" s="15">
        <v>0.0396</v>
      </c>
      <c r="S14" s="15">
        <v>0.0397</v>
      </c>
      <c r="T14" s="16">
        <v>0.965382740126768</v>
      </c>
      <c r="U14" s="16">
        <v>0.963592233009709</v>
      </c>
      <c r="V14" s="16">
        <v>0.964487486568238</v>
      </c>
      <c r="W14" s="18" t="str">
        <f t="shared" si="3"/>
        <v>待导师填写</v>
      </c>
      <c r="X14" s="19" t="s">
        <v>31</v>
      </c>
    </row>
    <row r="15" ht="31" customHeight="1" spans="1:24">
      <c r="A15" s="10" t="s">
        <v>38</v>
      </c>
      <c r="B15" s="10" t="s">
        <v>30</v>
      </c>
      <c r="C15" s="11">
        <v>36</v>
      </c>
      <c r="D15" s="11">
        <v>36</v>
      </c>
      <c r="E15" s="11">
        <v>1</v>
      </c>
      <c r="F15" s="11">
        <v>3</v>
      </c>
      <c r="G15" s="11">
        <v>0.1</v>
      </c>
      <c r="H15" s="11">
        <v>0.2</v>
      </c>
      <c r="I15" s="12">
        <v>0.04572</v>
      </c>
      <c r="J15" s="12">
        <v>0.04602</v>
      </c>
      <c r="K15" s="13"/>
      <c r="L15" s="13"/>
      <c r="M15" s="13"/>
      <c r="N15" s="13"/>
      <c r="O15" s="14" t="str">
        <f t="shared" si="0"/>
        <v>
        </v>
      </c>
      <c r="P15" s="14" t="str">
        <f t="shared" si="1"/>
        <v>
        </v>
      </c>
      <c r="Q15" s="14" t="str">
        <f t="shared" si="2"/>
        <v>
        </v>
      </c>
      <c r="R15" s="15">
        <v>0.0443</v>
      </c>
      <c r="S15" s="15">
        <v>0.0446</v>
      </c>
      <c r="T15" s="16">
        <v>0.968941382327209</v>
      </c>
      <c r="U15" s="16">
        <v>0.969143850499783</v>
      </c>
      <c r="V15" s="16">
        <v>0.969042616413496</v>
      </c>
      <c r="W15" s="18" t="str">
        <f t="shared" si="3"/>
        <v>待导师填写</v>
      </c>
      <c r="X15" s="19" t="s">
        <v>31</v>
      </c>
    </row>
    <row r="16" ht="31" customHeight="1" spans="1:24">
      <c r="A16" s="10" t="s">
        <v>39</v>
      </c>
      <c r="B16" s="10" t="s">
        <v>30</v>
      </c>
      <c r="C16" s="11">
        <v>40</v>
      </c>
      <c r="D16" s="11">
        <v>40</v>
      </c>
      <c r="E16" s="11">
        <v>1</v>
      </c>
      <c r="F16" s="11">
        <v>3</v>
      </c>
      <c r="G16" s="11">
        <v>0.1</v>
      </c>
      <c r="H16" s="11">
        <v>0.2</v>
      </c>
      <c r="I16" s="12">
        <v>0.05042</v>
      </c>
      <c r="J16" s="12">
        <v>0.05072</v>
      </c>
      <c r="K16" s="13"/>
      <c r="L16" s="13"/>
      <c r="M16" s="13"/>
      <c r="N16" s="13"/>
      <c r="O16" s="14" t="str">
        <f t="shared" si="0"/>
        <v>
        </v>
      </c>
      <c r="P16" s="14" t="str">
        <f t="shared" si="1"/>
        <v>
        </v>
      </c>
      <c r="Q16" s="14" t="str">
        <f t="shared" si="2"/>
        <v>
        </v>
      </c>
      <c r="R16" s="15">
        <v>0.049</v>
      </c>
      <c r="S16" s="15">
        <v>0.0494</v>
      </c>
      <c r="T16" s="16">
        <v>0.971836572788576</v>
      </c>
      <c r="U16" s="16">
        <v>0.97397476340694</v>
      </c>
      <c r="V16" s="16">
        <v>0.972905668097758</v>
      </c>
      <c r="W16" s="18" t="str">
        <f t="shared" si="3"/>
        <v>待导师填写</v>
      </c>
      <c r="X16" s="19" t="s">
        <v>31</v>
      </c>
    </row>
    <row r="17" ht="31" customHeight="1" spans="1:24">
      <c r="A17" s="10" t="s">
        <v>40</v>
      </c>
      <c r="B17" s="10" t="s">
        <v>30</v>
      </c>
      <c r="C17" s="11">
        <v>44</v>
      </c>
      <c r="D17" s="11">
        <v>44</v>
      </c>
      <c r="E17" s="11">
        <v>1</v>
      </c>
      <c r="F17" s="11">
        <v>3</v>
      </c>
      <c r="G17" s="11">
        <v>0.1</v>
      </c>
      <c r="H17" s="11">
        <v>0.2</v>
      </c>
      <c r="I17" s="12">
        <v>0.055</v>
      </c>
      <c r="J17" s="12">
        <v>0.0555</v>
      </c>
      <c r="K17" s="13"/>
      <c r="L17" s="13"/>
      <c r="M17" s="13"/>
      <c r="N17" s="13"/>
      <c r="O17" s="14" t="str">
        <f t="shared" si="0"/>
        <v>
        </v>
      </c>
      <c r="P17" s="14" t="str">
        <f t="shared" si="1"/>
        <v>
        </v>
      </c>
      <c r="Q17" s="14" t="str">
        <f t="shared" si="2"/>
        <v>
        </v>
      </c>
      <c r="R17" s="15">
        <v>0.0536</v>
      </c>
      <c r="S17" s="15">
        <v>0.0541</v>
      </c>
      <c r="T17" s="16">
        <v>0.974545454545454</v>
      </c>
      <c r="U17" s="16">
        <v>0.974774774774775</v>
      </c>
      <c r="V17" s="16">
        <v>0.974660114660115</v>
      </c>
      <c r="W17" s="18" t="str">
        <f t="shared" si="3"/>
        <v>待导师填写</v>
      </c>
      <c r="X17" s="19" t="s">
        <v>31</v>
      </c>
    </row>
    <row r="18" ht="31" customHeight="1" spans="1:24">
      <c r="A18" s="10" t="s">
        <v>41</v>
      </c>
      <c r="B18" s="10" t="s">
        <v>30</v>
      </c>
      <c r="C18" s="11">
        <v>48</v>
      </c>
      <c r="D18" s="11">
        <v>48</v>
      </c>
      <c r="E18" s="11">
        <v>1</v>
      </c>
      <c r="F18" s="11">
        <v>3</v>
      </c>
      <c r="G18" s="11">
        <v>0.1</v>
      </c>
      <c r="H18" s="11">
        <v>0.2</v>
      </c>
      <c r="I18" s="12">
        <v>0.0595</v>
      </c>
      <c r="J18" s="12">
        <v>0.06012</v>
      </c>
      <c r="K18" s="13"/>
      <c r="L18" s="13"/>
      <c r="M18" s="13"/>
      <c r="N18" s="13"/>
      <c r="O18" s="14" t="str">
        <f t="shared" si="0"/>
        <v>
        </v>
      </c>
      <c r="P18" s="14" t="str">
        <f t="shared" si="1"/>
        <v>
        </v>
      </c>
      <c r="Q18" s="14" t="str">
        <f t="shared" si="2"/>
        <v>
        </v>
      </c>
      <c r="R18" s="15">
        <v>0.0582</v>
      </c>
      <c r="S18" s="15">
        <v>0.0588</v>
      </c>
      <c r="T18" s="16">
        <v>0.978151260504202</v>
      </c>
      <c r="U18" s="16">
        <v>0.978043912175649</v>
      </c>
      <c r="V18" s="16">
        <v>0.978097586339925</v>
      </c>
      <c r="W18" s="18" t="str">
        <f t="shared" si="3"/>
        <v>待导师填写</v>
      </c>
      <c r="X18" s="19" t="s">
        <v>31</v>
      </c>
    </row>
    <row r="19" ht="31" customHeight="1" spans="1:24">
      <c r="A19" s="10" t="s">
        <v>42</v>
      </c>
      <c r="B19" s="10" t="s">
        <v>43</v>
      </c>
      <c r="C19" s="11">
        <v>3</v>
      </c>
      <c r="D19" s="11">
        <v>10</v>
      </c>
      <c r="E19" s="11">
        <v>1</v>
      </c>
      <c r="F19" s="11">
        <v>3</v>
      </c>
      <c r="G19" s="11">
        <v>0.1</v>
      </c>
      <c r="H19" s="11">
        <v>0.2</v>
      </c>
      <c r="I19" s="12">
        <v>0.01354</v>
      </c>
      <c r="J19" s="12">
        <v>0.01354</v>
      </c>
      <c r="K19" s="13"/>
      <c r="L19" s="13"/>
      <c r="M19" s="13"/>
      <c r="N19" s="13"/>
      <c r="O19" s="14" t="str">
        <f t="shared" si="0"/>
        <v>
        </v>
      </c>
      <c r="P19" s="14" t="str">
        <f t="shared" si="1"/>
        <v>
        </v>
      </c>
      <c r="Q19" s="14" t="str">
        <f t="shared" si="2"/>
        <v>
        </v>
      </c>
      <c r="R19" s="15">
        <v>0.012</v>
      </c>
      <c r="S19" s="15">
        <v>0.012</v>
      </c>
      <c r="T19" s="16">
        <v>0.886262924667651</v>
      </c>
      <c r="U19" s="16">
        <v>0.886262924667651</v>
      </c>
      <c r="V19" s="16">
        <v>0.886262924667651</v>
      </c>
      <c r="W19" s="18" t="str">
        <f t="shared" si="3"/>
        <v>待导师填写</v>
      </c>
      <c r="X19" s="19" t="s">
        <v>44</v>
      </c>
    </row>
    <row r="20" ht="31" customHeight="1" spans="1:24">
      <c r="A20" s="10" t="s">
        <v>45</v>
      </c>
      <c r="B20" s="10" t="s">
        <v>43</v>
      </c>
      <c r="C20" s="11">
        <v>3.1</v>
      </c>
      <c r="D20" s="11">
        <v>10</v>
      </c>
      <c r="E20" s="11">
        <v>1</v>
      </c>
      <c r="F20" s="11">
        <v>3.1</v>
      </c>
      <c r="G20" s="11">
        <v>0.1</v>
      </c>
      <c r="H20" s="11">
        <v>0.2</v>
      </c>
      <c r="I20" s="12"/>
      <c r="J20" s="12"/>
      <c r="K20" s="13"/>
      <c r="L20" s="13"/>
      <c r="M20" s="13"/>
      <c r="N20" s="13"/>
      <c r="O20" s="14" t="str">
        <f t="shared" si="0"/>
        <v>
        </v>
      </c>
      <c r="P20" s="14" t="str">
        <f t="shared" si="1"/>
        <v>
        </v>
      </c>
      <c r="Q20" s="14" t="str">
        <f t="shared" si="2"/>
        <v>
        </v>
      </c>
      <c r="R20" s="15"/>
      <c r="S20" s="15"/>
      <c r="T20" s="16" t="s">
        <v>46</v>
      </c>
      <c r="U20" s="16" t="s">
        <v>46</v>
      </c>
      <c r="V20" s="16" t="s">
        <v>46</v>
      </c>
      <c r="W20" s="18" t="str">
        <f t="shared" si="3"/>
        <v>待导师填写</v>
      </c>
      <c r="X20" s="19" t="s">
        <v>44</v>
      </c>
    </row>
    <row r="21" ht="31" customHeight="1" spans="1:24">
      <c r="A21" s="10" t="s">
        <v>47</v>
      </c>
      <c r="B21" s="10" t="s">
        <v>43</v>
      </c>
      <c r="C21" s="11">
        <v>3.2</v>
      </c>
      <c r="D21" s="11">
        <v>10</v>
      </c>
      <c r="E21" s="11">
        <v>1</v>
      </c>
      <c r="F21" s="11">
        <v>3.2</v>
      </c>
      <c r="G21" s="11">
        <v>0.1</v>
      </c>
      <c r="H21" s="11">
        <v>0.2</v>
      </c>
      <c r="I21" s="12"/>
      <c r="J21" s="12"/>
      <c r="K21" s="13"/>
      <c r="L21" s="13"/>
      <c r="M21" s="13"/>
      <c r="N21" s="13"/>
      <c r="O21" s="14" t="str">
        <f t="shared" si="0"/>
        <v>
        </v>
      </c>
      <c r="P21" s="14" t="str">
        <f t="shared" si="1"/>
        <v>
        </v>
      </c>
      <c r="Q21" s="14" t="str">
        <f t="shared" si="2"/>
        <v>
        </v>
      </c>
      <c r="R21" s="15"/>
      <c r="S21" s="15"/>
      <c r="T21" s="16" t="s">
        <v>46</v>
      </c>
      <c r="U21" s="16" t="s">
        <v>46</v>
      </c>
      <c r="V21" s="16" t="s">
        <v>46</v>
      </c>
      <c r="W21" s="18" t="str">
        <f t="shared" si="3"/>
        <v>待导师填写</v>
      </c>
      <c r="X21" s="19" t="s">
        <v>44</v>
      </c>
    </row>
    <row r="22" ht="31" customHeight="1" spans="1:24">
      <c r="A22" s="10" t="s">
        <v>48</v>
      </c>
      <c r="B22" s="10" t="s">
        <v>43</v>
      </c>
      <c r="C22" s="11">
        <v>3.3</v>
      </c>
      <c r="D22" s="11">
        <v>10</v>
      </c>
      <c r="E22" s="11">
        <v>1</v>
      </c>
      <c r="F22" s="11">
        <v>3.3</v>
      </c>
      <c r="G22" s="11">
        <v>0.1</v>
      </c>
      <c r="H22" s="11">
        <v>0.2</v>
      </c>
      <c r="I22" s="12"/>
      <c r="J22" s="12"/>
      <c r="K22" s="13"/>
      <c r="L22" s="13"/>
      <c r="M22" s="13"/>
      <c r="N22" s="13"/>
      <c r="O22" s="14" t="str">
        <f t="shared" si="0"/>
        <v>
        </v>
      </c>
      <c r="P22" s="14" t="str">
        <f t="shared" si="1"/>
        <v>
        </v>
      </c>
      <c r="Q22" s="14" t="str">
        <f t="shared" si="2"/>
        <v>
        </v>
      </c>
      <c r="R22" s="15"/>
      <c r="S22" s="15"/>
      <c r="T22" s="16" t="s">
        <v>46</v>
      </c>
      <c r="U22" s="16" t="s">
        <v>46</v>
      </c>
      <c r="V22" s="16" t="s">
        <v>46</v>
      </c>
      <c r="W22" s="18" t="str">
        <f t="shared" si="3"/>
        <v>待导师填写</v>
      </c>
      <c r="X22" s="19" t="s">
        <v>44</v>
      </c>
    </row>
    <row r="23" ht="31" customHeight="1" spans="1:24">
      <c r="A23" s="10" t="s">
        <v>49</v>
      </c>
      <c r="B23" s="10" t="s">
        <v>43</v>
      </c>
      <c r="C23" s="11">
        <v>3.4</v>
      </c>
      <c r="D23" s="11">
        <v>10</v>
      </c>
      <c r="E23" s="11">
        <v>1</v>
      </c>
      <c r="F23" s="11">
        <v>3.4</v>
      </c>
      <c r="G23" s="11">
        <v>0.1</v>
      </c>
      <c r="H23" s="11">
        <v>0.2</v>
      </c>
      <c r="I23" s="12"/>
      <c r="J23" s="12"/>
      <c r="K23" s="13"/>
      <c r="L23" s="13"/>
      <c r="M23" s="13"/>
      <c r="N23" s="13"/>
      <c r="O23" s="14" t="str">
        <f t="shared" si="0"/>
        <v>
        </v>
      </c>
      <c r="P23" s="14" t="str">
        <f t="shared" si="1"/>
        <v>
        </v>
      </c>
      <c r="Q23" s="14" t="str">
        <f t="shared" si="2"/>
        <v>
        </v>
      </c>
      <c r="R23" s="15"/>
      <c r="S23" s="15"/>
      <c r="T23" s="16" t="s">
        <v>46</v>
      </c>
      <c r="U23" s="16" t="s">
        <v>46</v>
      </c>
      <c r="V23" s="16" t="s">
        <v>46</v>
      </c>
      <c r="W23" s="18" t="str">
        <f t="shared" si="3"/>
        <v>待导师填写</v>
      </c>
      <c r="X23" s="19" t="s">
        <v>44</v>
      </c>
    </row>
    <row r="24" ht="31" customHeight="1" spans="1:24">
      <c r="A24" s="10" t="s">
        <v>50</v>
      </c>
      <c r="B24" s="10" t="s">
        <v>43</v>
      </c>
      <c r="C24" s="11">
        <v>3.5</v>
      </c>
      <c r="D24" s="11">
        <v>10</v>
      </c>
      <c r="E24" s="11">
        <v>1</v>
      </c>
      <c r="F24" s="11">
        <v>3.5</v>
      </c>
      <c r="G24" s="11">
        <v>0.1</v>
      </c>
      <c r="H24" s="11">
        <v>0.2</v>
      </c>
      <c r="I24" s="12"/>
      <c r="J24" s="12"/>
      <c r="K24" s="13"/>
      <c r="L24" s="13"/>
      <c r="M24" s="13"/>
      <c r="N24" s="13"/>
      <c r="O24" s="14" t="str">
        <f t="shared" si="0"/>
        <v>
        </v>
      </c>
      <c r="P24" s="14" t="str">
        <f t="shared" si="1"/>
        <v>
        </v>
      </c>
      <c r="Q24" s="14" t="str">
        <f t="shared" si="2"/>
        <v>
        </v>
      </c>
      <c r="R24" s="15"/>
      <c r="S24" s="15"/>
      <c r="T24" s="16" t="s">
        <v>46</v>
      </c>
      <c r="U24" s="16" t="s">
        <v>46</v>
      </c>
      <c r="V24" s="16" t="s">
        <v>46</v>
      </c>
      <c r="W24" s="18" t="str">
        <f t="shared" si="3"/>
        <v>待导师填写</v>
      </c>
      <c r="X24" s="19" t="s">
        <v>44</v>
      </c>
    </row>
    <row r="25" ht="31" customHeight="1" spans="1:24">
      <c r="A25" s="10" t="s">
        <v>51</v>
      </c>
      <c r="B25" s="10" t="s">
        <v>43</v>
      </c>
      <c r="C25" s="11">
        <v>3.6</v>
      </c>
      <c r="D25" s="11">
        <v>10</v>
      </c>
      <c r="E25" s="11">
        <v>1</v>
      </c>
      <c r="F25" s="11">
        <v>3.6</v>
      </c>
      <c r="G25" s="11">
        <v>0.1</v>
      </c>
      <c r="H25" s="11">
        <v>0.2</v>
      </c>
      <c r="I25" s="12"/>
      <c r="J25" s="12"/>
      <c r="K25" s="13"/>
      <c r="L25" s="13"/>
      <c r="M25" s="13"/>
      <c r="N25" s="13"/>
      <c r="O25" s="14" t="str">
        <f t="shared" si="0"/>
        <v>
        </v>
      </c>
      <c r="P25" s="14" t="str">
        <f t="shared" si="1"/>
        <v>
        </v>
      </c>
      <c r="Q25" s="14" t="str">
        <f t="shared" si="2"/>
        <v>
        </v>
      </c>
      <c r="R25" s="15"/>
      <c r="S25" s="15"/>
      <c r="T25" s="16" t="s">
        <v>46</v>
      </c>
      <c r="U25" s="16" t="s">
        <v>46</v>
      </c>
      <c r="V25" s="16" t="s">
        <v>46</v>
      </c>
      <c r="W25" s="18" t="str">
        <f t="shared" si="3"/>
        <v>待导师填写</v>
      </c>
      <c r="X25" s="19" t="s">
        <v>44</v>
      </c>
    </row>
    <row r="26" ht="31" customHeight="1" spans="1:24">
      <c r="A26" s="10" t="s">
        <v>52</v>
      </c>
      <c r="B26" s="10" t="s">
        <v>53</v>
      </c>
      <c r="C26" s="11">
        <v>1</v>
      </c>
      <c r="D26" s="11">
        <v>8</v>
      </c>
      <c r="E26" s="11">
        <v>1</v>
      </c>
      <c r="F26" s="11">
        <v>3</v>
      </c>
      <c r="G26" s="11">
        <v>0.1</v>
      </c>
      <c r="H26" s="11">
        <v>0.2</v>
      </c>
      <c r="I26" s="12">
        <v>0.01092</v>
      </c>
      <c r="J26" s="12">
        <v>0.01092</v>
      </c>
      <c r="K26" s="13"/>
      <c r="L26" s="13"/>
      <c r="M26" s="13"/>
      <c r="N26" s="13"/>
      <c r="O26" s="14" t="str">
        <f t="shared" si="0"/>
        <v>
        </v>
      </c>
      <c r="P26" s="14" t="str">
        <f t="shared" si="1"/>
        <v>
        </v>
      </c>
      <c r="Q26" s="14" t="str">
        <f t="shared" si="2"/>
        <v>
        </v>
      </c>
      <c r="R26" s="15">
        <v>0.0093</v>
      </c>
      <c r="S26" s="15">
        <v>0.0093</v>
      </c>
      <c r="T26" s="16">
        <v>0.851648351648352</v>
      </c>
      <c r="U26" s="16">
        <v>0.851648351648352</v>
      </c>
      <c r="V26" s="16">
        <v>0.851648351648352</v>
      </c>
      <c r="W26" s="18" t="str">
        <f t="shared" si="3"/>
        <v>待导师填写</v>
      </c>
      <c r="X26" s="19" t="s">
        <v>54</v>
      </c>
    </row>
    <row r="27" ht="31" customHeight="1" spans="1:24">
      <c r="A27" s="10" t="s">
        <v>55</v>
      </c>
      <c r="B27" s="10" t="s">
        <v>53</v>
      </c>
      <c r="C27" s="11">
        <v>2</v>
      </c>
      <c r="D27" s="11">
        <v>8</v>
      </c>
      <c r="E27" s="11">
        <v>2</v>
      </c>
      <c r="F27" s="11">
        <v>3</v>
      </c>
      <c r="G27" s="11">
        <v>0.1</v>
      </c>
      <c r="H27" s="11">
        <v>0.2</v>
      </c>
      <c r="I27" s="12">
        <v>0.011144</v>
      </c>
      <c r="J27" s="12">
        <v>0.011144</v>
      </c>
      <c r="K27" s="13"/>
      <c r="L27" s="13"/>
      <c r="M27" s="13"/>
      <c r="N27" s="13"/>
      <c r="O27" s="14" t="str">
        <f t="shared" si="0"/>
        <v>
        </v>
      </c>
      <c r="P27" s="14" t="str">
        <f t="shared" si="1"/>
        <v>
        </v>
      </c>
      <c r="Q27" s="14" t="str">
        <f t="shared" si="2"/>
        <v>
        </v>
      </c>
      <c r="R27" s="15">
        <v>0.00954</v>
      </c>
      <c r="S27" s="15">
        <v>0.00954</v>
      </c>
      <c r="T27" s="16">
        <v>0.856066044508256</v>
      </c>
      <c r="U27" s="16">
        <v>0.856066044508256</v>
      </c>
      <c r="V27" s="16">
        <v>0.856066044508256</v>
      </c>
      <c r="W27" s="18" t="str">
        <f t="shared" si="3"/>
        <v>待导师填写</v>
      </c>
      <c r="X27" s="19" t="s">
        <v>54</v>
      </c>
    </row>
    <row r="28" ht="31" customHeight="1" spans="1:24">
      <c r="A28" s="10" t="s">
        <v>56</v>
      </c>
      <c r="B28" s="10" t="s">
        <v>53</v>
      </c>
      <c r="C28" s="11">
        <v>3</v>
      </c>
      <c r="D28" s="11">
        <v>8</v>
      </c>
      <c r="E28" s="11">
        <v>3</v>
      </c>
      <c r="F28" s="11">
        <v>3</v>
      </c>
      <c r="G28" s="11">
        <v>0.1</v>
      </c>
      <c r="H28" s="11">
        <v>0.2</v>
      </c>
      <c r="I28" s="12">
        <v>0.0113712</v>
      </c>
      <c r="J28" s="12">
        <v>0.0113712</v>
      </c>
      <c r="K28" s="13"/>
      <c r="L28" s="13"/>
      <c r="M28" s="13"/>
      <c r="N28" s="13"/>
      <c r="O28" s="14" t="str">
        <f t="shared" si="0"/>
        <v>
        </v>
      </c>
      <c r="P28" s="14" t="str">
        <f t="shared" si="1"/>
        <v>
        </v>
      </c>
      <c r="Q28" s="14" t="str">
        <f t="shared" si="2"/>
        <v>
        </v>
      </c>
      <c r="R28" s="15">
        <v>0.00978</v>
      </c>
      <c r="S28" s="15">
        <v>0.00978</v>
      </c>
      <c r="T28" s="16">
        <v>0.860067539046011</v>
      </c>
      <c r="U28" s="16">
        <v>0.860067539046011</v>
      </c>
      <c r="V28" s="16">
        <v>0.860067539046011</v>
      </c>
      <c r="W28" s="18" t="str">
        <f t="shared" si="3"/>
        <v>待导师填写</v>
      </c>
      <c r="X28" s="19" t="s">
        <v>54</v>
      </c>
    </row>
  </sheetData>
  <autoFilter xmlns:etc="http://www.wps.cn/officeDocument/2017/etCustomData" ref="A2:X28" etc:filterBottomFollowUsedRange="0">
    <extLst/>
  </autoFilter>
  <mergeCells count="1">
    <mergeCell ref="A1:X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串联单参数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2026-07-12T10:10:00Z</dcterms:created>
  <dcterms:modified xsi:type="dcterms:W3CDTF">2026-07-19T07:01:53Z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FF3C124FFEB4427285C57582F307ADE9_12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