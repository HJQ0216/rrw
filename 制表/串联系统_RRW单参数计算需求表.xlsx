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钢结构RRW方向\制表\"/>
    </mc:Choice>
  </mc:AlternateContent>
  <bookViews>
    <workbookView windowWidth="30720" windowHeight="13500"/>
  </bookViews>
  <sheets>
    <sheet name="单参数计算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<sst xmlns="http://schemas.openxmlformats.org/spreadsheetml/2006/main" count="88" uniqueCount="34">
  <si>
    <t>串联系统RRW单参数计算需求表</t>
  </si>
  <si>
    <t>计算口径：Pbi=0.2，K_RLP=3；目标构件i保留在系统中并设为完全可靠。</t>
  </si>
  <si>
    <t>Pf(S)上下界已按原始RLP条件概率进行二项加权回填；后续仅需填写Pf(S_i+)上下界。</t>
  </si>
  <si>
    <t>β组仅保留存在n=10原始RLP数据的β=3.0、3.2、3.7；β=2.7原始文件无10根构件表，未纳入。</t>
  </si>
  <si>
    <t>单参数项目</t>
  </si>
  <si>
    <t>变化参数取值</t>
  </si>
  <si>
    <t>构件总数 n</t>
  </si>
  <si>
    <t>潜在脆性构件数 n1</t>
  </si>
  <si>
    <t>可靠指标 β</t>
  </si>
  <si>
    <t>相关系数 ρ</t>
  </si>
  <si>
    <t>脆性发生概率 Pbi</t>
  </si>
  <si>
    <t>K_RLP</t>
  </si>
  <si>
    <t>目标构件</t>
  </si>
  <si>
    <r>
      <rPr>
        <b/>
        <sz val="10"/>
        <color rgb="FFFFFFFF"/>
        <rFont val="宋体"/>
        <charset val="134"/>
      </rPr>
      <t>原系统</t>
    </r>
    <r>
      <rPr>
        <b/>
        <sz val="10"/>
        <color rgb="FFFFFFFF"/>
        <rFont val="Arial"/>
        <charset val="134"/>
      </rPr>
      <t xml:space="preserve">Pf(S) </t>
    </r>
    <r>
      <rPr>
        <b/>
        <sz val="10"/>
        <color rgb="FFFFFFFF"/>
        <rFont val="宋体"/>
        <charset val="134"/>
      </rPr>
      <t>下界</t>
    </r>
  </si>
  <si>
    <r>
      <rPr>
        <b/>
        <sz val="10"/>
        <color rgb="FFFFFFFF"/>
        <rFont val="宋体"/>
        <charset val="134"/>
      </rPr>
      <t>原系统</t>
    </r>
    <r>
      <rPr>
        <b/>
        <sz val="10"/>
        <color rgb="FFFFFFFF"/>
        <rFont val="Arial"/>
        <charset val="134"/>
      </rPr>
      <t xml:space="preserve">Pf(S) </t>
    </r>
    <r>
      <rPr>
        <b/>
        <sz val="10"/>
        <color rgb="FFFFFFFF"/>
        <rFont val="宋体"/>
        <charset val="134"/>
      </rPr>
      <t>上界</t>
    </r>
  </si>
  <si>
    <r>
      <rPr>
        <b/>
        <sz val="10"/>
        <color rgb="FFFFFFFF"/>
        <rFont val="宋体"/>
        <charset val="134"/>
      </rPr>
      <t>完全可靠后系统</t>
    </r>
    <r>
      <rPr>
        <b/>
        <sz val="10"/>
        <color rgb="FFFFFFFF"/>
        <rFont val="Arial"/>
        <charset val="134"/>
      </rPr>
      <t xml:space="preserve">Pf(S_i+) </t>
    </r>
    <r>
      <rPr>
        <b/>
        <sz val="10"/>
        <color rgb="FFFFFFFF"/>
        <rFont val="宋体"/>
        <charset val="134"/>
      </rPr>
      <t>下界</t>
    </r>
  </si>
  <si>
    <r>
      <rPr>
        <b/>
        <sz val="10"/>
        <color rgb="FFFFFFFF"/>
        <rFont val="宋体"/>
        <charset val="134"/>
      </rPr>
      <t>完全可靠后系统</t>
    </r>
    <r>
      <rPr>
        <b/>
        <sz val="10"/>
        <color rgb="FFFFFFFF"/>
        <rFont val="Arial"/>
        <charset val="134"/>
      </rPr>
      <t xml:space="preserve">Pf(S_i+) </t>
    </r>
    <r>
      <rPr>
        <b/>
        <sz val="10"/>
        <color rgb="FFFFFFFF"/>
        <rFont val="宋体"/>
        <charset val="134"/>
      </rPr>
      <t>上界</t>
    </r>
  </si>
  <si>
    <t>RRW 下界</t>
  </si>
  <si>
    <t>RRW 上界</t>
  </si>
  <si>
    <r>
      <t>RRW</t>
    </r>
    <r>
      <rPr>
        <b/>
        <sz val="10"/>
        <color theme="0"/>
        <rFont val="宋体"/>
        <charset val="134"/>
      </rPr>
      <t>平均值</t>
    </r>
  </si>
  <si>
    <t>返回状态</t>
  </si>
  <si>
    <t>参数说明</t>
  </si>
  <si>
    <t>相关系数ρ</t>
  </si>
  <si>
    <t>唯一潜在脆性构件i</t>
  </si>
  <si>
    <t>固定n=8、n1=1、β=3.0、Pbi=0.2；对应论文图2.6</t>
  </si>
  <si>
    <t>构件总数n</t>
  </si>
  <si>
    <t>固定n1=1、β=3.0、ρ=0.1、Pbi=0.2；对应论文图2.7</t>
  </si>
  <si>
    <t>可靠指标β</t>
  </si>
  <si>
    <t>固定n=10、n1=1、ρ=0.1、Pbi=0.2；对应论文图2.8</t>
  </si>
  <si>
    <t>固定n=10、n1=1、ρ=0.1、Pbi=0.2；对应论文图2.8；原始10根构件表B9标签误写为8个全塑性，按工作表名及K=3数值区读取</t>
  </si>
  <si>
    <t>固定n=10、n1=1、ρ=0.1、Pbi=0.2；新增原始数据点（超出论文图2.8原β=3.0～3.6范围）</t>
  </si>
  <si>
    <t>潜在脆性构件数n1</t>
  </si>
  <si>
    <t>固定n=8、β=3.0、ρ=0.1、Pbi=0.2；对应论文图2.9</t>
  </si>
  <si>
    <t>潜在脆性构件之一i（固定同一编号）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</si>
</sst>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00000000"/>
  </numFmts>
  <fonts count="28">
    <font>
      <sz val="11"/>
      <name val="Carlito"/>
      <charset val="134"/>
    </font>
    <font>
      <sz val="10"/>
      <color rgb="FF1F2937"/>
      <name val="Arial"/>
      <charset val="134"/>
    </font>
    <font>
      <b/>
      <sz val="15"/>
      <color rgb="FF1F4E78"/>
      <name val="Arial"/>
      <charset val="134"/>
    </font>
    <font>
      <sz val="10"/>
      <color rgb="FF4B5563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宋体"/>
      <charset val="134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 style="thin">
        <color rgb="FFB8C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0" fillId="0" borderId="0" xfId="49" applyNumberFormat="1" applyAlignment="1">
      <alignment horizontal="center"/>
    </xf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horizontal="center" vertical="center"/>
    </xf>
    <xf numFmtId="0" fontId="4" fillId="2" borderId="2" xfId="49" applyNumberFormat="1" applyFont="1" applyFill="1" applyBorder="1" applyAlignment="1">
      <alignment horizontal="center" vertical="center" wrapText="1"/>
    </xf>
    <xf numFmtId="0" fontId="5" fillId="2" borderId="2" xfId="49" applyNumberFormat="1" applyFont="1" applyFill="1" applyBorder="1" applyAlignment="1">
      <alignment horizontal="center" vertical="center" wrapText="1"/>
    </xf>
    <xf numFmtId="0" fontId="6" fillId="2" borderId="2" xfId="49" applyNumberFormat="1" applyFont="1" applyFill="1" applyBorder="1" applyAlignment="1">
      <alignment horizontal="center" vertical="center" wrapText="1"/>
    </xf>
    <xf numFmtId="0" fontId="1" fillId="3" borderId="3" xfId="49" applyNumberFormat="1" applyFont="1" applyFill="1" applyBorder="1" applyAlignment="1">
      <alignment horizontal="center" vertical="center"/>
    </xf>
    <xf numFmtId="176" fontId="1" fillId="3" borderId="3" xfId="49" applyNumberFormat="1" applyFont="1" applyFill="1" applyBorder="1" applyAlignment="1">
      <alignment horizontal="center" vertical="center"/>
    </xf>
    <xf numFmtId="0" fontId="1" fillId="3" borderId="3" xfId="49" applyNumberFormat="1" applyFont="1" applyFill="1" applyBorder="1" applyAlignment="1">
      <alignment vertical="center" wrapText="1"/>
    </xf>
    <xf numFmtId="0" fontId="1" fillId="4" borderId="3" xfId="49" applyNumberFormat="1" applyFont="1" applyFill="1" applyBorder="1" applyAlignment="1">
      <alignment horizontal="center" vertical="center"/>
    </xf>
    <xf numFmtId="177" fontId="1" fillId="5" borderId="3" xfId="49" applyNumberFormat="1" applyFont="1" applyFill="1" applyBorder="1" applyAlignment="1">
      <alignment horizontal="right" vertical="center"/>
    </xf>
    <xf numFmtId="177" fontId="1" fillId="6" borderId="3" xfId="49" applyNumberFormat="1" applyFont="1" applyFill="1" applyBorder="1" applyAlignment="1">
      <alignment horizontal="right" vertical="center"/>
    </xf>
    <xf numFmtId="0" fontId="1" fillId="6" borderId="3" xfId="49" applyNumberFormat="1" applyFont="1" applyFill="1" applyBorder="1" applyAlignment="1">
      <alignment horizontal="center" vertical="center"/>
    </xf>
    <xf numFmtId="0" fontId="1" fillId="7" borderId="3" xfId="49" applyNumberFormat="1" applyFont="1" applyFill="1" applyBorder="1" applyAlignment="1">
      <alignment vertical="center" wrapText="1"/>
    </xf>
    <xf numFmtId="0" fontId="1" fillId="3" borderId="4" xfId="49" applyNumberFormat="1" applyFont="1" applyFill="1" applyBorder="1" applyAlignment="1">
      <alignment horizontal="center" vertical="center"/>
    </xf>
    <xf numFmtId="176" fontId="1" fillId="3" borderId="4" xfId="49" applyNumberFormat="1" applyFont="1" applyFill="1" applyBorder="1" applyAlignment="1">
      <alignment horizontal="center" vertical="center"/>
    </xf>
    <xf numFmtId="0" fontId="1" fillId="3" borderId="4" xfId="49" applyNumberFormat="1" applyFont="1" applyFill="1" applyBorder="1" applyAlignment="1">
      <alignment vertical="center" wrapText="1"/>
    </xf>
    <xf numFmtId="0" fontId="1" fillId="4" borderId="4" xfId="49" applyNumberFormat="1" applyFont="1" applyFill="1" applyBorder="1" applyAlignment="1">
      <alignment horizontal="center" vertical="center"/>
    </xf>
    <xf numFmtId="177" fontId="1" fillId="5" borderId="4" xfId="49" applyNumberFormat="1" applyFont="1" applyFill="1" applyBorder="1" applyAlignment="1">
      <alignment horizontal="right" vertical="center"/>
    </xf>
    <xf numFmtId="177" fontId="1" fillId="6" borderId="4" xfId="49" applyNumberFormat="1" applyFont="1" applyFill="1" applyBorder="1" applyAlignment="1">
      <alignment horizontal="right" vertical="center"/>
    </xf>
    <xf numFmtId="0" fontId="1" fillId="6" borderId="4" xfId="49" applyNumberFormat="1" applyFont="1" applyFill="1" applyBorder="1" applyAlignment="1">
      <alignment horizontal="center" vertical="center"/>
    </xf>
    <xf numFmtId="0" fontId="1" fillId="7" borderId="4" xfId="49" applyNumberFormat="1" applyFont="1" applyFill="1" applyBorder="1" applyAlignment="1">
      <alignment vertical="center" wrapText="1"/>
    </xf>
    <xf numFmtId="0" fontId="1" fillId="3" borderId="5" xfId="49" applyNumberFormat="1" applyFont="1" applyFill="1" applyBorder="1" applyAlignment="1">
      <alignment horizontal="center" vertical="center"/>
    </xf>
    <xf numFmtId="176" fontId="1" fillId="3" borderId="5" xfId="49" applyNumberFormat="1" applyFont="1" applyFill="1" applyBorder="1" applyAlignment="1">
      <alignment horizontal="center" vertical="center"/>
    </xf>
    <xf numFmtId="0" fontId="1" fillId="3" borderId="5" xfId="49" applyNumberFormat="1" applyFont="1" applyFill="1" applyBorder="1" applyAlignment="1">
      <alignment vertical="center" wrapText="1"/>
    </xf>
    <xf numFmtId="0" fontId="1" fillId="4" borderId="5" xfId="49" applyNumberFormat="1" applyFont="1" applyFill="1" applyBorder="1" applyAlignment="1">
      <alignment horizontal="center" vertical="center"/>
    </xf>
    <xf numFmtId="177" fontId="1" fillId="5" borderId="5" xfId="49" applyNumberFormat="1" applyFont="1" applyFill="1" applyBorder="1" applyAlignment="1">
      <alignment horizontal="right" vertical="center"/>
    </xf>
    <xf numFmtId="177" fontId="1" fillId="6" borderId="5" xfId="49" applyNumberFormat="1" applyFont="1" applyFill="1" applyBorder="1" applyAlignment="1">
      <alignment horizontal="right" vertical="center"/>
    </xf>
    <xf numFmtId="0" fontId="1" fillId="6" borderId="5" xfId="49" applyNumberFormat="1" applyFont="1" applyFill="1" applyBorder="1" applyAlignment="1">
      <alignment horizontal="center" vertical="center"/>
    </xf>
    <xf numFmtId="0" fontId="1" fillId="7" borderId="5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ingleParameterRequests" displayName="SingleParameterRequests" ref="A7:R29" totalsRowShown="0">
  <tableColumns count="18">
    <tableColumn id="1" name="单参数项目"/>
    <tableColumn id="2" name="变化参数取值"/>
    <tableColumn id="3" name="构件总数 n"/>
    <tableColumn id="4" name="潜在脆性构件数 n1"/>
    <tableColumn id="5" name="可靠指标 β"/>
    <tableColumn id="6" name="相关系数 ρ"/>
    <tableColumn id="7" name="脆性发生概率 Pbi"/>
    <tableColumn id="8" name="K_RLP"/>
    <tableColumn id="9" name="目标构件"/>
    <tableColumn id="10" name="原系统Pf(S) 下界"/>
    <tableColumn id="11" name="原系统Pf(S) 上界"/>
    <tableColumn id="12" name="完全可靠后系统Pf(S_i+) 下界"/>
    <tableColumn id="13" name="完全可靠后系统Pf(S_i+) 上界"/>
    <tableColumn id="14" name="RRW 下界"/>
    <tableColumn id="15" name="RRW 上界"/>
    <tableColumn id="16" name="RRW平均值"/>
    <tableColumn id="17" name="返回状态"/>
    <tableColumn id="18" name="参数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R29"/>
  <sheetViews>
    <sheetView showGridLines="0" tabSelected="1" topLeftCell="E1" workbookViewId="0">
      <pane ySplit="7" topLeftCell="A8" activePane="bottomLeft" state="frozen"/>
      <selection/>
      <selection pane="bottomLeft" activeCell="O10" sqref="O10"/>
    </sheetView>
  </sheetViews>
  <sheetFormatPr defaultColWidth="9" defaultRowHeight="13.8"/>
  <cols>
    <col min="1" max="1" width="22" customWidth="1"/>
    <col min="2" max="2" width="14" customWidth="1"/>
    <col min="3" max="3" width="12" customWidth="1"/>
    <col min="4" max="4" width="17" customWidth="1"/>
    <col min="5" max="6" width="12" customWidth="1"/>
    <col min="7" max="7" width="18" customWidth="1"/>
    <col min="8" max="8" width="10" customWidth="1"/>
    <col min="9" max="9" width="28" customWidth="1"/>
    <col min="10" max="11" width="16" style="1" customWidth="1"/>
    <col min="12" max="13" width="18" customWidth="1"/>
    <col min="14" max="15" width="15" customWidth="1"/>
    <col min="16" max="16" width="18" customWidth="1"/>
    <col min="17" max="17" width="13" customWidth="1"/>
    <col min="18" max="18" width="48" customWidth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</row>
    <row r="2" ht="19.2" spans="1:18">
      <c r="A2" s="4" t="s">
        <v>0</v>
      </c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  <c r="Q2" s="2"/>
      <c r="R2" s="2"/>
    </row>
    <row r="3" spans="1:18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5"/>
      <c r="M3" s="5"/>
      <c r="N3" s="5"/>
      <c r="O3" s="5"/>
      <c r="P3" s="5"/>
      <c r="Q3" s="5"/>
      <c r="R3" s="5"/>
    </row>
    <row r="4" ht="22" customHeight="1" spans="1:18">
      <c r="A4" s="7" t="s">
        <v>1</v>
      </c>
      <c r="B4" s="7"/>
      <c r="C4" s="7"/>
      <c r="D4" s="7"/>
      <c r="E4" s="7"/>
      <c r="F4" s="7"/>
      <c r="G4" s="7"/>
      <c r="H4" s="7"/>
      <c r="I4" s="7"/>
      <c r="J4" s="8"/>
      <c r="K4" s="8"/>
      <c r="L4" s="7"/>
      <c r="M4" s="7"/>
      <c r="N4" s="7"/>
      <c r="O4" s="7"/>
      <c r="P4" s="7"/>
      <c r="Q4" s="7"/>
      <c r="R4" s="7"/>
    </row>
    <row r="5" ht="22" customHeight="1" spans="1:18">
      <c r="A5" s="7" t="s">
        <v>2</v>
      </c>
      <c r="B5" s="7"/>
      <c r="C5" s="7"/>
      <c r="D5" s="7"/>
      <c r="E5" s="7"/>
      <c r="F5" s="7"/>
      <c r="G5" s="7"/>
      <c r="H5" s="7"/>
      <c r="I5" s="7"/>
      <c r="J5" s="8"/>
      <c r="K5" s="8"/>
      <c r="L5" s="7"/>
      <c r="M5" s="7"/>
      <c r="N5" s="7"/>
      <c r="O5" s="7"/>
      <c r="P5" s="7"/>
      <c r="Q5" s="7"/>
      <c r="R5" s="7"/>
    </row>
    <row r="6" ht="22" customHeight="1" spans="1:18">
      <c r="A6" s="7" t="s">
        <v>3</v>
      </c>
      <c r="B6" s="7"/>
      <c r="C6" s="7"/>
      <c r="D6" s="7"/>
      <c r="E6" s="7"/>
      <c r="F6" s="7"/>
      <c r="G6" s="7"/>
      <c r="H6" s="7"/>
      <c r="I6" s="7"/>
      <c r="J6" s="8"/>
      <c r="K6" s="8"/>
      <c r="L6" s="7"/>
      <c r="M6" s="7"/>
      <c r="N6" s="7"/>
      <c r="O6" s="7"/>
      <c r="P6" s="7"/>
      <c r="Q6" s="7"/>
      <c r="R6" s="7"/>
    </row>
    <row r="7" ht="44" customHeight="1" spans="1:18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10" t="s">
        <v>13</v>
      </c>
      <c r="K7" s="10" t="s">
        <v>14</v>
      </c>
      <c r="L7" s="10" t="s">
        <v>15</v>
      </c>
      <c r="M7" s="10" t="s">
        <v>16</v>
      </c>
      <c r="N7" s="9" t="s">
        <v>17</v>
      </c>
      <c r="O7" s="9" t="s">
        <v>18</v>
      </c>
      <c r="P7" s="11" t="s">
        <v>19</v>
      </c>
      <c r="Q7" s="9" t="s">
        <v>20</v>
      </c>
      <c r="R7" s="9" t="s">
        <v>21</v>
      </c>
    </row>
    <row r="8" ht="27" customHeight="1" spans="1:18">
      <c r="A8" s="12" t="s">
        <v>22</v>
      </c>
      <c r="B8" s="12">
        <v>0.1</v>
      </c>
      <c r="C8" s="12">
        <v>8</v>
      </c>
      <c r="D8" s="12">
        <v>1</v>
      </c>
      <c r="E8" s="13">
        <v>3</v>
      </c>
      <c r="F8" s="13">
        <v>0.1</v>
      </c>
      <c r="G8" s="13">
        <v>0.2</v>
      </c>
      <c r="H8" s="12">
        <v>3</v>
      </c>
      <c r="I8" s="14" t="s">
        <v>23</v>
      </c>
      <c r="J8" s="15">
        <v>0.01092</v>
      </c>
      <c r="K8" s="15">
        <v>0.01092</v>
      </c>
      <c r="L8" s="16"/>
      <c r="M8" s="16"/>
      <c r="N8" s="17" t="str">
        <f t="shared" ref="N8:N29" si="0">IF(OR(J8="",M8="",M8=0),"",J8/M8)</f>
        <v/>
      </c>
      <c r="O8" s="17" t="str">
        <f t="shared" ref="O8:O29" si="1">IF(OR(K8="",L8="",L8=0),"",K8/L8)</f>
        <v/>
      </c>
      <c r="P8" s="17"/>
      <c r="Q8" s="18" t="str">
        <f t="shared" ref="Q8:Q29" si="2">IF(COUNTA(J8:M8)=0,"待返回",IF(COUNTA(J8:M8)&lt;4,"待补充",IF(OR(L8=0,M8=0),"检查分母","已返回")))</f>
        <v>待补充</v>
      </c>
      <c r="R8" s="19" t="s">
        <v>24</v>
      </c>
    </row>
    <row r="9" ht="27" customHeight="1" spans="1:18">
      <c r="A9" s="20" t="s">
        <v>22</v>
      </c>
      <c r="B9" s="20">
        <v>0.3</v>
      </c>
      <c r="C9" s="20">
        <v>8</v>
      </c>
      <c r="D9" s="20">
        <v>1</v>
      </c>
      <c r="E9" s="21">
        <v>3</v>
      </c>
      <c r="F9" s="21">
        <v>0.3</v>
      </c>
      <c r="G9" s="21">
        <v>0.2</v>
      </c>
      <c r="H9" s="20">
        <v>3</v>
      </c>
      <c r="I9" s="22" t="s">
        <v>23</v>
      </c>
      <c r="J9" s="23">
        <v>0.01042</v>
      </c>
      <c r="K9" s="23">
        <v>0.01042</v>
      </c>
      <c r="L9" s="24"/>
      <c r="M9" s="24"/>
      <c r="N9" s="25" t="str">
        <f t="shared" si="0"/>
        <v/>
      </c>
      <c r="O9" s="25" t="str">
        <f t="shared" si="1"/>
        <v/>
      </c>
      <c r="P9" s="25"/>
      <c r="Q9" s="26" t="str">
        <f t="shared" si="2"/>
        <v>待补充</v>
      </c>
      <c r="R9" s="27" t="s">
        <v>24</v>
      </c>
    </row>
    <row r="10" ht="27" customHeight="1" spans="1:18">
      <c r="A10" s="20" t="s">
        <v>22</v>
      </c>
      <c r="B10" s="20">
        <v>0.5</v>
      </c>
      <c r="C10" s="20">
        <v>8</v>
      </c>
      <c r="D10" s="20">
        <v>1</v>
      </c>
      <c r="E10" s="21">
        <v>3</v>
      </c>
      <c r="F10" s="21">
        <v>0.5</v>
      </c>
      <c r="G10" s="21">
        <v>0.2</v>
      </c>
      <c r="H10" s="20">
        <v>3</v>
      </c>
      <c r="I10" s="22" t="s">
        <v>23</v>
      </c>
      <c r="J10" s="23">
        <v>0.009</v>
      </c>
      <c r="K10" s="23">
        <v>0.0095</v>
      </c>
      <c r="L10" s="24"/>
      <c r="M10" s="24"/>
      <c r="N10" s="25" t="str">
        <f t="shared" si="0"/>
        <v/>
      </c>
      <c r="O10" s="25" t="str">
        <f t="shared" si="1"/>
        <v/>
      </c>
      <c r="P10" s="25"/>
      <c r="Q10" s="26" t="str">
        <f t="shared" si="2"/>
        <v>待补充</v>
      </c>
      <c r="R10" s="27" t="s">
        <v>24</v>
      </c>
    </row>
    <row r="11" ht="27" customHeight="1" spans="1:18">
      <c r="A11" s="20" t="s">
        <v>22</v>
      </c>
      <c r="B11" s="20">
        <v>0.7</v>
      </c>
      <c r="C11" s="20">
        <v>8</v>
      </c>
      <c r="D11" s="20">
        <v>1</v>
      </c>
      <c r="E11" s="21">
        <v>3</v>
      </c>
      <c r="F11" s="21">
        <v>0.7</v>
      </c>
      <c r="G11" s="21">
        <v>0.2</v>
      </c>
      <c r="H11" s="20">
        <v>3</v>
      </c>
      <c r="I11" s="22" t="s">
        <v>23</v>
      </c>
      <c r="J11" s="23">
        <v>0.00634</v>
      </c>
      <c r="K11" s="23">
        <v>0.00788</v>
      </c>
      <c r="L11" s="24"/>
      <c r="M11" s="24"/>
      <c r="N11" s="25" t="str">
        <f t="shared" si="0"/>
        <v/>
      </c>
      <c r="O11" s="25" t="str">
        <f t="shared" si="1"/>
        <v/>
      </c>
      <c r="P11" s="25"/>
      <c r="Q11" s="26" t="str">
        <f t="shared" si="2"/>
        <v>待补充</v>
      </c>
      <c r="R11" s="27" t="s">
        <v>24</v>
      </c>
    </row>
    <row r="12" ht="27" customHeight="1" spans="1:18">
      <c r="A12" s="20" t="s">
        <v>22</v>
      </c>
      <c r="B12" s="20">
        <v>0.9</v>
      </c>
      <c r="C12" s="20">
        <v>8</v>
      </c>
      <c r="D12" s="20">
        <v>1</v>
      </c>
      <c r="E12" s="21">
        <v>3</v>
      </c>
      <c r="F12" s="21">
        <v>0.9</v>
      </c>
      <c r="G12" s="21">
        <v>0.2</v>
      </c>
      <c r="H12" s="20">
        <v>3</v>
      </c>
      <c r="I12" s="22" t="s">
        <v>23</v>
      </c>
      <c r="J12" s="23">
        <v>0.0034</v>
      </c>
      <c r="K12" s="23">
        <v>0.00514</v>
      </c>
      <c r="L12" s="24"/>
      <c r="M12" s="24"/>
      <c r="N12" s="25" t="str">
        <f t="shared" si="0"/>
        <v/>
      </c>
      <c r="O12" s="25" t="str">
        <f t="shared" si="1"/>
        <v/>
      </c>
      <c r="P12" s="25"/>
      <c r="Q12" s="26" t="str">
        <f t="shared" si="2"/>
        <v>待补充</v>
      </c>
      <c r="R12" s="27" t="s">
        <v>24</v>
      </c>
    </row>
    <row r="13" ht="27" customHeight="1" spans="1:18">
      <c r="A13" s="20" t="s">
        <v>25</v>
      </c>
      <c r="B13" s="20">
        <v>8</v>
      </c>
      <c r="C13" s="20">
        <v>8</v>
      </c>
      <c r="D13" s="20">
        <v>1</v>
      </c>
      <c r="E13" s="21">
        <v>3</v>
      </c>
      <c r="F13" s="21">
        <v>0.1</v>
      </c>
      <c r="G13" s="21">
        <v>0.2</v>
      </c>
      <c r="H13" s="20">
        <v>3</v>
      </c>
      <c r="I13" s="22" t="s">
        <v>23</v>
      </c>
      <c r="J13" s="23">
        <v>0.01092</v>
      </c>
      <c r="K13" s="23">
        <v>0.01092</v>
      </c>
      <c r="L13" s="24"/>
      <c r="M13" s="24"/>
      <c r="N13" s="25" t="str">
        <f t="shared" si="0"/>
        <v/>
      </c>
      <c r="O13" s="25" t="str">
        <f t="shared" si="1"/>
        <v/>
      </c>
      <c r="P13" s="25"/>
      <c r="Q13" s="26" t="str">
        <f t="shared" si="2"/>
        <v>待补充</v>
      </c>
      <c r="R13" s="27" t="s">
        <v>26</v>
      </c>
    </row>
    <row r="14" ht="27" customHeight="1" spans="1:18">
      <c r="A14" s="20" t="s">
        <v>25</v>
      </c>
      <c r="B14" s="20">
        <v>12</v>
      </c>
      <c r="C14" s="20">
        <v>12</v>
      </c>
      <c r="D14" s="20">
        <v>1</v>
      </c>
      <c r="E14" s="21">
        <v>3</v>
      </c>
      <c r="F14" s="21">
        <v>0.1</v>
      </c>
      <c r="G14" s="21">
        <v>0.2</v>
      </c>
      <c r="H14" s="20">
        <v>3</v>
      </c>
      <c r="I14" s="22" t="s">
        <v>23</v>
      </c>
      <c r="J14" s="23">
        <v>0.01612</v>
      </c>
      <c r="K14" s="23">
        <v>0.01612</v>
      </c>
      <c r="L14" s="24"/>
      <c r="M14" s="24"/>
      <c r="N14" s="25" t="str">
        <f t="shared" si="0"/>
        <v/>
      </c>
      <c r="O14" s="25" t="str">
        <f t="shared" si="1"/>
        <v/>
      </c>
      <c r="P14" s="25"/>
      <c r="Q14" s="26" t="str">
        <f t="shared" si="2"/>
        <v>待补充</v>
      </c>
      <c r="R14" s="27" t="s">
        <v>26</v>
      </c>
    </row>
    <row r="15" ht="27" customHeight="1" spans="1:18">
      <c r="A15" s="20" t="s">
        <v>25</v>
      </c>
      <c r="B15" s="20">
        <v>16</v>
      </c>
      <c r="C15" s="20">
        <v>16</v>
      </c>
      <c r="D15" s="20">
        <v>1</v>
      </c>
      <c r="E15" s="21">
        <v>3</v>
      </c>
      <c r="F15" s="21">
        <v>0.1</v>
      </c>
      <c r="G15" s="21">
        <v>0.2</v>
      </c>
      <c r="H15" s="20">
        <v>3</v>
      </c>
      <c r="I15" s="22" t="s">
        <v>23</v>
      </c>
      <c r="J15" s="23">
        <v>0.02124</v>
      </c>
      <c r="K15" s="23">
        <v>0.02124</v>
      </c>
      <c r="L15" s="24"/>
      <c r="M15" s="24"/>
      <c r="N15" s="25" t="str">
        <f t="shared" si="0"/>
        <v/>
      </c>
      <c r="O15" s="25" t="str">
        <f t="shared" si="1"/>
        <v/>
      </c>
      <c r="P15" s="25"/>
      <c r="Q15" s="26" t="str">
        <f t="shared" si="2"/>
        <v>待补充</v>
      </c>
      <c r="R15" s="27" t="s">
        <v>26</v>
      </c>
    </row>
    <row r="16" ht="27" customHeight="1" spans="1:18">
      <c r="A16" s="20" t="s">
        <v>25</v>
      </c>
      <c r="B16" s="20">
        <v>20</v>
      </c>
      <c r="C16" s="20">
        <v>20</v>
      </c>
      <c r="D16" s="20">
        <v>1</v>
      </c>
      <c r="E16" s="21">
        <v>3</v>
      </c>
      <c r="F16" s="21">
        <v>0.1</v>
      </c>
      <c r="G16" s="21">
        <v>0.2</v>
      </c>
      <c r="H16" s="20">
        <v>3</v>
      </c>
      <c r="I16" s="22" t="s">
        <v>23</v>
      </c>
      <c r="J16" s="23">
        <v>0.02632</v>
      </c>
      <c r="K16" s="23">
        <v>0.02632</v>
      </c>
      <c r="L16" s="24"/>
      <c r="M16" s="24"/>
      <c r="N16" s="25" t="str">
        <f t="shared" si="0"/>
        <v/>
      </c>
      <c r="O16" s="25" t="str">
        <f t="shared" si="1"/>
        <v/>
      </c>
      <c r="P16" s="25"/>
      <c r="Q16" s="26" t="str">
        <f t="shared" si="2"/>
        <v>待补充</v>
      </c>
      <c r="R16" s="27" t="s">
        <v>26</v>
      </c>
    </row>
    <row r="17" ht="27" customHeight="1" spans="1:18">
      <c r="A17" s="20" t="s">
        <v>25</v>
      </c>
      <c r="B17" s="20">
        <v>24</v>
      </c>
      <c r="C17" s="20">
        <v>24</v>
      </c>
      <c r="D17" s="20">
        <v>1</v>
      </c>
      <c r="E17" s="21">
        <v>3</v>
      </c>
      <c r="F17" s="21">
        <v>0.1</v>
      </c>
      <c r="G17" s="21">
        <v>0.2</v>
      </c>
      <c r="H17" s="20">
        <v>3</v>
      </c>
      <c r="I17" s="22" t="s">
        <v>23</v>
      </c>
      <c r="J17" s="23">
        <v>0.03132</v>
      </c>
      <c r="K17" s="23">
        <v>0.03132</v>
      </c>
      <c r="L17" s="24"/>
      <c r="M17" s="24"/>
      <c r="N17" s="25" t="str">
        <f t="shared" si="0"/>
        <v/>
      </c>
      <c r="O17" s="25" t="str">
        <f t="shared" si="1"/>
        <v/>
      </c>
      <c r="P17" s="25"/>
      <c r="Q17" s="26" t="str">
        <f t="shared" si="2"/>
        <v>待补充</v>
      </c>
      <c r="R17" s="27" t="s">
        <v>26</v>
      </c>
    </row>
    <row r="18" ht="27" customHeight="1" spans="1:18">
      <c r="A18" s="20" t="s">
        <v>25</v>
      </c>
      <c r="B18" s="20">
        <v>28</v>
      </c>
      <c r="C18" s="20">
        <v>28</v>
      </c>
      <c r="D18" s="20">
        <v>1</v>
      </c>
      <c r="E18" s="21">
        <v>3</v>
      </c>
      <c r="F18" s="21">
        <v>0.1</v>
      </c>
      <c r="G18" s="21">
        <v>0.2</v>
      </c>
      <c r="H18" s="20">
        <v>3</v>
      </c>
      <c r="I18" s="22" t="s">
        <v>23</v>
      </c>
      <c r="J18" s="23">
        <v>0.03614</v>
      </c>
      <c r="K18" s="23">
        <v>0.03632</v>
      </c>
      <c r="L18" s="24"/>
      <c r="M18" s="24"/>
      <c r="N18" s="25" t="str">
        <f t="shared" si="0"/>
        <v/>
      </c>
      <c r="O18" s="25" t="str">
        <f t="shared" si="1"/>
        <v/>
      </c>
      <c r="P18" s="25"/>
      <c r="Q18" s="26" t="str">
        <f t="shared" si="2"/>
        <v>待补充</v>
      </c>
      <c r="R18" s="27" t="s">
        <v>26</v>
      </c>
    </row>
    <row r="19" ht="27" customHeight="1" spans="1:18">
      <c r="A19" s="20" t="s">
        <v>25</v>
      </c>
      <c r="B19" s="20">
        <v>32</v>
      </c>
      <c r="C19" s="20">
        <v>32</v>
      </c>
      <c r="D19" s="20">
        <v>1</v>
      </c>
      <c r="E19" s="21">
        <v>3</v>
      </c>
      <c r="F19" s="21">
        <v>0.1</v>
      </c>
      <c r="G19" s="21">
        <v>0.2</v>
      </c>
      <c r="H19" s="20">
        <v>3</v>
      </c>
      <c r="I19" s="22" t="s">
        <v>23</v>
      </c>
      <c r="J19" s="23">
        <v>0.04102</v>
      </c>
      <c r="K19" s="23">
        <v>0.0412</v>
      </c>
      <c r="L19" s="24"/>
      <c r="M19" s="24"/>
      <c r="N19" s="25" t="str">
        <f t="shared" si="0"/>
        <v/>
      </c>
      <c r="O19" s="25" t="str">
        <f t="shared" si="1"/>
        <v/>
      </c>
      <c r="P19" s="25"/>
      <c r="Q19" s="26" t="str">
        <f t="shared" si="2"/>
        <v>待补充</v>
      </c>
      <c r="R19" s="27" t="s">
        <v>26</v>
      </c>
    </row>
    <row r="20" ht="27" customHeight="1" spans="1:18">
      <c r="A20" s="20" t="s">
        <v>25</v>
      </c>
      <c r="B20" s="20">
        <v>36</v>
      </c>
      <c r="C20" s="20">
        <v>36</v>
      </c>
      <c r="D20" s="20">
        <v>1</v>
      </c>
      <c r="E20" s="21">
        <v>3</v>
      </c>
      <c r="F20" s="21">
        <v>0.1</v>
      </c>
      <c r="G20" s="21">
        <v>0.2</v>
      </c>
      <c r="H20" s="20">
        <v>3</v>
      </c>
      <c r="I20" s="22" t="s">
        <v>23</v>
      </c>
      <c r="J20" s="23">
        <v>0.04572</v>
      </c>
      <c r="K20" s="23">
        <v>0.04602</v>
      </c>
      <c r="L20" s="24"/>
      <c r="M20" s="24"/>
      <c r="N20" s="25" t="str">
        <f t="shared" si="0"/>
        <v/>
      </c>
      <c r="O20" s="25" t="str">
        <f t="shared" si="1"/>
        <v/>
      </c>
      <c r="P20" s="25"/>
      <c r="Q20" s="26" t="str">
        <f t="shared" si="2"/>
        <v>待补充</v>
      </c>
      <c r="R20" s="27" t="s">
        <v>26</v>
      </c>
    </row>
    <row r="21" ht="27" customHeight="1" spans="1:18">
      <c r="A21" s="20" t="s">
        <v>25</v>
      </c>
      <c r="B21" s="20">
        <v>40</v>
      </c>
      <c r="C21" s="20">
        <v>40</v>
      </c>
      <c r="D21" s="20">
        <v>1</v>
      </c>
      <c r="E21" s="21">
        <v>3</v>
      </c>
      <c r="F21" s="21">
        <v>0.1</v>
      </c>
      <c r="G21" s="21">
        <v>0.2</v>
      </c>
      <c r="H21" s="20">
        <v>3</v>
      </c>
      <c r="I21" s="22" t="s">
        <v>23</v>
      </c>
      <c r="J21" s="23">
        <v>0.05042</v>
      </c>
      <c r="K21" s="23">
        <v>0.05072</v>
      </c>
      <c r="L21" s="24"/>
      <c r="M21" s="24"/>
      <c r="N21" s="25" t="str">
        <f t="shared" si="0"/>
        <v/>
      </c>
      <c r="O21" s="25" t="str">
        <f t="shared" si="1"/>
        <v/>
      </c>
      <c r="P21" s="25"/>
      <c r="Q21" s="26" t="str">
        <f t="shared" si="2"/>
        <v>待补充</v>
      </c>
      <c r="R21" s="27" t="s">
        <v>26</v>
      </c>
    </row>
    <row r="22" ht="27" customHeight="1" spans="1:18">
      <c r="A22" s="20" t="s">
        <v>25</v>
      </c>
      <c r="B22" s="20">
        <v>44</v>
      </c>
      <c r="C22" s="20">
        <v>44</v>
      </c>
      <c r="D22" s="20">
        <v>1</v>
      </c>
      <c r="E22" s="21">
        <v>3</v>
      </c>
      <c r="F22" s="21">
        <v>0.1</v>
      </c>
      <c r="G22" s="21">
        <v>0.2</v>
      </c>
      <c r="H22" s="20">
        <v>3</v>
      </c>
      <c r="I22" s="22" t="s">
        <v>23</v>
      </c>
      <c r="J22" s="23">
        <v>0.055</v>
      </c>
      <c r="K22" s="23">
        <v>0.0555</v>
      </c>
      <c r="L22" s="24"/>
      <c r="M22" s="24"/>
      <c r="N22" s="25" t="str">
        <f t="shared" si="0"/>
        <v/>
      </c>
      <c r="O22" s="25" t="str">
        <f t="shared" si="1"/>
        <v/>
      </c>
      <c r="P22" s="25"/>
      <c r="Q22" s="26" t="str">
        <f t="shared" si="2"/>
        <v>待补充</v>
      </c>
      <c r="R22" s="27" t="s">
        <v>26</v>
      </c>
    </row>
    <row r="23" ht="27" customHeight="1" spans="1:18">
      <c r="A23" s="20" t="s">
        <v>25</v>
      </c>
      <c r="B23" s="20">
        <v>48</v>
      </c>
      <c r="C23" s="20">
        <v>48</v>
      </c>
      <c r="D23" s="20">
        <v>1</v>
      </c>
      <c r="E23" s="21">
        <v>3</v>
      </c>
      <c r="F23" s="21">
        <v>0.1</v>
      </c>
      <c r="G23" s="21">
        <v>0.2</v>
      </c>
      <c r="H23" s="20">
        <v>3</v>
      </c>
      <c r="I23" s="22" t="s">
        <v>23</v>
      </c>
      <c r="J23" s="23">
        <v>0.0595</v>
      </c>
      <c r="K23" s="23">
        <v>0.06012</v>
      </c>
      <c r="L23" s="24"/>
      <c r="M23" s="24"/>
      <c r="N23" s="25" t="str">
        <f t="shared" si="0"/>
        <v/>
      </c>
      <c r="O23" s="25" t="str">
        <f t="shared" si="1"/>
        <v/>
      </c>
      <c r="P23" s="25"/>
      <c r="Q23" s="26" t="str">
        <f t="shared" si="2"/>
        <v>待补充</v>
      </c>
      <c r="R23" s="27" t="s">
        <v>26</v>
      </c>
    </row>
    <row r="24" ht="27" customHeight="1" spans="1:18">
      <c r="A24" s="20" t="s">
        <v>27</v>
      </c>
      <c r="B24" s="20">
        <v>3</v>
      </c>
      <c r="C24" s="20">
        <v>10</v>
      </c>
      <c r="D24" s="20">
        <v>1</v>
      </c>
      <c r="E24" s="21">
        <v>3</v>
      </c>
      <c r="F24" s="21">
        <v>0.1</v>
      </c>
      <c r="G24" s="21">
        <v>0.2</v>
      </c>
      <c r="H24" s="20">
        <v>3</v>
      </c>
      <c r="I24" s="22" t="s">
        <v>23</v>
      </c>
      <c r="J24" s="23">
        <v>0.01354</v>
      </c>
      <c r="K24" s="23">
        <v>0.01354</v>
      </c>
      <c r="L24" s="24"/>
      <c r="M24" s="24"/>
      <c r="N24" s="25" t="str">
        <f t="shared" si="0"/>
        <v/>
      </c>
      <c r="O24" s="25" t="str">
        <f t="shared" si="1"/>
        <v/>
      </c>
      <c r="P24" s="25"/>
      <c r="Q24" s="26" t="str">
        <f t="shared" si="2"/>
        <v>待补充</v>
      </c>
      <c r="R24" s="27" t="s">
        <v>28</v>
      </c>
    </row>
    <row r="25" ht="27" customHeight="1" spans="1:18">
      <c r="A25" s="20" t="s">
        <v>27</v>
      </c>
      <c r="B25" s="20">
        <v>3.2</v>
      </c>
      <c r="C25" s="20">
        <v>10</v>
      </c>
      <c r="D25" s="20">
        <v>1</v>
      </c>
      <c r="E25" s="21">
        <v>3.2</v>
      </c>
      <c r="F25" s="21">
        <v>0.1</v>
      </c>
      <c r="G25" s="21">
        <v>0.2</v>
      </c>
      <c r="H25" s="20">
        <v>3</v>
      </c>
      <c r="I25" s="22" t="s">
        <v>23</v>
      </c>
      <c r="J25" s="23">
        <v>0.00694</v>
      </c>
      <c r="K25" s="23">
        <v>0.00694</v>
      </c>
      <c r="L25" s="24"/>
      <c r="M25" s="24"/>
      <c r="N25" s="25" t="str">
        <f t="shared" si="0"/>
        <v/>
      </c>
      <c r="O25" s="25" t="str">
        <f t="shared" si="1"/>
        <v/>
      </c>
      <c r="P25" s="25"/>
      <c r="Q25" s="26" t="str">
        <f t="shared" si="2"/>
        <v>待补充</v>
      </c>
      <c r="R25" s="27" t="s">
        <v>29</v>
      </c>
    </row>
    <row r="26" ht="27" customHeight="1" spans="1:18">
      <c r="A26" s="20" t="s">
        <v>27</v>
      </c>
      <c r="B26" s="20">
        <v>3.7</v>
      </c>
      <c r="C26" s="20">
        <v>10</v>
      </c>
      <c r="D26" s="20">
        <v>1</v>
      </c>
      <c r="E26" s="21">
        <v>3.7</v>
      </c>
      <c r="F26" s="21">
        <v>0.1</v>
      </c>
      <c r="G26" s="21">
        <v>0.2</v>
      </c>
      <c r="H26" s="20">
        <v>3</v>
      </c>
      <c r="I26" s="22" t="s">
        <v>23</v>
      </c>
      <c r="J26" s="23">
        <v>0.00112</v>
      </c>
      <c r="K26" s="23">
        <v>0.00112</v>
      </c>
      <c r="L26" s="24"/>
      <c r="M26" s="24"/>
      <c r="N26" s="25" t="str">
        <f t="shared" si="0"/>
        <v/>
      </c>
      <c r="O26" s="25" t="str">
        <f t="shared" si="1"/>
        <v/>
      </c>
      <c r="P26" s="25"/>
      <c r="Q26" s="26" t="str">
        <f t="shared" si="2"/>
        <v>待补充</v>
      </c>
      <c r="R26" s="27" t="s">
        <v>30</v>
      </c>
    </row>
    <row r="27" ht="27" customHeight="1" spans="1:18">
      <c r="A27" s="20" t="s">
        <v>31</v>
      </c>
      <c r="B27" s="20">
        <v>1</v>
      </c>
      <c r="C27" s="20">
        <v>8</v>
      </c>
      <c r="D27" s="20">
        <v>1</v>
      </c>
      <c r="E27" s="21">
        <v>3</v>
      </c>
      <c r="F27" s="21">
        <v>0.1</v>
      </c>
      <c r="G27" s="21">
        <v>0.2</v>
      </c>
      <c r="H27" s="20">
        <v>3</v>
      </c>
      <c r="I27" s="22" t="s">
        <v>23</v>
      </c>
      <c r="J27" s="23">
        <v>0.01092</v>
      </c>
      <c r="K27" s="23">
        <v>0.01092</v>
      </c>
      <c r="L27" s="24"/>
      <c r="M27" s="24"/>
      <c r="N27" s="25" t="str">
        <f t="shared" si="0"/>
        <v/>
      </c>
      <c r="O27" s="25" t="str">
        <f t="shared" si="1"/>
        <v/>
      </c>
      <c r="P27" s="25"/>
      <c r="Q27" s="26" t="str">
        <f t="shared" si="2"/>
        <v>待补充</v>
      </c>
      <c r="R27" s="27" t="s">
        <v>32</v>
      </c>
    </row>
    <row r="28" ht="27" customHeight="1" spans="1:18">
      <c r="A28" s="20" t="s">
        <v>31</v>
      </c>
      <c r="B28" s="20">
        <v>2</v>
      </c>
      <c r="C28" s="20">
        <v>8</v>
      </c>
      <c r="D28" s="20">
        <v>2</v>
      </c>
      <c r="E28" s="21">
        <v>3</v>
      </c>
      <c r="F28" s="21">
        <v>0.1</v>
      </c>
      <c r="G28" s="21">
        <v>0.2</v>
      </c>
      <c r="H28" s="20">
        <v>3</v>
      </c>
      <c r="I28" s="22" t="s">
        <v>33</v>
      </c>
      <c r="J28" s="23">
        <v>0.011144</v>
      </c>
      <c r="K28" s="23">
        <v>0.011144</v>
      </c>
      <c r="L28" s="24"/>
      <c r="M28" s="24"/>
      <c r="N28" s="25" t="str">
        <f t="shared" si="0"/>
        <v/>
      </c>
      <c r="O28" s="25" t="str">
        <f t="shared" si="1"/>
        <v/>
      </c>
      <c r="P28" s="25"/>
      <c r="Q28" s="26" t="str">
        <f t="shared" si="2"/>
        <v>待补充</v>
      </c>
      <c r="R28" s="27" t="s">
        <v>32</v>
      </c>
    </row>
    <row r="29" ht="27" customHeight="1" spans="1:18">
      <c r="A29" s="28" t="s">
        <v>31</v>
      </c>
      <c r="B29" s="28">
        <v>3</v>
      </c>
      <c r="C29" s="28">
        <v>8</v>
      </c>
      <c r="D29" s="28">
        <v>3</v>
      </c>
      <c r="E29" s="29">
        <v>3</v>
      </c>
      <c r="F29" s="29">
        <v>0.1</v>
      </c>
      <c r="G29" s="29">
        <v>0.2</v>
      </c>
      <c r="H29" s="28">
        <v>3</v>
      </c>
      <c r="I29" s="30" t="s">
        <v>33</v>
      </c>
      <c r="J29" s="31">
        <v>0.0113712</v>
      </c>
      <c r="K29" s="31">
        <v>0.0113712</v>
      </c>
      <c r="L29" s="32"/>
      <c r="M29" s="32"/>
      <c r="N29" s="33" t="str">
        <f t="shared" si="0"/>
        <v/>
      </c>
      <c r="O29" s="33" t="str">
        <f t="shared" si="1"/>
        <v/>
      </c>
      <c r="P29" s="33"/>
      <c r="Q29" s="34" t="str">
        <f t="shared" si="2"/>
        <v>待补充</v>
      </c>
      <c r="R29" s="35" t="s">
        <v>32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单参数计算需求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weixiao</cp:lastModifiedBy>
  <dcterms:created xsi:type="dcterms:W3CDTF">2026-09-21T05:43:00Z</dcterms:created>
  <dcterms:modified xsi:type="dcterms:W3CDTF">2026-09-22T09:38:11Z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FA3CFF38333743658E6430247776F872_12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