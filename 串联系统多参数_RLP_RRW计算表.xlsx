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多参数" sheetId="1" r:id="rId1"/>
  </sheets>
  <definedNames>
    <definedName name="_xlnm._FilterDatabase" localSheetId="0" hidden="1">串联多参数!$A$2:$AA$173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<sst xmlns="http://schemas.openxmlformats.org/spreadsheetml/2006/main" count="709" uniqueCount="34">
  <si>
    <t>串联系统中多参数影响（按参数网格）</t>
  </si>
  <si>
    <t>双参数组合</t>
  </si>
  <si>
    <t>参数1</t>
  </si>
  <si>
    <t>参数1取值</t>
  </si>
  <si>
    <t>参数2</t>
  </si>
  <si>
    <t>参数2取值</t>
  </si>
  <si>
    <t>构件总数 n</t>
  </si>
  <si>
    <t>潜在脆性构件数 n1</t>
  </si>
  <si>
    <t>可靠指标 β</t>
  </si>
  <si>
    <t>相关系数 ρ</t>
  </si>
  <si>
    <t>脆性发生概率 Pbi</t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</si>
  <si>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下界</t>
    </r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</si>
  <si>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上界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</si>
  <si>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下界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</si>
  <si>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上界</t>
    </r>
  </si>
  <si>
    <t>RRW 下界</t>
  </si>
  <si>
    <t>RRW 上界</t>
  </si>
  <si>
    <t>RRW 均值</t>
  </si>
  <si>
    <r>
      <t>去掉构件系统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下界</t>
    </r>
  </si>
  <si>
    <r>
      <t>去掉构件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</si>
  <si>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下界</t>
    </r>
  </si>
  <si>
    <r>
      <t xml:space="preserve">RAW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</si>
  <si>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均值</t>
    </r>
  </si>
  <si>
    <t>自动校核</t>
  </si>
  <si>
    <t>论文参数设定</t>
  </si>
  <si>
    <t>相关系数ρ × 潜在脆性构件数n1</t>
  </si>
  <si>
    <t>相关系数ρ</t>
  </si>
  <si>
    <t>潜在脆性构件数n1</t>
  </si>
  <si>
    <t>固定n=8、β=3.0、Pbi=0.2；ρ按图轴0.1步长；目标为PB1，S_i+保留PB1并令其完全可靠，其余n1-1个潜在脆性构件不变；图2.10</t>
  </si>
  <si>
    <t>构件总数n × 潜在脆性构件数n1</t>
  </si>
  <si>
    <t>构件总数n</t>
  </si>
  <si>
    <t>固定ρ=0.3、β=3.0、Pbi=0.2；目标为PB1，S_i+保留PB1并令其完全可靠；第2.3.2(2)段末误写“相关系数”，以小标题、图题和图轴n×n1为准；图2.11</t>
  </si>
  <si>
    <t>构件总数n × 相关系数ρ</t>
  </si>
  <si>
    <t>固定n1=1、β=3.0、Pbi=0.2；ρ按图轴0.1步长；目标为PB1，S_i+保留PB1并令其完全可靠；图2.12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</si>
</sst>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3"/>
  <sheetViews>
    <sheetView showGridLines="0" tabSelected="1" topLeftCell="I1" workbookViewId="0">
      <pane ySplit="2" topLeftCell="A65" activePane="bottomLeft" state="frozen"/>
      <selection/>
      <selection pane="bottomLeft" activeCell="A1" sqref="A1:AA1"/>
    </sheetView>
  </sheetViews>
  <sheetFormatPr defaultColWidth="9" defaultRowHeight="14.4"/>
  <cols>
    <col min="1" max="1" width="16" customWidth="1"/>
    <col min="2" max="2" width="27" customWidth="1"/>
    <col min="3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17" customWidth="1"/>
    <col min="9" max="10" width="13" style="1" customWidth="1"/>
    <col min="11" max="11" width="17" style="1" customWidth="1"/>
    <col min="12" max="13" width="15" customWidth="1"/>
    <col min="14" max="15" width="17" customWidth="1"/>
    <col min="16" max="16" width="14" customWidth="1"/>
    <col min="17" max="17" width="16" customWidth="1"/>
    <col min="18" max="20" width="14" customWidth="1"/>
    <col min="21" max="22" width="17" customWidth="1"/>
    <col min="23" max="25" width="16" customWidth="1"/>
    <col min="26" max="26" width="17" customWidth="1"/>
    <col min="27" max="27" width="56" customWidth="1"/>
  </cols>
  <sheetData>
    <row r="1" ht="30" customHeight="1" spans="1:27">
      <c r="A1" s="2" t="s">
        <v>0</v>
      </c>
    </row>
    <row r="2" ht="38" customHeight="1" spans="1:27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6"/>
      <c r="Q2" s="6"/>
      <c r="R2" s="7" t="s">
        <v>15</v>
      </c>
      <c r="S2" s="7" t="s">
        <v>16</v>
      </c>
      <c r="T2" s="7" t="s">
        <v>17</v>
      </c>
      <c r="U2" s="5" t="s">
        <v>18</v>
      </c>
      <c r="V2" s="5" t="s">
        <v>19</v>
      </c>
      <c r="W2" s="8" t="s">
        <v>20</v>
      </c>
      <c r="X2" s="8" t="s">
        <v>21</v>
      </c>
      <c r="Y2" s="8" t="s">
        <v>22</v>
      </c>
      <c r="Z2" s="7" t="s">
        <v>23</v>
      </c>
      <c r="AA2" s="3" t="s">
        <v>24</v>
      </c>
    </row>
    <row r="3" ht="31" customHeight="1" spans="1:27">
      <c r="A3" s="9"/>
      <c r="B3" s="9" t="s">
        <v>25</v>
      </c>
      <c r="C3" s="9" t="s">
        <v>26</v>
      </c>
      <c r="D3" s="10">
        <v>0.1</v>
      </c>
      <c r="E3" s="9" t="s">
        <v>27</v>
      </c>
      <c r="F3" s="10">
        <v>1</v>
      </c>
      <c r="G3" s="10">
        <v>8</v>
      </c>
      <c r="H3" s="10">
        <v>1</v>
      </c>
      <c r="I3" s="10">
        <v>3</v>
      </c>
      <c r="J3" s="10">
        <v>0.1</v>
      </c>
      <c r="K3" s="10">
        <v>0.2</v>
      </c>
      <c r="L3" s="11"/>
      <c r="M3" s="11"/>
      <c r="N3" s="11"/>
      <c r="O3" s="11"/>
      <c r="P3" s="11"/>
      <c r="Q3" s="11"/>
      <c r="R3" s="12" t="str">
        <f t="shared" ref="R3:R66" si="0">IFERROR(L3/O3,"")</f>
        <v/>
      </c>
      <c r="S3" s="12" t="str">
        <f t="shared" ref="S3:S66" si="1">IFERROR(M3/N3,"")</f>
        <v/>
      </c>
      <c r="T3" s="12" t="str">
        <f>IF(COUNT(R3:S3)=2,AVERAGE(R3:S3),"")</f>
      </c>
      <c r="U3" s="11"/>
      <c r="V3" s="11"/>
      <c r="W3" s="12" t="str">
        <f t="shared" ref="W3:W66" si="3">IFERROR(U3/M3,"")</f>
        <v/>
      </c>
      <c r="X3" s="12" t="str">
        <f t="shared" ref="X3:X66" si="4">IFERROR(V3/L3,"")</f>
        <v/>
      </c>
      <c r="Y3" s="12" t="str">
        <f>IF(COUNT(W3:X3)=2,AVERAGE(W3:X3),"")</f>
      </c>
      <c r="Z3" s="13" t="str">
        <f>IF(COUNT(L3:O3)+COUNT(U3:V3)&lt;6,"待导师填写",IF(AND(L3&gt;=0,M3&lt;=1,N3&gt;=0,O3&lt;=1,U3&gt;=0,V3&lt;=1,L3&lt;=M3,N3&lt;=O3,U3&lt;=V3,R3&lt;=S3,W3&lt;=X3,T3&gt;=1),"通过","检查"))</f>
      </c>
      <c r="AA3" s="14" t="s">
        <v>28</v>
      </c>
    </row>
    <row r="4" ht="31" customHeight="1" spans="1:27">
      <c r="A4" s="9"/>
      <c r="B4" s="9" t="s">
        <v>25</v>
      </c>
      <c r="C4" s="9" t="s">
        <v>26</v>
      </c>
      <c r="D4" s="10">
        <v>0.2</v>
      </c>
      <c r="E4" s="9" t="s">
        <v>27</v>
      </c>
      <c r="F4" s="10">
        <v>1</v>
      </c>
      <c r="G4" s="10">
        <v>8</v>
      </c>
      <c r="H4" s="10">
        <v>1</v>
      </c>
      <c r="I4" s="10">
        <v>4</v>
      </c>
      <c r="J4" s="10">
        <v>0.2</v>
      </c>
      <c r="K4" s="10">
        <v>0.2</v>
      </c>
      <c r="L4" s="11"/>
      <c r="M4" s="11"/>
      <c r="N4" s="11"/>
      <c r="O4" s="11"/>
      <c r="P4" s="11"/>
      <c r="Q4" s="11"/>
      <c r="R4" s="12" t="str">
        <f t="shared" si="0"/>
        <v/>
      </c>
      <c r="S4" s="12" t="str">
        <f t="shared" si="1"/>
        <v/>
      </c>
      <c r="T4" s="12" t="str">
        <f>IF(COUNT(R4:S4)=2,AVERAGE(R4:S4),"")</f>
      </c>
      <c r="U4" s="11"/>
      <c r="V4" s="11"/>
      <c r="W4" s="12" t="str">
        <f t="shared" si="3"/>
        <v/>
      </c>
      <c r="X4" s="12" t="str">
        <f t="shared" si="4"/>
        <v/>
      </c>
      <c r="Y4" s="12" t="str">
        <f>IF(COUNT(W4:X4)=2,AVERAGE(W4:X4),"")</f>
      </c>
      <c r="Z4" s="13" t="str">
        <f>IF(COUNT(L4:O4)+COUNT(U4:V4)&lt;6,"待导师填写",IF(AND(L4&gt;=0,M4&lt;=1,N4&gt;=0,O4&lt;=1,U4&gt;=0,V4&lt;=1,L4&lt;=M4,N4&lt;=O4,U4&lt;=V4,R4&lt;=S4,W4&lt;=X4,T4&gt;=1),"通过","检查"))</f>
      </c>
      <c r="AA4" s="14" t="s">
        <v>28</v>
      </c>
    </row>
    <row r="5" ht="31" customHeight="1" spans="1:27">
      <c r="A5" s="9"/>
      <c r="B5" s="9" t="s">
        <v>25</v>
      </c>
      <c r="C5" s="9" t="s">
        <v>26</v>
      </c>
      <c r="D5" s="10">
        <v>0.3</v>
      </c>
      <c r="E5" s="9" t="s">
        <v>27</v>
      </c>
      <c r="F5" s="10">
        <v>1</v>
      </c>
      <c r="G5" s="10">
        <v>8</v>
      </c>
      <c r="H5" s="10">
        <v>1</v>
      </c>
      <c r="I5" s="10">
        <v>5</v>
      </c>
      <c r="J5" s="10">
        <v>0.3</v>
      </c>
      <c r="K5" s="10">
        <v>0.2</v>
      </c>
      <c r="L5" s="11"/>
      <c r="M5" s="11"/>
      <c r="N5" s="11"/>
      <c r="O5" s="11"/>
      <c r="P5" s="11"/>
      <c r="Q5" s="11"/>
      <c r="R5" s="12" t="str">
        <f t="shared" si="0"/>
        <v/>
      </c>
      <c r="S5" s="12" t="str">
        <f t="shared" si="1"/>
        <v/>
      </c>
      <c r="T5" s="12" t="str">
        <f>IF(COUNT(R5:S5)=2,AVERAGE(R5:S5),"")</f>
      </c>
      <c r="U5" s="11"/>
      <c r="V5" s="11"/>
      <c r="W5" s="12" t="str">
        <f t="shared" si="3"/>
        <v/>
      </c>
      <c r="X5" s="12" t="str">
        <f t="shared" si="4"/>
        <v/>
      </c>
      <c r="Y5" s="12" t="str">
        <f>IF(COUNT(W5:X5)=2,AVERAGE(W5:X5),"")</f>
      </c>
      <c r="Z5" s="13" t="str">
        <f>IF(COUNT(L5:O5)+COUNT(U5:V5)&lt;6,"待导师填写",IF(AND(L5&gt;=0,M5&lt;=1,N5&gt;=0,O5&lt;=1,U5&gt;=0,V5&lt;=1,L5&lt;=M5,N5&lt;=O5,U5&lt;=V5,R5&lt;=S5,W5&lt;=X5,T5&gt;=1),"通过","检查"))</f>
      </c>
      <c r="AA5" s="14" t="s">
        <v>28</v>
      </c>
    </row>
    <row r="6" ht="31" customHeight="1" spans="1:27">
      <c r="A6" s="9"/>
      <c r="B6" s="9" t="s">
        <v>25</v>
      </c>
      <c r="C6" s="9" t="s">
        <v>26</v>
      </c>
      <c r="D6" s="10">
        <v>0.4</v>
      </c>
      <c r="E6" s="9" t="s">
        <v>27</v>
      </c>
      <c r="F6" s="10">
        <v>1</v>
      </c>
      <c r="G6" s="10">
        <v>8</v>
      </c>
      <c r="H6" s="10">
        <v>1</v>
      </c>
      <c r="I6" s="10">
        <v>3</v>
      </c>
      <c r="J6" s="10">
        <v>0.4</v>
      </c>
      <c r="K6" s="10">
        <v>0.2</v>
      </c>
      <c r="L6" s="11"/>
      <c r="M6" s="11"/>
      <c r="N6" s="11"/>
      <c r="O6" s="11"/>
      <c r="P6" s="11"/>
      <c r="Q6" s="11"/>
      <c r="R6" s="12" t="str">
        <f t="shared" si="0"/>
        <v/>
      </c>
      <c r="S6" s="12" t="str">
        <f t="shared" si="1"/>
        <v/>
      </c>
      <c r="T6" s="12" t="str">
        <f>IF(COUNT(R6:S6)=2,AVERAGE(R6:S6),"")</f>
      </c>
      <c r="U6" s="11"/>
      <c r="V6" s="11"/>
      <c r="W6" s="12" t="str">
        <f t="shared" si="3"/>
        <v/>
      </c>
      <c r="X6" s="12" t="str">
        <f t="shared" si="4"/>
        <v/>
      </c>
      <c r="Y6" s="12" t="str">
        <f>IF(COUNT(W6:X6)=2,AVERAGE(W6:X6),"")</f>
      </c>
      <c r="Z6" s="13" t="str">
        <f>IF(COUNT(L6:O6)+COUNT(U6:V6)&lt;6,"待导师填写",IF(AND(L6&gt;=0,M6&lt;=1,N6&gt;=0,O6&lt;=1,U6&gt;=0,V6&lt;=1,L6&lt;=M6,N6&lt;=O6,U6&lt;=V6,R6&lt;=S6,W6&lt;=X6,T6&gt;=1),"通过","检查"))</f>
      </c>
      <c r="AA6" s="14" t="s">
        <v>28</v>
      </c>
    </row>
    <row r="7" ht="31" customHeight="1" spans="1:27">
      <c r="A7" s="9"/>
      <c r="B7" s="9" t="s">
        <v>25</v>
      </c>
      <c r="C7" s="9" t="s">
        <v>26</v>
      </c>
      <c r="D7" s="10">
        <v>0.5</v>
      </c>
      <c r="E7" s="9" t="s">
        <v>27</v>
      </c>
      <c r="F7" s="10">
        <v>1</v>
      </c>
      <c r="G7" s="10">
        <v>8</v>
      </c>
      <c r="H7" s="10">
        <v>1</v>
      </c>
      <c r="I7" s="10">
        <v>3</v>
      </c>
      <c r="J7" s="10">
        <v>0.5</v>
      </c>
      <c r="K7" s="10">
        <v>0.2</v>
      </c>
      <c r="L7" s="11"/>
      <c r="M7" s="11"/>
      <c r="N7" s="11"/>
      <c r="O7" s="11"/>
      <c r="P7" s="11"/>
      <c r="Q7" s="11"/>
      <c r="R7" s="12" t="str">
        <f t="shared" si="0"/>
        <v/>
      </c>
      <c r="S7" s="12" t="str">
        <f t="shared" si="1"/>
        <v/>
      </c>
      <c r="T7" s="12" t="str">
        <f>IF(COUNT(R7:S7)=2,AVERAGE(R7:S7),"")</f>
      </c>
      <c r="U7" s="11"/>
      <c r="V7" s="11"/>
      <c r="W7" s="12" t="str">
        <f t="shared" si="3"/>
        <v/>
      </c>
      <c r="X7" s="12" t="str">
        <f t="shared" si="4"/>
        <v/>
      </c>
      <c r="Y7" s="12" t="str">
        <f>IF(COUNT(W7:X7)=2,AVERAGE(W7:X7),"")</f>
      </c>
      <c r="Z7" s="13" t="str">
        <f>IF(COUNT(L7:O7)+COUNT(U7:V7)&lt;6,"待导师填写",IF(AND(L7&gt;=0,M7&lt;=1,N7&gt;=0,O7&lt;=1,U7&gt;=0,V7&lt;=1,L7&lt;=M7,N7&lt;=O7,U7&lt;=V7,R7&lt;=S7,W7&lt;=X7,T7&gt;=1),"通过","检查"))</f>
      </c>
      <c r="AA7" s="14" t="s">
        <v>28</v>
      </c>
    </row>
    <row r="8" ht="31" customHeight="1" spans="1:27">
      <c r="A8" s="9"/>
      <c r="B8" s="9" t="s">
        <v>25</v>
      </c>
      <c r="C8" s="9" t="s">
        <v>26</v>
      </c>
      <c r="D8" s="10">
        <v>0.6</v>
      </c>
      <c r="E8" s="9" t="s">
        <v>27</v>
      </c>
      <c r="F8" s="10">
        <v>1</v>
      </c>
      <c r="G8" s="10">
        <v>8</v>
      </c>
      <c r="H8" s="10">
        <v>1</v>
      </c>
      <c r="I8" s="10">
        <v>3</v>
      </c>
      <c r="J8" s="10">
        <v>0.6</v>
      </c>
      <c r="K8" s="10">
        <v>0.2</v>
      </c>
      <c r="L8" s="11"/>
      <c r="M8" s="11"/>
      <c r="N8" s="11"/>
      <c r="O8" s="11"/>
      <c r="P8" s="11"/>
      <c r="Q8" s="11"/>
      <c r="R8" s="12" t="str">
        <f t="shared" si="0"/>
        <v/>
      </c>
      <c r="S8" s="12" t="str">
        <f t="shared" si="1"/>
        <v/>
      </c>
      <c r="T8" s="12" t="str">
        <f>IF(COUNT(R8:S8)=2,AVERAGE(R8:S8),"")</f>
      </c>
      <c r="U8" s="11"/>
      <c r="V8" s="11"/>
      <c r="W8" s="12" t="str">
        <f t="shared" si="3"/>
        <v/>
      </c>
      <c r="X8" s="12" t="str">
        <f t="shared" si="4"/>
        <v/>
      </c>
      <c r="Y8" s="12" t="str">
        <f>IF(COUNT(W8:X8)=2,AVERAGE(W8:X8),"")</f>
      </c>
      <c r="Z8" s="13" t="str">
        <f>IF(COUNT(L8:O8)+COUNT(U8:V8)&lt;6,"待导师填写",IF(AND(L8&gt;=0,M8&lt;=1,N8&gt;=0,O8&lt;=1,U8&gt;=0,V8&lt;=1,L8&lt;=M8,N8&lt;=O8,U8&lt;=V8,R8&lt;=S8,W8&lt;=X8,T8&gt;=1),"通过","检查"))</f>
      </c>
      <c r="AA8" s="14" t="s">
        <v>28</v>
      </c>
    </row>
    <row r="9" ht="31" customHeight="1" spans="1:27">
      <c r="A9" s="9"/>
      <c r="B9" s="9" t="s">
        <v>25</v>
      </c>
      <c r="C9" s="9" t="s">
        <v>26</v>
      </c>
      <c r="D9" s="10">
        <v>0.7</v>
      </c>
      <c r="E9" s="9" t="s">
        <v>27</v>
      </c>
      <c r="F9" s="10">
        <v>1</v>
      </c>
      <c r="G9" s="10">
        <v>8</v>
      </c>
      <c r="H9" s="10">
        <v>1</v>
      </c>
      <c r="I9" s="10">
        <v>3</v>
      </c>
      <c r="J9" s="10">
        <v>0.7</v>
      </c>
      <c r="K9" s="10">
        <v>0.2</v>
      </c>
      <c r="L9" s="11"/>
      <c r="M9" s="11"/>
      <c r="N9" s="11"/>
      <c r="O9" s="11"/>
      <c r="P9" s="11"/>
      <c r="Q9" s="11"/>
      <c r="R9" s="12" t="str">
        <f t="shared" si="0"/>
        <v/>
      </c>
      <c r="S9" s="12" t="str">
        <f t="shared" si="1"/>
        <v/>
      </c>
      <c r="T9" s="12" t="str">
        <f>IF(COUNT(R9:S9)=2,AVERAGE(R9:S9),"")</f>
      </c>
      <c r="U9" s="11"/>
      <c r="V9" s="11"/>
      <c r="W9" s="12" t="str">
        <f t="shared" si="3"/>
        <v/>
      </c>
      <c r="X9" s="12" t="str">
        <f t="shared" si="4"/>
        <v/>
      </c>
      <c r="Y9" s="12" t="str">
        <f>IF(COUNT(W9:X9)=2,AVERAGE(W9:X9),"")</f>
      </c>
      <c r="Z9" s="13" t="str">
        <f>IF(COUNT(L9:O9)+COUNT(U9:V9)&lt;6,"待导师填写",IF(AND(L9&gt;=0,M9&lt;=1,N9&gt;=0,O9&lt;=1,U9&gt;=0,V9&lt;=1,L9&lt;=M9,N9&lt;=O9,U9&lt;=V9,R9&lt;=S9,W9&lt;=X9,T9&gt;=1),"通过","检查"))</f>
      </c>
      <c r="AA9" s="14" t="s">
        <v>28</v>
      </c>
    </row>
    <row r="10" ht="31" customHeight="1" spans="1:27">
      <c r="A10" s="9"/>
      <c r="B10" s="9" t="s">
        <v>25</v>
      </c>
      <c r="C10" s="9" t="s">
        <v>26</v>
      </c>
      <c r="D10" s="10">
        <v>0.8</v>
      </c>
      <c r="E10" s="9" t="s">
        <v>27</v>
      </c>
      <c r="F10" s="10">
        <v>1</v>
      </c>
      <c r="G10" s="10">
        <v>8</v>
      </c>
      <c r="H10" s="10">
        <v>1</v>
      </c>
      <c r="I10" s="10">
        <v>3</v>
      </c>
      <c r="J10" s="10">
        <v>0.8</v>
      </c>
      <c r="K10" s="10">
        <v>0.2</v>
      </c>
      <c r="L10" s="11"/>
      <c r="M10" s="11"/>
      <c r="N10" s="11"/>
      <c r="O10" s="11"/>
      <c r="P10" s="11"/>
      <c r="Q10" s="11"/>
      <c r="R10" s="12" t="str">
        <f t="shared" si="0"/>
        <v/>
      </c>
      <c r="S10" s="12" t="str">
        <f t="shared" si="1"/>
        <v/>
      </c>
      <c r="T10" s="12" t="str">
        <f>IF(COUNT(R10:S10)=2,AVERAGE(R10:S10),"")</f>
      </c>
      <c r="U10" s="11"/>
      <c r="V10" s="11"/>
      <c r="W10" s="12" t="str">
        <f t="shared" si="3"/>
        <v/>
      </c>
      <c r="X10" s="12" t="str">
        <f t="shared" si="4"/>
        <v/>
      </c>
      <c r="Y10" s="12" t="str">
        <f>IF(COUNT(W10:X10)=2,AVERAGE(W10:X10),"")</f>
      </c>
      <c r="Z10" s="13" t="str">
        <f>IF(COUNT(L10:O10)+COUNT(U10:V10)&lt;6,"待导师填写",IF(AND(L10&gt;=0,M10&lt;=1,N10&gt;=0,O10&lt;=1,U10&gt;=0,V10&lt;=1,L10&lt;=M10,N10&lt;=O10,U10&lt;=V10,R10&lt;=S10,W10&lt;=X10,T10&gt;=1),"通过","检查"))</f>
      </c>
      <c r="AA10" s="14" t="s">
        <v>28</v>
      </c>
    </row>
    <row r="11" ht="31" customHeight="1" spans="1:27">
      <c r="A11" s="9"/>
      <c r="B11" s="9" t="s">
        <v>25</v>
      </c>
      <c r="C11" s="9" t="s">
        <v>26</v>
      </c>
      <c r="D11" s="10">
        <v>0.9</v>
      </c>
      <c r="E11" s="9" t="s">
        <v>27</v>
      </c>
      <c r="F11" s="10">
        <v>1</v>
      </c>
      <c r="G11" s="10">
        <v>8</v>
      </c>
      <c r="H11" s="10">
        <v>1</v>
      </c>
      <c r="I11" s="10">
        <v>3</v>
      </c>
      <c r="J11" s="10">
        <v>0.9</v>
      </c>
      <c r="K11" s="10">
        <v>0.2</v>
      </c>
      <c r="L11" s="11"/>
      <c r="M11" s="11"/>
      <c r="N11" s="11"/>
      <c r="O11" s="11"/>
      <c r="P11" s="11"/>
      <c r="Q11" s="11"/>
      <c r="R11" s="12" t="str">
        <f t="shared" si="0"/>
        <v/>
      </c>
      <c r="S11" s="12" t="str">
        <f t="shared" si="1"/>
        <v/>
      </c>
      <c r="T11" s="12" t="str">
        <f>IF(COUNT(R11:S11)=2,AVERAGE(R11:S11),"")</f>
      </c>
      <c r="U11" s="11"/>
      <c r="V11" s="11"/>
      <c r="W11" s="12" t="str">
        <f t="shared" si="3"/>
        <v/>
      </c>
      <c r="X11" s="12" t="str">
        <f t="shared" si="4"/>
        <v/>
      </c>
      <c r="Y11" s="12" t="str">
        <f>IF(COUNT(W11:X11)=2,AVERAGE(W11:X11),"")</f>
      </c>
      <c r="Z11" s="13" t="str">
        <f>IF(COUNT(L11:O11)+COUNT(U11:V11)&lt;6,"待导师填写",IF(AND(L11&gt;=0,M11&lt;=1,N11&gt;=0,O11&lt;=1,U11&gt;=0,V11&lt;=1,L11&lt;=M11,N11&lt;=O11,U11&lt;=V11,R11&lt;=S11,W11&lt;=X11,T11&gt;=1),"通过","检查"))</f>
      </c>
      <c r="AA11" s="14" t="s">
        <v>28</v>
      </c>
    </row>
    <row r="12" ht="31" customHeight="1" spans="1:27">
      <c r="A12" s="9"/>
      <c r="B12" s="9" t="s">
        <v>25</v>
      </c>
      <c r="C12" s="9" t="s">
        <v>26</v>
      </c>
      <c r="D12" s="10">
        <v>0.1</v>
      </c>
      <c r="E12" s="9" t="s">
        <v>27</v>
      </c>
      <c r="F12" s="10">
        <v>2</v>
      </c>
      <c r="G12" s="10">
        <v>8</v>
      </c>
      <c r="H12" s="10">
        <v>2</v>
      </c>
      <c r="I12" s="10">
        <v>3</v>
      </c>
      <c r="J12" s="10">
        <v>0.1</v>
      </c>
      <c r="K12" s="10">
        <v>0.2</v>
      </c>
      <c r="L12" s="11"/>
      <c r="M12" s="11"/>
      <c r="N12" s="11"/>
      <c r="O12" s="11"/>
      <c r="P12" s="11"/>
      <c r="Q12" s="11"/>
      <c r="R12" s="12" t="str">
        <f t="shared" si="0"/>
        <v/>
      </c>
      <c r="S12" s="12" t="str">
        <f t="shared" si="1"/>
        <v/>
      </c>
      <c r="T12" s="12" t="str">
        <f>IF(COUNT(R12:S12)=2,AVERAGE(R12:S12),"")</f>
      </c>
      <c r="U12" s="11"/>
      <c r="V12" s="11"/>
      <c r="W12" s="12" t="str">
        <f t="shared" si="3"/>
        <v/>
      </c>
      <c r="X12" s="12" t="str">
        <f t="shared" si="4"/>
        <v/>
      </c>
      <c r="Y12" s="12" t="str">
        <f>IF(COUNT(W12:X12)=2,AVERAGE(W12:X12),"")</f>
      </c>
      <c r="Z12" s="13" t="str">
        <f>IF(COUNT(L12:O12)+COUNT(U12:V12)&lt;6,"待导师填写",IF(AND(L12&gt;=0,M12&lt;=1,N12&gt;=0,O12&lt;=1,U12&gt;=0,V12&lt;=1,L12&lt;=M12,N12&lt;=O12,U12&lt;=V12,R12&lt;=S12,W12&lt;=X12,T12&gt;=1),"通过","检查"))</f>
      </c>
      <c r="AA12" s="14" t="s">
        <v>28</v>
      </c>
    </row>
    <row r="13" ht="31" customHeight="1" spans="1:27">
      <c r="A13" s="9"/>
      <c r="B13" s="9" t="s">
        <v>25</v>
      </c>
      <c r="C13" s="9" t="s">
        <v>26</v>
      </c>
      <c r="D13" s="10">
        <v>0.2</v>
      </c>
      <c r="E13" s="9" t="s">
        <v>27</v>
      </c>
      <c r="F13" s="10">
        <v>2</v>
      </c>
      <c r="G13" s="10">
        <v>8</v>
      </c>
      <c r="H13" s="10">
        <v>2</v>
      </c>
      <c r="I13" s="10">
        <v>3</v>
      </c>
      <c r="J13" s="10">
        <v>0.2</v>
      </c>
      <c r="K13" s="10">
        <v>0.2</v>
      </c>
      <c r="L13" s="11"/>
      <c r="M13" s="11"/>
      <c r="N13" s="11"/>
      <c r="O13" s="11"/>
      <c r="P13" s="11"/>
      <c r="Q13" s="11"/>
      <c r="R13" s="12" t="str">
        <f t="shared" si="0"/>
        <v/>
      </c>
      <c r="S13" s="12" t="str">
        <f t="shared" si="1"/>
        <v/>
      </c>
      <c r="T13" s="12" t="str">
        <f>IF(COUNT(R13:S13)=2,AVERAGE(R13:S13),"")</f>
      </c>
      <c r="U13" s="11"/>
      <c r="V13" s="11"/>
      <c r="W13" s="12" t="str">
        <f t="shared" si="3"/>
        <v/>
      </c>
      <c r="X13" s="12" t="str">
        <f t="shared" si="4"/>
        <v/>
      </c>
      <c r="Y13" s="12" t="str">
        <f>IF(COUNT(W13:X13)=2,AVERAGE(W13:X13),"")</f>
      </c>
      <c r="Z13" s="13" t="str">
        <f>IF(COUNT(L13:O13)+COUNT(U13:V13)&lt;6,"待导师填写",IF(AND(L13&gt;=0,M13&lt;=1,N13&gt;=0,O13&lt;=1,U13&gt;=0,V13&lt;=1,L13&lt;=M13,N13&lt;=O13,U13&lt;=V13,R13&lt;=S13,W13&lt;=X13,T13&gt;=1),"通过","检查"))</f>
      </c>
      <c r="AA13" s="14" t="s">
        <v>28</v>
      </c>
    </row>
    <row r="14" ht="31" customHeight="1" spans="1:27">
      <c r="A14" s="9"/>
      <c r="B14" s="9" t="s">
        <v>25</v>
      </c>
      <c r="C14" s="9" t="s">
        <v>26</v>
      </c>
      <c r="D14" s="10">
        <v>0.3</v>
      </c>
      <c r="E14" s="9" t="s">
        <v>27</v>
      </c>
      <c r="F14" s="10">
        <v>2</v>
      </c>
      <c r="G14" s="10">
        <v>8</v>
      </c>
      <c r="H14" s="10">
        <v>2</v>
      </c>
      <c r="I14" s="10">
        <v>3</v>
      </c>
      <c r="J14" s="10">
        <v>0.3</v>
      </c>
      <c r="K14" s="10">
        <v>0.2</v>
      </c>
      <c r="L14" s="11"/>
      <c r="M14" s="11"/>
      <c r="N14" s="11"/>
      <c r="O14" s="11"/>
      <c r="P14" s="11"/>
      <c r="Q14" s="11"/>
      <c r="R14" s="12" t="str">
        <f t="shared" si="0"/>
        <v/>
      </c>
      <c r="S14" s="12" t="str">
        <f t="shared" si="1"/>
        <v/>
      </c>
      <c r="T14" s="12" t="str">
        <f>IF(COUNT(R14:S14)=2,AVERAGE(R14:S14),"")</f>
      </c>
      <c r="U14" s="11"/>
      <c r="V14" s="11"/>
      <c r="W14" s="12" t="str">
        <f t="shared" si="3"/>
        <v/>
      </c>
      <c r="X14" s="12" t="str">
        <f t="shared" si="4"/>
        <v/>
      </c>
      <c r="Y14" s="12" t="str">
        <f>IF(COUNT(W14:X14)=2,AVERAGE(W14:X14),"")</f>
      </c>
      <c r="Z14" s="13" t="str">
        <f>IF(COUNT(L14:O14)+COUNT(U14:V14)&lt;6,"待导师填写",IF(AND(L14&gt;=0,M14&lt;=1,N14&gt;=0,O14&lt;=1,U14&gt;=0,V14&lt;=1,L14&lt;=M14,N14&lt;=O14,U14&lt;=V14,R14&lt;=S14,W14&lt;=X14,T14&gt;=1),"通过","检查"))</f>
      </c>
      <c r="AA14" s="14" t="s">
        <v>28</v>
      </c>
    </row>
    <row r="15" ht="31" customHeight="1" spans="1:27">
      <c r="A15" s="9"/>
      <c r="B15" s="9" t="s">
        <v>25</v>
      </c>
      <c r="C15" s="9" t="s">
        <v>26</v>
      </c>
      <c r="D15" s="10">
        <v>0.4</v>
      </c>
      <c r="E15" s="9" t="s">
        <v>27</v>
      </c>
      <c r="F15" s="10">
        <v>2</v>
      </c>
      <c r="G15" s="10">
        <v>8</v>
      </c>
      <c r="H15" s="10">
        <v>2</v>
      </c>
      <c r="I15" s="10">
        <v>3</v>
      </c>
      <c r="J15" s="10">
        <v>0.4</v>
      </c>
      <c r="K15" s="10">
        <v>0.2</v>
      </c>
      <c r="L15" s="11"/>
      <c r="M15" s="11"/>
      <c r="N15" s="11"/>
      <c r="O15" s="11"/>
      <c r="P15" s="11"/>
      <c r="Q15" s="11"/>
      <c r="R15" s="12" t="str">
        <f t="shared" si="0"/>
        <v/>
      </c>
      <c r="S15" s="12" t="str">
        <f t="shared" si="1"/>
        <v/>
      </c>
      <c r="T15" s="12" t="str">
        <f>IF(COUNT(R15:S15)=2,AVERAGE(R15:S15),"")</f>
      </c>
      <c r="U15" s="11"/>
      <c r="V15" s="11"/>
      <c r="W15" s="12" t="str">
        <f t="shared" si="3"/>
        <v/>
      </c>
      <c r="X15" s="12" t="str">
        <f t="shared" si="4"/>
        <v/>
      </c>
      <c r="Y15" s="12" t="str">
        <f>IF(COUNT(W15:X15)=2,AVERAGE(W15:X15),"")</f>
      </c>
      <c r="Z15" s="13" t="str">
        <f>IF(COUNT(L15:O15)+COUNT(U15:V15)&lt;6,"待导师填写",IF(AND(L15&gt;=0,M15&lt;=1,N15&gt;=0,O15&lt;=1,U15&gt;=0,V15&lt;=1,L15&lt;=M15,N15&lt;=O15,U15&lt;=V15,R15&lt;=S15,W15&lt;=X15,T15&gt;=1),"通过","检查"))</f>
      </c>
      <c r="AA15" s="14" t="s">
        <v>28</v>
      </c>
    </row>
    <row r="16" ht="31" customHeight="1" spans="1:27">
      <c r="A16" s="9"/>
      <c r="B16" s="9" t="s">
        <v>25</v>
      </c>
      <c r="C16" s="9" t="s">
        <v>26</v>
      </c>
      <c r="D16" s="10">
        <v>0.5</v>
      </c>
      <c r="E16" s="9" t="s">
        <v>27</v>
      </c>
      <c r="F16" s="10">
        <v>2</v>
      </c>
      <c r="G16" s="10">
        <v>8</v>
      </c>
      <c r="H16" s="10">
        <v>2</v>
      </c>
      <c r="I16" s="10">
        <v>3</v>
      </c>
      <c r="J16" s="10">
        <v>0.5</v>
      </c>
      <c r="K16" s="10">
        <v>0.2</v>
      </c>
      <c r="L16" s="11"/>
      <c r="M16" s="11"/>
      <c r="N16" s="11"/>
      <c r="O16" s="11"/>
      <c r="P16" s="11"/>
      <c r="Q16" s="11"/>
      <c r="R16" s="12" t="str">
        <f t="shared" si="0"/>
        <v/>
      </c>
      <c r="S16" s="12" t="str">
        <f t="shared" si="1"/>
        <v/>
      </c>
      <c r="T16" s="12" t="str">
        <f>IF(COUNT(R16:S16)=2,AVERAGE(R16:S16),"")</f>
      </c>
      <c r="U16" s="11"/>
      <c r="V16" s="11"/>
      <c r="W16" s="12" t="str">
        <f t="shared" si="3"/>
        <v/>
      </c>
      <c r="X16" s="12" t="str">
        <f t="shared" si="4"/>
        <v/>
      </c>
      <c r="Y16" s="12" t="str">
        <f>IF(COUNT(W16:X16)=2,AVERAGE(W16:X16),"")</f>
      </c>
      <c r="Z16" s="13" t="str">
        <f>IF(COUNT(L16:O16)+COUNT(U16:V16)&lt;6,"待导师填写",IF(AND(L16&gt;=0,M16&lt;=1,N16&gt;=0,O16&lt;=1,U16&gt;=0,V16&lt;=1,L16&lt;=M16,N16&lt;=O16,U16&lt;=V16,R16&lt;=S16,W16&lt;=X16,T16&gt;=1),"通过","检查"))</f>
      </c>
      <c r="AA16" s="14" t="s">
        <v>28</v>
      </c>
    </row>
    <row r="17" ht="31" customHeight="1" spans="1:27">
      <c r="A17" s="9"/>
      <c r="B17" s="9" t="s">
        <v>25</v>
      </c>
      <c r="C17" s="9" t="s">
        <v>26</v>
      </c>
      <c r="D17" s="10">
        <v>0.6</v>
      </c>
      <c r="E17" s="9" t="s">
        <v>27</v>
      </c>
      <c r="F17" s="10">
        <v>2</v>
      </c>
      <c r="G17" s="10">
        <v>8</v>
      </c>
      <c r="H17" s="10">
        <v>2</v>
      </c>
      <c r="I17" s="10">
        <v>3</v>
      </c>
      <c r="J17" s="10">
        <v>0.6</v>
      </c>
      <c r="K17" s="10">
        <v>0.2</v>
      </c>
      <c r="L17" s="11"/>
      <c r="M17" s="11"/>
      <c r="N17" s="11"/>
      <c r="O17" s="11"/>
      <c r="P17" s="11"/>
      <c r="Q17" s="11"/>
      <c r="R17" s="12" t="str">
        <f t="shared" si="0"/>
        <v/>
      </c>
      <c r="S17" s="12" t="str">
        <f t="shared" si="1"/>
        <v/>
      </c>
      <c r="T17" s="12" t="str">
        <f>IF(COUNT(R17:S17)=2,AVERAGE(R17:S17),"")</f>
      </c>
      <c r="U17" s="11"/>
      <c r="V17" s="11"/>
      <c r="W17" s="12" t="str">
        <f t="shared" si="3"/>
        <v/>
      </c>
      <c r="X17" s="12" t="str">
        <f t="shared" si="4"/>
        <v/>
      </c>
      <c r="Y17" s="12" t="str">
        <f>IF(COUNT(W17:X17)=2,AVERAGE(W17:X17),"")</f>
      </c>
      <c r="Z17" s="13" t="str">
        <f>IF(COUNT(L17:O17)+COUNT(U17:V17)&lt;6,"待导师填写",IF(AND(L17&gt;=0,M17&lt;=1,N17&gt;=0,O17&lt;=1,U17&gt;=0,V17&lt;=1,L17&lt;=M17,N17&lt;=O17,U17&lt;=V17,R17&lt;=S17,W17&lt;=X17,T17&gt;=1),"通过","检查"))</f>
      </c>
      <c r="AA17" s="14" t="s">
        <v>28</v>
      </c>
    </row>
    <row r="18" ht="31" customHeight="1" spans="1:27">
      <c r="A18" s="9"/>
      <c r="B18" s="9" t="s">
        <v>25</v>
      </c>
      <c r="C18" s="9" t="s">
        <v>26</v>
      </c>
      <c r="D18" s="10">
        <v>0.7</v>
      </c>
      <c r="E18" s="9" t="s">
        <v>27</v>
      </c>
      <c r="F18" s="10">
        <v>2</v>
      </c>
      <c r="G18" s="10">
        <v>8</v>
      </c>
      <c r="H18" s="10">
        <v>2</v>
      </c>
      <c r="I18" s="10">
        <v>3</v>
      </c>
      <c r="J18" s="10">
        <v>0.7</v>
      </c>
      <c r="K18" s="10">
        <v>0.2</v>
      </c>
      <c r="L18" s="11"/>
      <c r="M18" s="11"/>
      <c r="N18" s="11"/>
      <c r="O18" s="11"/>
      <c r="P18" s="11"/>
      <c r="Q18" s="11"/>
      <c r="R18" s="12" t="str">
        <f t="shared" si="0"/>
        <v/>
      </c>
      <c r="S18" s="12" t="str">
        <f t="shared" si="1"/>
        <v/>
      </c>
      <c r="T18" s="12" t="str">
        <f>IF(COUNT(R18:S18)=2,AVERAGE(R18:S18),"")</f>
      </c>
      <c r="U18" s="11"/>
      <c r="V18" s="11"/>
      <c r="W18" s="12" t="str">
        <f t="shared" si="3"/>
        <v/>
      </c>
      <c r="X18" s="12" t="str">
        <f t="shared" si="4"/>
        <v/>
      </c>
      <c r="Y18" s="12" t="str">
        <f>IF(COUNT(W18:X18)=2,AVERAGE(W18:X18),"")</f>
      </c>
      <c r="Z18" s="13" t="str">
        <f>IF(COUNT(L18:O18)+COUNT(U18:V18)&lt;6,"待导师填写",IF(AND(L18&gt;=0,M18&lt;=1,N18&gt;=0,O18&lt;=1,U18&gt;=0,V18&lt;=1,L18&lt;=M18,N18&lt;=O18,U18&lt;=V18,R18&lt;=S18,W18&lt;=X18,T18&gt;=1),"通过","检查"))</f>
      </c>
      <c r="AA18" s="14" t="s">
        <v>28</v>
      </c>
    </row>
    <row r="19" ht="31" customHeight="1" spans="1:27">
      <c r="A19" s="9"/>
      <c r="B19" s="9" t="s">
        <v>25</v>
      </c>
      <c r="C19" s="9" t="s">
        <v>26</v>
      </c>
      <c r="D19" s="10">
        <v>0.8</v>
      </c>
      <c r="E19" s="9" t="s">
        <v>27</v>
      </c>
      <c r="F19" s="10">
        <v>2</v>
      </c>
      <c r="G19" s="10">
        <v>8</v>
      </c>
      <c r="H19" s="10">
        <v>2</v>
      </c>
      <c r="I19" s="10">
        <v>3</v>
      </c>
      <c r="J19" s="10">
        <v>0.8</v>
      </c>
      <c r="K19" s="10">
        <v>0.2</v>
      </c>
      <c r="L19" s="11"/>
      <c r="M19" s="11"/>
      <c r="N19" s="11"/>
      <c r="O19" s="11"/>
      <c r="P19" s="11"/>
      <c r="Q19" s="11"/>
      <c r="R19" s="12" t="str">
        <f t="shared" si="0"/>
        <v/>
      </c>
      <c r="S19" s="12" t="str">
        <f t="shared" si="1"/>
        <v/>
      </c>
      <c r="T19" s="12" t="str">
        <f>IF(COUNT(R19:S19)=2,AVERAGE(R19:S19),"")</f>
      </c>
      <c r="U19" s="11"/>
      <c r="V19" s="11"/>
      <c r="W19" s="12" t="str">
        <f t="shared" si="3"/>
        <v/>
      </c>
      <c r="X19" s="12" t="str">
        <f t="shared" si="4"/>
        <v/>
      </c>
      <c r="Y19" s="12" t="str">
        <f>IF(COUNT(W19:X19)=2,AVERAGE(W19:X19),"")</f>
      </c>
      <c r="Z19" s="13" t="str">
        <f>IF(COUNT(L19:O19)+COUNT(U19:V19)&lt;6,"待导师填写",IF(AND(L19&gt;=0,M19&lt;=1,N19&gt;=0,O19&lt;=1,U19&gt;=0,V19&lt;=1,L19&lt;=M19,N19&lt;=O19,U19&lt;=V19,R19&lt;=S19,W19&lt;=X19,T19&gt;=1),"通过","检查"))</f>
      </c>
      <c r="AA19" s="14" t="s">
        <v>28</v>
      </c>
    </row>
    <row r="20" ht="31" customHeight="1" spans="1:27">
      <c r="A20" s="9"/>
      <c r="B20" s="9" t="s">
        <v>25</v>
      </c>
      <c r="C20" s="9" t="s">
        <v>26</v>
      </c>
      <c r="D20" s="10">
        <v>0.9</v>
      </c>
      <c r="E20" s="9" t="s">
        <v>27</v>
      </c>
      <c r="F20" s="10">
        <v>2</v>
      </c>
      <c r="G20" s="10">
        <v>8</v>
      </c>
      <c r="H20" s="10">
        <v>2</v>
      </c>
      <c r="I20" s="10">
        <v>3</v>
      </c>
      <c r="J20" s="10">
        <v>0.9</v>
      </c>
      <c r="K20" s="10">
        <v>0.2</v>
      </c>
      <c r="L20" s="11"/>
      <c r="M20" s="11"/>
      <c r="N20" s="11"/>
      <c r="O20" s="11"/>
      <c r="P20" s="11"/>
      <c r="Q20" s="11"/>
      <c r="R20" s="12" t="str">
        <f t="shared" si="0"/>
        <v/>
      </c>
      <c r="S20" s="12" t="str">
        <f t="shared" si="1"/>
        <v/>
      </c>
      <c r="T20" s="12" t="str">
        <f>IF(COUNT(R20:S20)=2,AVERAGE(R20:S20),"")</f>
      </c>
      <c r="U20" s="11"/>
      <c r="V20" s="11"/>
      <c r="W20" s="12" t="str">
        <f t="shared" si="3"/>
        <v/>
      </c>
      <c r="X20" s="12" t="str">
        <f t="shared" si="4"/>
        <v/>
      </c>
      <c r="Y20" s="12" t="str">
        <f>IF(COUNT(W20:X20)=2,AVERAGE(W20:X20),"")</f>
      </c>
      <c r="Z20" s="13" t="str">
        <f>IF(COUNT(L20:O20)+COUNT(U20:V20)&lt;6,"待导师填写",IF(AND(L20&gt;=0,M20&lt;=1,N20&gt;=0,O20&lt;=1,U20&gt;=0,V20&lt;=1,L20&lt;=M20,N20&lt;=O20,U20&lt;=V20,R20&lt;=S20,W20&lt;=X20,T20&gt;=1),"通过","检查"))</f>
      </c>
      <c r="AA20" s="14" t="s">
        <v>28</v>
      </c>
    </row>
    <row r="21" ht="31" customHeight="1" spans="1:27">
      <c r="A21" s="9"/>
      <c r="B21" s="9" t="s">
        <v>25</v>
      </c>
      <c r="C21" s="9" t="s">
        <v>26</v>
      </c>
      <c r="D21" s="10">
        <v>0.1</v>
      </c>
      <c r="E21" s="9" t="s">
        <v>27</v>
      </c>
      <c r="F21" s="10">
        <v>3</v>
      </c>
      <c r="G21" s="10">
        <v>8</v>
      </c>
      <c r="H21" s="10">
        <v>3</v>
      </c>
      <c r="I21" s="10">
        <v>3</v>
      </c>
      <c r="J21" s="10">
        <v>0.1</v>
      </c>
      <c r="K21" s="10">
        <v>0.2</v>
      </c>
      <c r="L21" s="11"/>
      <c r="M21" s="11"/>
      <c r="N21" s="11"/>
      <c r="O21" s="11"/>
      <c r="P21" s="11"/>
      <c r="Q21" s="11"/>
      <c r="R21" s="12" t="str">
        <f t="shared" si="0"/>
        <v/>
      </c>
      <c r="S21" s="12" t="str">
        <f t="shared" si="1"/>
        <v/>
      </c>
      <c r="T21" s="12" t="str">
        <f>IF(COUNT(R21:S21)=2,AVERAGE(R21:S21),"")</f>
      </c>
      <c r="U21" s="11"/>
      <c r="V21" s="11"/>
      <c r="W21" s="12" t="str">
        <f t="shared" si="3"/>
        <v/>
      </c>
      <c r="X21" s="12" t="str">
        <f t="shared" si="4"/>
        <v/>
      </c>
      <c r="Y21" s="12" t="str">
        <f>IF(COUNT(W21:X21)=2,AVERAGE(W21:X21),"")</f>
      </c>
      <c r="Z21" s="13" t="str">
        <f>IF(COUNT(L21:O21)+COUNT(U21:V21)&lt;6,"待导师填写",IF(AND(L21&gt;=0,M21&lt;=1,N21&gt;=0,O21&lt;=1,U21&gt;=0,V21&lt;=1,L21&lt;=M21,N21&lt;=O21,U21&lt;=V21,R21&lt;=S21,W21&lt;=X21,T21&gt;=1),"通过","检查"))</f>
      </c>
      <c r="AA21" s="14" t="s">
        <v>28</v>
      </c>
    </row>
    <row r="22" ht="31" customHeight="1" spans="1:27">
      <c r="A22" s="9"/>
      <c r="B22" s="9" t="s">
        <v>25</v>
      </c>
      <c r="C22" s="9" t="s">
        <v>26</v>
      </c>
      <c r="D22" s="10">
        <v>0.2</v>
      </c>
      <c r="E22" s="9" t="s">
        <v>27</v>
      </c>
      <c r="F22" s="10">
        <v>3</v>
      </c>
      <c r="G22" s="10">
        <v>8</v>
      </c>
      <c r="H22" s="10">
        <v>3</v>
      </c>
      <c r="I22" s="10">
        <v>3</v>
      </c>
      <c r="J22" s="10">
        <v>0.2</v>
      </c>
      <c r="K22" s="10">
        <v>0.2</v>
      </c>
      <c r="L22" s="11"/>
      <c r="M22" s="11"/>
      <c r="N22" s="11"/>
      <c r="O22" s="11"/>
      <c r="P22" s="11"/>
      <c r="Q22" s="11"/>
      <c r="R22" s="12" t="str">
        <f t="shared" si="0"/>
        <v/>
      </c>
      <c r="S22" s="12" t="str">
        <f t="shared" si="1"/>
        <v/>
      </c>
      <c r="T22" s="12" t="str">
        <f>IF(COUNT(R22:S22)=2,AVERAGE(R22:S22),"")</f>
      </c>
      <c r="U22" s="11"/>
      <c r="V22" s="11"/>
      <c r="W22" s="12" t="str">
        <f t="shared" si="3"/>
        <v/>
      </c>
      <c r="X22" s="12" t="str">
        <f t="shared" si="4"/>
        <v/>
      </c>
      <c r="Y22" s="12" t="str">
        <f>IF(COUNT(W22:X22)=2,AVERAGE(W22:X22),"")</f>
      </c>
      <c r="Z22" s="13" t="str">
        <f>IF(COUNT(L22:O22)+COUNT(U22:V22)&lt;6,"待导师填写",IF(AND(L22&gt;=0,M22&lt;=1,N22&gt;=0,O22&lt;=1,U22&gt;=0,V22&lt;=1,L22&lt;=M22,N22&lt;=O22,U22&lt;=V22,R22&lt;=S22,W22&lt;=X22,T22&gt;=1),"通过","检查"))</f>
      </c>
      <c r="AA22" s="14" t="s">
        <v>28</v>
      </c>
    </row>
    <row r="23" ht="31" customHeight="1" spans="1:27">
      <c r="A23" s="9"/>
      <c r="B23" s="9" t="s">
        <v>25</v>
      </c>
      <c r="C23" s="9" t="s">
        <v>26</v>
      </c>
      <c r="D23" s="10">
        <v>0.3</v>
      </c>
      <c r="E23" s="9" t="s">
        <v>27</v>
      </c>
      <c r="F23" s="10">
        <v>3</v>
      </c>
      <c r="G23" s="10">
        <v>8</v>
      </c>
      <c r="H23" s="10">
        <v>3</v>
      </c>
      <c r="I23" s="10">
        <v>3</v>
      </c>
      <c r="J23" s="10">
        <v>0.3</v>
      </c>
      <c r="K23" s="10">
        <v>0.2</v>
      </c>
      <c r="L23" s="11"/>
      <c r="M23" s="11"/>
      <c r="N23" s="11"/>
      <c r="O23" s="11"/>
      <c r="P23" s="11"/>
      <c r="Q23" s="11"/>
      <c r="R23" s="12" t="str">
        <f t="shared" si="0"/>
        <v/>
      </c>
      <c r="S23" s="12" t="str">
        <f t="shared" si="1"/>
        <v/>
      </c>
      <c r="T23" s="12" t="str">
        <f>IF(COUNT(R23:S23)=2,AVERAGE(R23:S23),"")</f>
      </c>
      <c r="U23" s="11"/>
      <c r="V23" s="11"/>
      <c r="W23" s="12" t="str">
        <f t="shared" si="3"/>
        <v/>
      </c>
      <c r="X23" s="12" t="str">
        <f t="shared" si="4"/>
        <v/>
      </c>
      <c r="Y23" s="12" t="str">
        <f>IF(COUNT(W23:X23)=2,AVERAGE(W23:X23),"")</f>
      </c>
      <c r="Z23" s="13" t="str">
        <f>IF(COUNT(L23:O23)+COUNT(U23:V23)&lt;6,"待导师填写",IF(AND(L23&gt;=0,M23&lt;=1,N23&gt;=0,O23&lt;=1,U23&gt;=0,V23&lt;=1,L23&lt;=M23,N23&lt;=O23,U23&lt;=V23,R23&lt;=S23,W23&lt;=X23,T23&gt;=1),"通过","检查"))</f>
      </c>
      <c r="AA23" s="14" t="s">
        <v>28</v>
      </c>
    </row>
    <row r="24" ht="31" customHeight="1" spans="1:27">
      <c r="A24" s="9"/>
      <c r="B24" s="9" t="s">
        <v>25</v>
      </c>
      <c r="C24" s="9" t="s">
        <v>26</v>
      </c>
      <c r="D24" s="10">
        <v>0.4</v>
      </c>
      <c r="E24" s="9" t="s">
        <v>27</v>
      </c>
      <c r="F24" s="10">
        <v>3</v>
      </c>
      <c r="G24" s="10">
        <v>8</v>
      </c>
      <c r="H24" s="10">
        <v>3</v>
      </c>
      <c r="I24" s="10">
        <v>3</v>
      </c>
      <c r="J24" s="10">
        <v>0.4</v>
      </c>
      <c r="K24" s="10">
        <v>0.2</v>
      </c>
      <c r="L24" s="11"/>
      <c r="M24" s="11"/>
      <c r="N24" s="11"/>
      <c r="O24" s="11"/>
      <c r="P24" s="11"/>
      <c r="Q24" s="11"/>
      <c r="R24" s="12" t="str">
        <f t="shared" si="0"/>
        <v/>
      </c>
      <c r="S24" s="12" t="str">
        <f t="shared" si="1"/>
        <v/>
      </c>
      <c r="T24" s="12" t="str">
        <f>IF(COUNT(R24:S24)=2,AVERAGE(R24:S24),"")</f>
      </c>
      <c r="U24" s="11"/>
      <c r="V24" s="11"/>
      <c r="W24" s="12" t="str">
        <f t="shared" si="3"/>
        <v/>
      </c>
      <c r="X24" s="12" t="str">
        <f t="shared" si="4"/>
        <v/>
      </c>
      <c r="Y24" s="12" t="str">
        <f>IF(COUNT(W24:X24)=2,AVERAGE(W24:X24),"")</f>
      </c>
      <c r="Z24" s="13" t="str">
        <f>IF(COUNT(L24:O24)+COUNT(U24:V24)&lt;6,"待导师填写",IF(AND(L24&gt;=0,M24&lt;=1,N24&gt;=0,O24&lt;=1,U24&gt;=0,V24&lt;=1,L24&lt;=M24,N24&lt;=O24,U24&lt;=V24,R24&lt;=S24,W24&lt;=X24,T24&gt;=1),"通过","检查"))</f>
      </c>
      <c r="AA24" s="14" t="s">
        <v>28</v>
      </c>
    </row>
    <row r="25" ht="31" customHeight="1" spans="1:27">
      <c r="A25" s="9"/>
      <c r="B25" s="9" t="s">
        <v>25</v>
      </c>
      <c r="C25" s="9" t="s">
        <v>26</v>
      </c>
      <c r="D25" s="10">
        <v>0.5</v>
      </c>
      <c r="E25" s="9" t="s">
        <v>27</v>
      </c>
      <c r="F25" s="10">
        <v>3</v>
      </c>
      <c r="G25" s="10">
        <v>8</v>
      </c>
      <c r="H25" s="10">
        <v>3</v>
      </c>
      <c r="I25" s="10">
        <v>3</v>
      </c>
      <c r="J25" s="10">
        <v>0.5</v>
      </c>
      <c r="K25" s="10">
        <v>0.2</v>
      </c>
      <c r="L25" s="11"/>
      <c r="M25" s="11"/>
      <c r="N25" s="11"/>
      <c r="O25" s="11"/>
      <c r="P25" s="11"/>
      <c r="Q25" s="11"/>
      <c r="R25" s="12" t="str">
        <f t="shared" si="0"/>
        <v/>
      </c>
      <c r="S25" s="12" t="str">
        <f t="shared" si="1"/>
        <v/>
      </c>
      <c r="T25" s="12" t="str">
        <f>IF(COUNT(R25:S25)=2,AVERAGE(R25:S25),"")</f>
      </c>
      <c r="U25" s="11"/>
      <c r="V25" s="11"/>
      <c r="W25" s="12" t="str">
        <f t="shared" si="3"/>
        <v/>
      </c>
      <c r="X25" s="12" t="str">
        <f t="shared" si="4"/>
        <v/>
      </c>
      <c r="Y25" s="12" t="str">
        <f>IF(COUNT(W25:X25)=2,AVERAGE(W25:X25),"")</f>
      </c>
      <c r="Z25" s="13" t="str">
        <f>IF(COUNT(L25:O25)+COUNT(U25:V25)&lt;6,"待导师填写",IF(AND(L25&gt;=0,M25&lt;=1,N25&gt;=0,O25&lt;=1,U25&gt;=0,V25&lt;=1,L25&lt;=M25,N25&lt;=O25,U25&lt;=V25,R25&lt;=S25,W25&lt;=X25,T25&gt;=1),"通过","检查"))</f>
      </c>
      <c r="AA25" s="14" t="s">
        <v>28</v>
      </c>
    </row>
    <row r="26" ht="31" customHeight="1" spans="1:27">
      <c r="A26" s="9"/>
      <c r="B26" s="9" t="s">
        <v>25</v>
      </c>
      <c r="C26" s="9" t="s">
        <v>26</v>
      </c>
      <c r="D26" s="10">
        <v>0.6</v>
      </c>
      <c r="E26" s="9" t="s">
        <v>27</v>
      </c>
      <c r="F26" s="10">
        <v>3</v>
      </c>
      <c r="G26" s="10">
        <v>8</v>
      </c>
      <c r="H26" s="10">
        <v>3</v>
      </c>
      <c r="I26" s="10">
        <v>3</v>
      </c>
      <c r="J26" s="10">
        <v>0.6</v>
      </c>
      <c r="K26" s="10">
        <v>0.2</v>
      </c>
      <c r="L26" s="11"/>
      <c r="M26" s="11"/>
      <c r="N26" s="11"/>
      <c r="O26" s="11"/>
      <c r="P26" s="11"/>
      <c r="Q26" s="11"/>
      <c r="R26" s="12" t="str">
        <f t="shared" si="0"/>
        <v/>
      </c>
      <c r="S26" s="12" t="str">
        <f t="shared" si="1"/>
        <v/>
      </c>
      <c r="T26" s="12" t="str">
        <f>IF(COUNT(R26:S26)=2,AVERAGE(R26:S26),"")</f>
      </c>
      <c r="U26" s="11"/>
      <c r="V26" s="11"/>
      <c r="W26" s="12" t="str">
        <f t="shared" si="3"/>
        <v/>
      </c>
      <c r="X26" s="12" t="str">
        <f t="shared" si="4"/>
        <v/>
      </c>
      <c r="Y26" s="12" t="str">
        <f>IF(COUNT(W26:X26)=2,AVERAGE(W26:X26),"")</f>
      </c>
      <c r="Z26" s="13" t="str">
        <f>IF(COUNT(L26:O26)+COUNT(U26:V26)&lt;6,"待导师填写",IF(AND(L26&gt;=0,M26&lt;=1,N26&gt;=0,O26&lt;=1,U26&gt;=0,V26&lt;=1,L26&lt;=M26,N26&lt;=O26,U26&lt;=V26,R26&lt;=S26,W26&lt;=X26,T26&gt;=1),"通过","检查"))</f>
      </c>
      <c r="AA26" s="14" t="s">
        <v>28</v>
      </c>
    </row>
    <row r="27" ht="31" customHeight="1" spans="1:27">
      <c r="A27" s="9"/>
      <c r="B27" s="9" t="s">
        <v>25</v>
      </c>
      <c r="C27" s="9" t="s">
        <v>26</v>
      </c>
      <c r="D27" s="10">
        <v>0.7</v>
      </c>
      <c r="E27" s="9" t="s">
        <v>27</v>
      </c>
      <c r="F27" s="10">
        <v>3</v>
      </c>
      <c r="G27" s="10">
        <v>8</v>
      </c>
      <c r="H27" s="10">
        <v>3</v>
      </c>
      <c r="I27" s="10">
        <v>3</v>
      </c>
      <c r="J27" s="10">
        <v>0.7</v>
      </c>
      <c r="K27" s="10">
        <v>0.2</v>
      </c>
      <c r="L27" s="11"/>
      <c r="M27" s="11"/>
      <c r="N27" s="11"/>
      <c r="O27" s="11"/>
      <c r="P27" s="11"/>
      <c r="Q27" s="11"/>
      <c r="R27" s="12" t="str">
        <f t="shared" si="0"/>
        <v/>
      </c>
      <c r="S27" s="12" t="str">
        <f t="shared" si="1"/>
        <v/>
      </c>
      <c r="T27" s="12" t="str">
        <f>IF(COUNT(R27:S27)=2,AVERAGE(R27:S27),"")</f>
      </c>
      <c r="U27" s="11"/>
      <c r="V27" s="11"/>
      <c r="W27" s="12" t="str">
        <f t="shared" si="3"/>
        <v/>
      </c>
      <c r="X27" s="12" t="str">
        <f t="shared" si="4"/>
        <v/>
      </c>
      <c r="Y27" s="12" t="str">
        <f>IF(COUNT(W27:X27)=2,AVERAGE(W27:X27),"")</f>
      </c>
      <c r="Z27" s="13" t="str">
        <f>IF(COUNT(L27:O27)+COUNT(U27:V27)&lt;6,"待导师填写",IF(AND(L27&gt;=0,M27&lt;=1,N27&gt;=0,O27&lt;=1,U27&gt;=0,V27&lt;=1,L27&lt;=M27,N27&lt;=O27,U27&lt;=V27,R27&lt;=S27,W27&lt;=X27,T27&gt;=1),"通过","检查"))</f>
      </c>
      <c r="AA27" s="14" t="s">
        <v>28</v>
      </c>
    </row>
    <row r="28" ht="31" customHeight="1" spans="1:27">
      <c r="A28" s="9"/>
      <c r="B28" s="9" t="s">
        <v>25</v>
      </c>
      <c r="C28" s="9" t="s">
        <v>26</v>
      </c>
      <c r="D28" s="10">
        <v>0.8</v>
      </c>
      <c r="E28" s="9" t="s">
        <v>27</v>
      </c>
      <c r="F28" s="10">
        <v>3</v>
      </c>
      <c r="G28" s="10">
        <v>8</v>
      </c>
      <c r="H28" s="10">
        <v>3</v>
      </c>
      <c r="I28" s="10">
        <v>3</v>
      </c>
      <c r="J28" s="10">
        <v>0.8</v>
      </c>
      <c r="K28" s="10">
        <v>0.2</v>
      </c>
      <c r="L28" s="11"/>
      <c r="M28" s="11"/>
      <c r="N28" s="11"/>
      <c r="O28" s="11"/>
      <c r="P28" s="11"/>
      <c r="Q28" s="11"/>
      <c r="R28" s="12" t="str">
        <f t="shared" si="0"/>
        <v/>
      </c>
      <c r="S28" s="12" t="str">
        <f t="shared" si="1"/>
        <v/>
      </c>
      <c r="T28" s="12" t="str">
        <f>IF(COUNT(R28:S28)=2,AVERAGE(R28:S28),"")</f>
      </c>
      <c r="U28" s="11"/>
      <c r="V28" s="11"/>
      <c r="W28" s="12" t="str">
        <f t="shared" si="3"/>
        <v/>
      </c>
      <c r="X28" s="12" t="str">
        <f t="shared" si="4"/>
        <v/>
      </c>
      <c r="Y28" s="12" t="str">
        <f>IF(COUNT(W28:X28)=2,AVERAGE(W28:X28),"")</f>
      </c>
      <c r="Z28" s="13" t="str">
        <f>IF(COUNT(L28:O28)+COUNT(U28:V28)&lt;6,"待导师填写",IF(AND(L28&gt;=0,M28&lt;=1,N28&gt;=0,O28&lt;=1,U28&gt;=0,V28&lt;=1,L28&lt;=M28,N28&lt;=O28,U28&lt;=V28,R28&lt;=S28,W28&lt;=X28,T28&gt;=1),"通过","检查"))</f>
      </c>
      <c r="AA28" s="14" t="s">
        <v>28</v>
      </c>
    </row>
    <row r="29" ht="31" customHeight="1" spans="1:27">
      <c r="A29" s="9"/>
      <c r="B29" s="9" t="s">
        <v>25</v>
      </c>
      <c r="C29" s="9" t="s">
        <v>26</v>
      </c>
      <c r="D29" s="10">
        <v>0.9</v>
      </c>
      <c r="E29" s="9" t="s">
        <v>27</v>
      </c>
      <c r="F29" s="10">
        <v>3</v>
      </c>
      <c r="G29" s="10">
        <v>8</v>
      </c>
      <c r="H29" s="10">
        <v>3</v>
      </c>
      <c r="I29" s="10">
        <v>3</v>
      </c>
      <c r="J29" s="10">
        <v>0.9</v>
      </c>
      <c r="K29" s="10">
        <v>0.2</v>
      </c>
      <c r="L29" s="11"/>
      <c r="M29" s="11"/>
      <c r="N29" s="11"/>
      <c r="O29" s="11"/>
      <c r="P29" s="11"/>
      <c r="Q29" s="11"/>
      <c r="R29" s="12" t="str">
        <f t="shared" si="0"/>
        <v/>
      </c>
      <c r="S29" s="12" t="str">
        <f t="shared" si="1"/>
        <v/>
      </c>
      <c r="T29" s="12" t="str">
        <f>IF(COUNT(R29:S29)=2,AVERAGE(R29:S29),"")</f>
      </c>
      <c r="U29" s="11"/>
      <c r="V29" s="11"/>
      <c r="W29" s="12" t="str">
        <f t="shared" si="3"/>
        <v/>
      </c>
      <c r="X29" s="12" t="str">
        <f t="shared" si="4"/>
        <v/>
      </c>
      <c r="Y29" s="12" t="str">
        <f>IF(COUNT(W29:X29)=2,AVERAGE(W29:X29),"")</f>
      </c>
      <c r="Z29" s="13" t="str">
        <f>IF(COUNT(L29:O29)+COUNT(U29:V29)&lt;6,"待导师填写",IF(AND(L29&gt;=0,M29&lt;=1,N29&gt;=0,O29&lt;=1,U29&gt;=0,V29&lt;=1,L29&lt;=M29,N29&lt;=O29,U29&lt;=V29,R29&lt;=S29,W29&lt;=X29,T29&gt;=1),"通过","检查"))</f>
      </c>
      <c r="AA29" s="14" t="s">
        <v>28</v>
      </c>
    </row>
    <row r="30" ht="31" customHeight="1" spans="1:27">
      <c r="A30" s="9"/>
      <c r="B30" s="9" t="s">
        <v>29</v>
      </c>
      <c r="C30" s="9" t="s">
        <v>30</v>
      </c>
      <c r="D30" s="10">
        <v>8</v>
      </c>
      <c r="E30" s="9" t="s">
        <v>27</v>
      </c>
      <c r="F30" s="10">
        <v>1</v>
      </c>
      <c r="G30" s="10">
        <v>8</v>
      </c>
      <c r="H30" s="10">
        <v>1</v>
      </c>
      <c r="I30" s="10">
        <v>3</v>
      </c>
      <c r="J30" s="10">
        <v>0.3</v>
      </c>
      <c r="K30" s="10">
        <v>0.2</v>
      </c>
      <c r="L30" s="11"/>
      <c r="M30" s="11"/>
      <c r="N30" s="11"/>
      <c r="O30" s="11"/>
      <c r="P30" s="11"/>
      <c r="Q30" s="11"/>
      <c r="R30" s="12" t="str">
        <f t="shared" si="0"/>
        <v/>
      </c>
      <c r="S30" s="12" t="str">
        <f t="shared" si="1"/>
        <v/>
      </c>
      <c r="T30" s="12" t="str">
        <f>IF(COUNT(R30:S30)=2,AVERAGE(R30:S30),"")</f>
      </c>
      <c r="U30" s="11"/>
      <c r="V30" s="11"/>
      <c r="W30" s="12" t="str">
        <f t="shared" si="3"/>
        <v/>
      </c>
      <c r="X30" s="12" t="str">
        <f t="shared" si="4"/>
        <v/>
      </c>
      <c r="Y30" s="12" t="str">
        <f>IF(COUNT(W30:X30)=2,AVERAGE(W30:X30),"")</f>
      </c>
      <c r="Z30" s="13" t="str">
        <f>IF(COUNT(L30:O30)+COUNT(U30:V30)&lt;6,"待导师填写",IF(AND(L30&gt;=0,M30&lt;=1,N30&gt;=0,O30&lt;=1,U30&gt;=0,V30&lt;=1,L30&lt;=M30,N30&lt;=O30,U30&lt;=V30,R30&lt;=S30,W30&lt;=X30,T30&gt;=1),"通过","检查"))</f>
      </c>
      <c r="AA30" s="14" t="s">
        <v>31</v>
      </c>
    </row>
    <row r="31" ht="31" customHeight="1" spans="1:27">
      <c r="A31" s="9"/>
      <c r="B31" s="9" t="s">
        <v>29</v>
      </c>
      <c r="C31" s="9" t="s">
        <v>30</v>
      </c>
      <c r="D31" s="10">
        <v>12</v>
      </c>
      <c r="E31" s="9" t="s">
        <v>27</v>
      </c>
      <c r="F31" s="10">
        <v>1</v>
      </c>
      <c r="G31" s="10">
        <v>12</v>
      </c>
      <c r="H31" s="10">
        <v>1</v>
      </c>
      <c r="I31" s="10">
        <v>3</v>
      </c>
      <c r="J31" s="10">
        <v>0.3</v>
      </c>
      <c r="K31" s="10">
        <v>0.2</v>
      </c>
      <c r="L31" s="11"/>
      <c r="M31" s="11"/>
      <c r="N31" s="11"/>
      <c r="O31" s="11"/>
      <c r="P31" s="11"/>
      <c r="Q31" s="11"/>
      <c r="R31" s="12" t="str">
        <f t="shared" si="0"/>
        <v/>
      </c>
      <c r="S31" s="12" t="str">
        <f t="shared" si="1"/>
        <v/>
      </c>
      <c r="T31" s="12" t="str">
        <f>IF(COUNT(R31:S31)=2,AVERAGE(R31:S31),"")</f>
      </c>
      <c r="U31" s="11"/>
      <c r="V31" s="11"/>
      <c r="W31" s="12" t="str">
        <f t="shared" si="3"/>
        <v/>
      </c>
      <c r="X31" s="12" t="str">
        <f t="shared" si="4"/>
        <v/>
      </c>
      <c r="Y31" s="12" t="str">
        <f>IF(COUNT(W31:X31)=2,AVERAGE(W31:X31),"")</f>
      </c>
      <c r="Z31" s="13" t="str">
        <f>IF(COUNT(L31:O31)+COUNT(U31:V31)&lt;6,"待导师填写",IF(AND(L31&gt;=0,M31&lt;=1,N31&gt;=0,O31&lt;=1,U31&gt;=0,V31&lt;=1,L31&lt;=M31,N31&lt;=O31,U31&lt;=V31,R31&lt;=S31,W31&lt;=X31,T31&gt;=1),"通过","检查"))</f>
      </c>
      <c r="AA31" s="14" t="s">
        <v>31</v>
      </c>
    </row>
    <row r="32" ht="31" customHeight="1" spans="1:27">
      <c r="A32" s="9"/>
      <c r="B32" s="9" t="s">
        <v>29</v>
      </c>
      <c r="C32" s="9" t="s">
        <v>30</v>
      </c>
      <c r="D32" s="10">
        <v>16</v>
      </c>
      <c r="E32" s="9" t="s">
        <v>27</v>
      </c>
      <c r="F32" s="10">
        <v>1</v>
      </c>
      <c r="G32" s="10">
        <v>16</v>
      </c>
      <c r="H32" s="10">
        <v>1</v>
      </c>
      <c r="I32" s="10">
        <v>3</v>
      </c>
      <c r="J32" s="10">
        <v>0.3</v>
      </c>
      <c r="K32" s="10">
        <v>0.2</v>
      </c>
      <c r="L32" s="11"/>
      <c r="M32" s="11"/>
      <c r="N32" s="11"/>
      <c r="O32" s="11"/>
      <c r="P32" s="11"/>
      <c r="Q32" s="11"/>
      <c r="R32" s="12" t="str">
        <f t="shared" si="0"/>
        <v/>
      </c>
      <c r="S32" s="12" t="str">
        <f t="shared" si="1"/>
        <v/>
      </c>
      <c r="T32" s="12" t="str">
        <f>IF(COUNT(R32:S32)=2,AVERAGE(R32:S32),"")</f>
      </c>
      <c r="U32" s="11"/>
      <c r="V32" s="11"/>
      <c r="W32" s="12" t="str">
        <f t="shared" si="3"/>
        <v/>
      </c>
      <c r="X32" s="12" t="str">
        <f t="shared" si="4"/>
        <v/>
      </c>
      <c r="Y32" s="12" t="str">
        <f>IF(COUNT(W32:X32)=2,AVERAGE(W32:X32),"")</f>
      </c>
      <c r="Z32" s="13" t="str">
        <f>IF(COUNT(L32:O32)+COUNT(U32:V32)&lt;6,"待导师填写",IF(AND(L32&gt;=0,M32&lt;=1,N32&gt;=0,O32&lt;=1,U32&gt;=0,V32&lt;=1,L32&lt;=M32,N32&lt;=O32,U32&lt;=V32,R32&lt;=S32,W32&lt;=X32,T32&gt;=1),"通过","检查"))</f>
      </c>
      <c r="AA32" s="14" t="s">
        <v>31</v>
      </c>
    </row>
    <row r="33" ht="31" customHeight="1" spans="1:27">
      <c r="A33" s="9"/>
      <c r="B33" s="9" t="s">
        <v>29</v>
      </c>
      <c r="C33" s="9" t="s">
        <v>30</v>
      </c>
      <c r="D33" s="10">
        <v>20</v>
      </c>
      <c r="E33" s="9" t="s">
        <v>27</v>
      </c>
      <c r="F33" s="10">
        <v>1</v>
      </c>
      <c r="G33" s="10">
        <v>20</v>
      </c>
      <c r="H33" s="10">
        <v>1</v>
      </c>
      <c r="I33" s="10">
        <v>3</v>
      </c>
      <c r="J33" s="10">
        <v>0.3</v>
      </c>
      <c r="K33" s="10">
        <v>0.2</v>
      </c>
      <c r="L33" s="11"/>
      <c r="M33" s="11"/>
      <c r="N33" s="11"/>
      <c r="O33" s="11"/>
      <c r="P33" s="11"/>
      <c r="Q33" s="11"/>
      <c r="R33" s="12" t="str">
        <f t="shared" si="0"/>
        <v/>
      </c>
      <c r="S33" s="12" t="str">
        <f t="shared" si="1"/>
        <v/>
      </c>
      <c r="T33" s="12" t="str">
        <f>IF(COUNT(R33:S33)=2,AVERAGE(R33:S33),"")</f>
      </c>
      <c r="U33" s="11"/>
      <c r="V33" s="11"/>
      <c r="W33" s="12" t="str">
        <f t="shared" si="3"/>
        <v/>
      </c>
      <c r="X33" s="12" t="str">
        <f t="shared" si="4"/>
        <v/>
      </c>
      <c r="Y33" s="12" t="str">
        <f>IF(COUNT(W33:X33)=2,AVERAGE(W33:X33),"")</f>
      </c>
      <c r="Z33" s="13" t="str">
        <f>IF(COUNT(L33:O33)+COUNT(U33:V33)&lt;6,"待导师填写",IF(AND(L33&gt;=0,M33&lt;=1,N33&gt;=0,O33&lt;=1,U33&gt;=0,V33&lt;=1,L33&lt;=M33,N33&lt;=O33,U33&lt;=V33,R33&lt;=S33,W33&lt;=X33,T33&gt;=1),"通过","检查"))</f>
      </c>
      <c r="AA33" s="14" t="s">
        <v>31</v>
      </c>
    </row>
    <row r="34" ht="31" customHeight="1" spans="1:27">
      <c r="A34" s="9"/>
      <c r="B34" s="9" t="s">
        <v>29</v>
      </c>
      <c r="C34" s="9" t="s">
        <v>30</v>
      </c>
      <c r="D34" s="10">
        <v>24</v>
      </c>
      <c r="E34" s="9" t="s">
        <v>27</v>
      </c>
      <c r="F34" s="10">
        <v>1</v>
      </c>
      <c r="G34" s="10">
        <v>24</v>
      </c>
      <c r="H34" s="10">
        <v>1</v>
      </c>
      <c r="I34" s="10">
        <v>3</v>
      </c>
      <c r="J34" s="10">
        <v>0.3</v>
      </c>
      <c r="K34" s="10">
        <v>0.2</v>
      </c>
      <c r="L34" s="11"/>
      <c r="M34" s="11"/>
      <c r="N34" s="11"/>
      <c r="O34" s="11"/>
      <c r="P34" s="11"/>
      <c r="Q34" s="11"/>
      <c r="R34" s="12" t="str">
        <f t="shared" si="0"/>
        <v/>
      </c>
      <c r="S34" s="12" t="str">
        <f t="shared" si="1"/>
        <v/>
      </c>
      <c r="T34" s="12" t="str">
        <f>IF(COUNT(R34:S34)=2,AVERAGE(R34:S34),"")</f>
      </c>
      <c r="U34" s="11"/>
      <c r="V34" s="11"/>
      <c r="W34" s="12" t="str">
        <f t="shared" si="3"/>
        <v/>
      </c>
      <c r="X34" s="12" t="str">
        <f t="shared" si="4"/>
        <v/>
      </c>
      <c r="Y34" s="12" t="str">
        <f>IF(COUNT(W34:X34)=2,AVERAGE(W34:X34),"")</f>
      </c>
      <c r="Z34" s="13" t="str">
        <f>IF(COUNT(L34:O34)+COUNT(U34:V34)&lt;6,"待导师填写",IF(AND(L34&gt;=0,M34&lt;=1,N34&gt;=0,O34&lt;=1,U34&gt;=0,V34&lt;=1,L34&lt;=M34,N34&lt;=O34,U34&lt;=V34,R34&lt;=S34,W34&lt;=X34,T34&gt;=1),"通过","检查"))</f>
      </c>
      <c r="AA34" s="14" t="s">
        <v>31</v>
      </c>
    </row>
    <row r="35" ht="31" customHeight="1" spans="1:27">
      <c r="A35" s="9"/>
      <c r="B35" s="9" t="s">
        <v>29</v>
      </c>
      <c r="C35" s="9" t="s">
        <v>30</v>
      </c>
      <c r="D35" s="10">
        <v>28</v>
      </c>
      <c r="E35" s="9" t="s">
        <v>27</v>
      </c>
      <c r="F35" s="10">
        <v>1</v>
      </c>
      <c r="G35" s="10">
        <v>28</v>
      </c>
      <c r="H35" s="10">
        <v>1</v>
      </c>
      <c r="I35" s="10">
        <v>3</v>
      </c>
      <c r="J35" s="10">
        <v>0.3</v>
      </c>
      <c r="K35" s="10">
        <v>0.2</v>
      </c>
      <c r="L35" s="11"/>
      <c r="M35" s="11"/>
      <c r="N35" s="11"/>
      <c r="O35" s="11"/>
      <c r="P35" s="11"/>
      <c r="Q35" s="11"/>
      <c r="R35" s="12" t="str">
        <f t="shared" si="0"/>
        <v/>
      </c>
      <c r="S35" s="12" t="str">
        <f t="shared" si="1"/>
        <v/>
      </c>
      <c r="T35" s="12" t="str">
        <f>IF(COUNT(R35:S35)=2,AVERAGE(R35:S35),"")</f>
      </c>
      <c r="U35" s="11"/>
      <c r="V35" s="11"/>
      <c r="W35" s="12" t="str">
        <f t="shared" si="3"/>
        <v/>
      </c>
      <c r="X35" s="12" t="str">
        <f t="shared" si="4"/>
        <v/>
      </c>
      <c r="Y35" s="12" t="str">
        <f>IF(COUNT(W35:X35)=2,AVERAGE(W35:X35),"")</f>
      </c>
      <c r="Z35" s="13" t="str">
        <f>IF(COUNT(L35:O35)+COUNT(U35:V35)&lt;6,"待导师填写",IF(AND(L35&gt;=0,M35&lt;=1,N35&gt;=0,O35&lt;=1,U35&gt;=0,V35&lt;=1,L35&lt;=M35,N35&lt;=O35,U35&lt;=V35,R35&lt;=S35,W35&lt;=X35,T35&gt;=1),"通过","检查"))</f>
      </c>
      <c r="AA35" s="14" t="s">
        <v>31</v>
      </c>
    </row>
    <row r="36" ht="31" customHeight="1" spans="1:27">
      <c r="A36" s="9"/>
      <c r="B36" s="9" t="s">
        <v>29</v>
      </c>
      <c r="C36" s="9" t="s">
        <v>30</v>
      </c>
      <c r="D36" s="10">
        <v>32</v>
      </c>
      <c r="E36" s="9" t="s">
        <v>27</v>
      </c>
      <c r="F36" s="10">
        <v>1</v>
      </c>
      <c r="G36" s="10">
        <v>32</v>
      </c>
      <c r="H36" s="10">
        <v>1</v>
      </c>
      <c r="I36" s="10">
        <v>3</v>
      </c>
      <c r="J36" s="10">
        <v>0.3</v>
      </c>
      <c r="K36" s="10">
        <v>0.2</v>
      </c>
      <c r="L36" s="11"/>
      <c r="M36" s="11"/>
      <c r="N36" s="11"/>
      <c r="O36" s="11"/>
      <c r="P36" s="11"/>
      <c r="Q36" s="11"/>
      <c r="R36" s="12" t="str">
        <f t="shared" si="0"/>
        <v/>
      </c>
      <c r="S36" s="12" t="str">
        <f t="shared" si="1"/>
        <v/>
      </c>
      <c r="T36" s="12" t="str">
        <f>IF(COUNT(R36:S36)=2,AVERAGE(R36:S36),"")</f>
      </c>
      <c r="U36" s="11"/>
      <c r="V36" s="11"/>
      <c r="W36" s="12" t="str">
        <f t="shared" si="3"/>
        <v/>
      </c>
      <c r="X36" s="12" t="str">
        <f t="shared" si="4"/>
        <v/>
      </c>
      <c r="Y36" s="12" t="str">
        <f>IF(COUNT(W36:X36)=2,AVERAGE(W36:X36),"")</f>
      </c>
      <c r="Z36" s="13" t="str">
        <f>IF(COUNT(L36:O36)+COUNT(U36:V36)&lt;6,"待导师填写",IF(AND(L36&gt;=0,M36&lt;=1,N36&gt;=0,O36&lt;=1,U36&gt;=0,V36&lt;=1,L36&lt;=M36,N36&lt;=O36,U36&lt;=V36,R36&lt;=S36,W36&lt;=X36,T36&gt;=1),"通过","检查"))</f>
      </c>
      <c r="AA36" s="14" t="s">
        <v>31</v>
      </c>
    </row>
    <row r="37" ht="31" customHeight="1" spans="1:27">
      <c r="A37" s="9"/>
      <c r="B37" s="9" t="s">
        <v>29</v>
      </c>
      <c r="C37" s="9" t="s">
        <v>30</v>
      </c>
      <c r="D37" s="10">
        <v>36</v>
      </c>
      <c r="E37" s="9" t="s">
        <v>27</v>
      </c>
      <c r="F37" s="10">
        <v>1</v>
      </c>
      <c r="G37" s="10">
        <v>36</v>
      </c>
      <c r="H37" s="10">
        <v>1</v>
      </c>
      <c r="I37" s="10">
        <v>3</v>
      </c>
      <c r="J37" s="10">
        <v>0.3</v>
      </c>
      <c r="K37" s="10">
        <v>0.2</v>
      </c>
      <c r="L37" s="11"/>
      <c r="M37" s="11"/>
      <c r="N37" s="11"/>
      <c r="O37" s="11"/>
      <c r="P37" s="11"/>
      <c r="Q37" s="11"/>
      <c r="R37" s="12" t="str">
        <f t="shared" si="0"/>
        <v/>
      </c>
      <c r="S37" s="12" t="str">
        <f t="shared" si="1"/>
        <v/>
      </c>
      <c r="T37" s="12" t="str">
        <f>IF(COUNT(R37:S37)=2,AVERAGE(R37:S37),"")</f>
      </c>
      <c r="U37" s="11"/>
      <c r="V37" s="11"/>
      <c r="W37" s="12" t="str">
        <f t="shared" si="3"/>
        <v/>
      </c>
      <c r="X37" s="12" t="str">
        <f t="shared" si="4"/>
        <v/>
      </c>
      <c r="Y37" s="12" t="str">
        <f>IF(COUNT(W37:X37)=2,AVERAGE(W37:X37),"")</f>
      </c>
      <c r="Z37" s="13" t="str">
        <f>IF(COUNT(L37:O37)+COUNT(U37:V37)&lt;6,"待导师填写",IF(AND(L37&gt;=0,M37&lt;=1,N37&gt;=0,O37&lt;=1,U37&gt;=0,V37&lt;=1,L37&lt;=M37,N37&lt;=O37,U37&lt;=V37,R37&lt;=S37,W37&lt;=X37,T37&gt;=1),"通过","检查"))</f>
      </c>
      <c r="AA37" s="14" t="s">
        <v>31</v>
      </c>
    </row>
    <row r="38" ht="31" customHeight="1" spans="1:27">
      <c r="A38" s="9"/>
      <c r="B38" s="9" t="s">
        <v>29</v>
      </c>
      <c r="C38" s="9" t="s">
        <v>30</v>
      </c>
      <c r="D38" s="10">
        <v>40</v>
      </c>
      <c r="E38" s="9" t="s">
        <v>27</v>
      </c>
      <c r="F38" s="10">
        <v>1</v>
      </c>
      <c r="G38" s="10">
        <v>40</v>
      </c>
      <c r="H38" s="10">
        <v>1</v>
      </c>
      <c r="I38" s="10">
        <v>3</v>
      </c>
      <c r="J38" s="10">
        <v>0.3</v>
      </c>
      <c r="K38" s="10">
        <v>0.2</v>
      </c>
      <c r="L38" s="11"/>
      <c r="M38" s="11"/>
      <c r="N38" s="11"/>
      <c r="O38" s="11"/>
      <c r="P38" s="11"/>
      <c r="Q38" s="11"/>
      <c r="R38" s="12" t="str">
        <f t="shared" si="0"/>
        <v/>
      </c>
      <c r="S38" s="12" t="str">
        <f t="shared" si="1"/>
        <v/>
      </c>
      <c r="T38" s="12" t="str">
        <f>IF(COUNT(R38:S38)=2,AVERAGE(R38:S38),"")</f>
      </c>
      <c r="U38" s="11"/>
      <c r="V38" s="11"/>
      <c r="W38" s="12" t="str">
        <f t="shared" si="3"/>
        <v/>
      </c>
      <c r="X38" s="12" t="str">
        <f t="shared" si="4"/>
        <v/>
      </c>
      <c r="Y38" s="12" t="str">
        <f>IF(COUNT(W38:X38)=2,AVERAGE(W38:X38),"")</f>
      </c>
      <c r="Z38" s="13" t="str">
        <f>IF(COUNT(L38:O38)+COUNT(U38:V38)&lt;6,"待导师填写",IF(AND(L38&gt;=0,M38&lt;=1,N38&gt;=0,O38&lt;=1,U38&gt;=0,V38&lt;=1,L38&lt;=M38,N38&lt;=O38,U38&lt;=V38,R38&lt;=S38,W38&lt;=X38,T38&gt;=1),"通过","检查"))</f>
      </c>
      <c r="AA38" s="14" t="s">
        <v>31</v>
      </c>
    </row>
    <row r="39" ht="31" customHeight="1" spans="1:27">
      <c r="A39" s="9"/>
      <c r="B39" s="9" t="s">
        <v>29</v>
      </c>
      <c r="C39" s="9" t="s">
        <v>30</v>
      </c>
      <c r="D39" s="10">
        <v>44</v>
      </c>
      <c r="E39" s="9" t="s">
        <v>27</v>
      </c>
      <c r="F39" s="10">
        <v>1</v>
      </c>
      <c r="G39" s="10">
        <v>44</v>
      </c>
      <c r="H39" s="10">
        <v>1</v>
      </c>
      <c r="I39" s="10">
        <v>3</v>
      </c>
      <c r="J39" s="10">
        <v>0.3</v>
      </c>
      <c r="K39" s="10">
        <v>0.2</v>
      </c>
      <c r="L39" s="11"/>
      <c r="M39" s="11"/>
      <c r="N39" s="11"/>
      <c r="O39" s="11"/>
      <c r="P39" s="11"/>
      <c r="Q39" s="11"/>
      <c r="R39" s="12" t="str">
        <f t="shared" si="0"/>
        <v/>
      </c>
      <c r="S39" s="12" t="str">
        <f t="shared" si="1"/>
        <v/>
      </c>
      <c r="T39" s="12" t="str">
        <f>IF(COUNT(R39:S39)=2,AVERAGE(R39:S39),"")</f>
      </c>
      <c r="U39" s="11"/>
      <c r="V39" s="11"/>
      <c r="W39" s="12" t="str">
        <f t="shared" si="3"/>
        <v/>
      </c>
      <c r="X39" s="12" t="str">
        <f t="shared" si="4"/>
        <v/>
      </c>
      <c r="Y39" s="12" t="str">
        <f>IF(COUNT(W39:X39)=2,AVERAGE(W39:X39),"")</f>
      </c>
      <c r="Z39" s="13" t="str">
        <f>IF(COUNT(L39:O39)+COUNT(U39:V39)&lt;6,"待导师填写",IF(AND(L39&gt;=0,M39&lt;=1,N39&gt;=0,O39&lt;=1,U39&gt;=0,V39&lt;=1,L39&lt;=M39,N39&lt;=O39,U39&lt;=V39,R39&lt;=S39,W39&lt;=X39,T39&gt;=1),"通过","检查"))</f>
      </c>
      <c r="AA39" s="14" t="s">
        <v>31</v>
      </c>
    </row>
    <row r="40" ht="31" customHeight="1" spans="1:27">
      <c r="A40" s="9"/>
      <c r="B40" s="9" t="s">
        <v>29</v>
      </c>
      <c r="C40" s="9" t="s">
        <v>30</v>
      </c>
      <c r="D40" s="10">
        <v>48</v>
      </c>
      <c r="E40" s="9" t="s">
        <v>27</v>
      </c>
      <c r="F40" s="10">
        <v>1</v>
      </c>
      <c r="G40" s="10">
        <v>48</v>
      </c>
      <c r="H40" s="10">
        <v>1</v>
      </c>
      <c r="I40" s="10">
        <v>3</v>
      </c>
      <c r="J40" s="10">
        <v>0.3</v>
      </c>
      <c r="K40" s="10">
        <v>0.2</v>
      </c>
      <c r="L40" s="11"/>
      <c r="M40" s="11"/>
      <c r="N40" s="11"/>
      <c r="O40" s="11"/>
      <c r="P40" s="11"/>
      <c r="Q40" s="11"/>
      <c r="R40" s="12" t="str">
        <f t="shared" si="0"/>
        <v/>
      </c>
      <c r="S40" s="12" t="str">
        <f t="shared" si="1"/>
        <v/>
      </c>
      <c r="T40" s="12" t="str">
        <f>IF(COUNT(R40:S40)=2,AVERAGE(R40:S40),"")</f>
      </c>
      <c r="U40" s="11"/>
      <c r="V40" s="11"/>
      <c r="W40" s="12" t="str">
        <f t="shared" si="3"/>
        <v/>
      </c>
      <c r="X40" s="12" t="str">
        <f t="shared" si="4"/>
        <v/>
      </c>
      <c r="Y40" s="12" t="str">
        <f>IF(COUNT(W40:X40)=2,AVERAGE(W40:X40),"")</f>
      </c>
      <c r="Z40" s="13" t="str">
        <f>IF(COUNT(L40:O40)+COUNT(U40:V40)&lt;6,"待导师填写",IF(AND(L40&gt;=0,M40&lt;=1,N40&gt;=0,O40&lt;=1,U40&gt;=0,V40&lt;=1,L40&lt;=M40,N40&lt;=O40,U40&lt;=V40,R40&lt;=S40,W40&lt;=X40,T40&gt;=1),"通过","检查"))</f>
      </c>
      <c r="AA40" s="14" t="s">
        <v>31</v>
      </c>
    </row>
    <row r="41" ht="31" customHeight="1" spans="1:27">
      <c r="A41" s="9"/>
      <c r="B41" s="9" t="s">
        <v>29</v>
      </c>
      <c r="C41" s="9" t="s">
        <v>30</v>
      </c>
      <c r="D41" s="10">
        <v>52</v>
      </c>
      <c r="E41" s="9" t="s">
        <v>27</v>
      </c>
      <c r="F41" s="10">
        <v>1</v>
      </c>
      <c r="G41" s="10">
        <v>52</v>
      </c>
      <c r="H41" s="10">
        <v>1</v>
      </c>
      <c r="I41" s="10">
        <v>3</v>
      </c>
      <c r="J41" s="10">
        <v>0.3</v>
      </c>
      <c r="K41" s="10">
        <v>0.2</v>
      </c>
      <c r="L41" s="11"/>
      <c r="M41" s="11"/>
      <c r="N41" s="11"/>
      <c r="O41" s="11"/>
      <c r="P41" s="11"/>
      <c r="Q41" s="11"/>
      <c r="R41" s="12" t="str">
        <f t="shared" si="0"/>
        <v/>
      </c>
      <c r="S41" s="12" t="str">
        <f t="shared" si="1"/>
        <v/>
      </c>
      <c r="T41" s="12" t="str">
        <f>IF(COUNT(R41:S41)=2,AVERAGE(R41:S41),"")</f>
      </c>
      <c r="U41" s="11"/>
      <c r="V41" s="11"/>
      <c r="W41" s="12" t="str">
        <f t="shared" si="3"/>
        <v/>
      </c>
      <c r="X41" s="12" t="str">
        <f t="shared" si="4"/>
        <v/>
      </c>
      <c r="Y41" s="12" t="str">
        <f>IF(COUNT(W41:X41)=2,AVERAGE(W41:X41),"")</f>
      </c>
      <c r="Z41" s="13" t="str">
        <f>IF(COUNT(L41:O41)+COUNT(U41:V41)&lt;6,"待导师填写",IF(AND(L41&gt;=0,M41&lt;=1,N41&gt;=0,O41&lt;=1,U41&gt;=0,V41&lt;=1,L41&lt;=M41,N41&lt;=O41,U41&lt;=V41,R41&lt;=S41,W41&lt;=X41,T41&gt;=1),"通过","检查"))</f>
      </c>
      <c r="AA41" s="14" t="s">
        <v>31</v>
      </c>
    </row>
    <row r="42" ht="31" customHeight="1" spans="1:27">
      <c r="A42" s="9"/>
      <c r="B42" s="9" t="s">
        <v>29</v>
      </c>
      <c r="C42" s="9" t="s">
        <v>30</v>
      </c>
      <c r="D42" s="10">
        <v>8</v>
      </c>
      <c r="E42" s="9" t="s">
        <v>27</v>
      </c>
      <c r="F42" s="10">
        <v>2</v>
      </c>
      <c r="G42" s="10">
        <v>8</v>
      </c>
      <c r="H42" s="10">
        <v>2</v>
      </c>
      <c r="I42" s="10">
        <v>3</v>
      </c>
      <c r="J42" s="10">
        <v>0.3</v>
      </c>
      <c r="K42" s="10">
        <v>0.2</v>
      </c>
      <c r="L42" s="11"/>
      <c r="M42" s="11"/>
      <c r="N42" s="11"/>
      <c r="O42" s="11"/>
      <c r="P42" s="11"/>
      <c r="Q42" s="11"/>
      <c r="R42" s="12" t="str">
        <f t="shared" si="0"/>
        <v/>
      </c>
      <c r="S42" s="12" t="str">
        <f t="shared" si="1"/>
        <v/>
      </c>
      <c r="T42" s="12" t="str">
        <f>IF(COUNT(R42:S42)=2,AVERAGE(R42:S42),"")</f>
      </c>
      <c r="U42" s="11"/>
      <c r="V42" s="11"/>
      <c r="W42" s="12" t="str">
        <f t="shared" si="3"/>
        <v/>
      </c>
      <c r="X42" s="12" t="str">
        <f t="shared" si="4"/>
        <v/>
      </c>
      <c r="Y42" s="12" t="str">
        <f>IF(COUNT(W42:X42)=2,AVERAGE(W42:X42),"")</f>
      </c>
      <c r="Z42" s="13" t="str">
        <f>IF(COUNT(L42:O42)+COUNT(U42:V42)&lt;6,"待导师填写",IF(AND(L42&gt;=0,M42&lt;=1,N42&gt;=0,O42&lt;=1,U42&gt;=0,V42&lt;=1,L42&lt;=M42,N42&lt;=O42,U42&lt;=V42,R42&lt;=S42,W42&lt;=X42,T42&gt;=1),"通过","检查"))</f>
      </c>
      <c r="AA42" s="14" t="s">
        <v>31</v>
      </c>
    </row>
    <row r="43" ht="31" customHeight="1" spans="1:27">
      <c r="A43" s="9"/>
      <c r="B43" s="9" t="s">
        <v>29</v>
      </c>
      <c r="C43" s="9" t="s">
        <v>30</v>
      </c>
      <c r="D43" s="10">
        <v>12</v>
      </c>
      <c r="E43" s="9" t="s">
        <v>27</v>
      </c>
      <c r="F43" s="10">
        <v>2</v>
      </c>
      <c r="G43" s="10">
        <v>12</v>
      </c>
      <c r="H43" s="10">
        <v>2</v>
      </c>
      <c r="I43" s="10">
        <v>3</v>
      </c>
      <c r="J43" s="10">
        <v>0.3</v>
      </c>
      <c r="K43" s="10">
        <v>0.2</v>
      </c>
      <c r="L43" s="11"/>
      <c r="M43" s="11"/>
      <c r="N43" s="11"/>
      <c r="O43" s="11"/>
      <c r="P43" s="11"/>
      <c r="Q43" s="11"/>
      <c r="R43" s="12" t="str">
        <f t="shared" si="0"/>
        <v/>
      </c>
      <c r="S43" s="12" t="str">
        <f t="shared" si="1"/>
        <v/>
      </c>
      <c r="T43" s="12" t="str">
        <f>IF(COUNT(R43:S43)=2,AVERAGE(R43:S43),"")</f>
      </c>
      <c r="U43" s="11"/>
      <c r="V43" s="11"/>
      <c r="W43" s="12" t="str">
        <f t="shared" si="3"/>
        <v/>
      </c>
      <c r="X43" s="12" t="str">
        <f t="shared" si="4"/>
        <v/>
      </c>
      <c r="Y43" s="12" t="str">
        <f>IF(COUNT(W43:X43)=2,AVERAGE(W43:X43),"")</f>
      </c>
      <c r="Z43" s="13" t="str">
        <f>IF(COUNT(L43:O43)+COUNT(U43:V43)&lt;6,"待导师填写",IF(AND(L43&gt;=0,M43&lt;=1,N43&gt;=0,O43&lt;=1,U43&gt;=0,V43&lt;=1,L43&lt;=M43,N43&lt;=O43,U43&lt;=V43,R43&lt;=S43,W43&lt;=X43,T43&gt;=1),"通过","检查"))</f>
      </c>
      <c r="AA43" s="14" t="s">
        <v>31</v>
      </c>
    </row>
    <row r="44" ht="31" customHeight="1" spans="1:27">
      <c r="A44" s="9"/>
      <c r="B44" s="9" t="s">
        <v>29</v>
      </c>
      <c r="C44" s="9" t="s">
        <v>30</v>
      </c>
      <c r="D44" s="10">
        <v>16</v>
      </c>
      <c r="E44" s="9" t="s">
        <v>27</v>
      </c>
      <c r="F44" s="10">
        <v>2</v>
      </c>
      <c r="G44" s="10">
        <v>16</v>
      </c>
      <c r="H44" s="10">
        <v>2</v>
      </c>
      <c r="I44" s="10">
        <v>3</v>
      </c>
      <c r="J44" s="10">
        <v>0.3</v>
      </c>
      <c r="K44" s="10">
        <v>0.2</v>
      </c>
      <c r="L44" s="11"/>
      <c r="M44" s="11"/>
      <c r="N44" s="11"/>
      <c r="O44" s="11"/>
      <c r="P44" s="11"/>
      <c r="Q44" s="11"/>
      <c r="R44" s="12" t="str">
        <f t="shared" si="0"/>
        <v/>
      </c>
      <c r="S44" s="12" t="str">
        <f t="shared" si="1"/>
        <v/>
      </c>
      <c r="T44" s="12" t="str">
        <f>IF(COUNT(R44:S44)=2,AVERAGE(R44:S44),"")</f>
      </c>
      <c r="U44" s="11"/>
      <c r="V44" s="11"/>
      <c r="W44" s="12" t="str">
        <f t="shared" si="3"/>
        <v/>
      </c>
      <c r="X44" s="12" t="str">
        <f t="shared" si="4"/>
        <v/>
      </c>
      <c r="Y44" s="12" t="str">
        <f>IF(COUNT(W44:X44)=2,AVERAGE(W44:X44),"")</f>
      </c>
      <c r="Z44" s="13" t="str">
        <f>IF(COUNT(L44:O44)+COUNT(U44:V44)&lt;6,"待导师填写",IF(AND(L44&gt;=0,M44&lt;=1,N44&gt;=0,O44&lt;=1,U44&gt;=0,V44&lt;=1,L44&lt;=M44,N44&lt;=O44,U44&lt;=V44,R44&lt;=S44,W44&lt;=X44,T44&gt;=1),"通过","检查"))</f>
      </c>
      <c r="AA44" s="14" t="s">
        <v>31</v>
      </c>
    </row>
    <row r="45" ht="31" customHeight="1" spans="1:27">
      <c r="A45" s="9"/>
      <c r="B45" s="9" t="s">
        <v>29</v>
      </c>
      <c r="C45" s="9" t="s">
        <v>30</v>
      </c>
      <c r="D45" s="10">
        <v>20</v>
      </c>
      <c r="E45" s="9" t="s">
        <v>27</v>
      </c>
      <c r="F45" s="10">
        <v>2</v>
      </c>
      <c r="G45" s="10">
        <v>20</v>
      </c>
      <c r="H45" s="10">
        <v>2</v>
      </c>
      <c r="I45" s="10">
        <v>3</v>
      </c>
      <c r="J45" s="10">
        <v>0.3</v>
      </c>
      <c r="K45" s="10">
        <v>0.2</v>
      </c>
      <c r="L45" s="11"/>
      <c r="M45" s="11"/>
      <c r="N45" s="11"/>
      <c r="O45" s="11"/>
      <c r="P45" s="11"/>
      <c r="Q45" s="11"/>
      <c r="R45" s="12" t="str">
        <f t="shared" si="0"/>
        <v/>
      </c>
      <c r="S45" s="12" t="str">
        <f t="shared" si="1"/>
        <v/>
      </c>
      <c r="T45" s="12" t="str">
        <f>IF(COUNT(R45:S45)=2,AVERAGE(R45:S45),"")</f>
      </c>
      <c r="U45" s="11"/>
      <c r="V45" s="11"/>
      <c r="W45" s="12" t="str">
        <f t="shared" si="3"/>
        <v/>
      </c>
      <c r="X45" s="12" t="str">
        <f t="shared" si="4"/>
        <v/>
      </c>
      <c r="Y45" s="12" t="str">
        <f>IF(COUNT(W45:X45)=2,AVERAGE(W45:X45),"")</f>
      </c>
      <c r="Z45" s="13" t="str">
        <f>IF(COUNT(L45:O45)+COUNT(U45:V45)&lt;6,"待导师填写",IF(AND(L45&gt;=0,M45&lt;=1,N45&gt;=0,O45&lt;=1,U45&gt;=0,V45&lt;=1,L45&lt;=M45,N45&lt;=O45,U45&lt;=V45,R45&lt;=S45,W45&lt;=X45,T45&gt;=1),"通过","检查"))</f>
      </c>
      <c r="AA45" s="14" t="s">
        <v>31</v>
      </c>
    </row>
    <row r="46" ht="31" customHeight="1" spans="1:27">
      <c r="A46" s="9"/>
      <c r="B46" s="9" t="s">
        <v>29</v>
      </c>
      <c r="C46" s="9" t="s">
        <v>30</v>
      </c>
      <c r="D46" s="10">
        <v>24</v>
      </c>
      <c r="E46" s="9" t="s">
        <v>27</v>
      </c>
      <c r="F46" s="10">
        <v>2</v>
      </c>
      <c r="G46" s="10">
        <v>24</v>
      </c>
      <c r="H46" s="10">
        <v>2</v>
      </c>
      <c r="I46" s="10">
        <v>3</v>
      </c>
      <c r="J46" s="10">
        <v>0.3</v>
      </c>
      <c r="K46" s="10">
        <v>0.2</v>
      </c>
      <c r="L46" s="11"/>
      <c r="M46" s="11"/>
      <c r="N46" s="11"/>
      <c r="O46" s="11"/>
      <c r="P46" s="11"/>
      <c r="Q46" s="11"/>
      <c r="R46" s="12" t="str">
        <f t="shared" si="0"/>
        <v/>
      </c>
      <c r="S46" s="12" t="str">
        <f t="shared" si="1"/>
        <v/>
      </c>
      <c r="T46" s="12" t="str">
        <f>IF(COUNT(R46:S46)=2,AVERAGE(R46:S46),"")</f>
      </c>
      <c r="U46" s="11"/>
      <c r="V46" s="11"/>
      <c r="W46" s="12" t="str">
        <f t="shared" si="3"/>
        <v/>
      </c>
      <c r="X46" s="12" t="str">
        <f t="shared" si="4"/>
        <v/>
      </c>
      <c r="Y46" s="12" t="str">
        <f>IF(COUNT(W46:X46)=2,AVERAGE(W46:X46),"")</f>
      </c>
      <c r="Z46" s="13" t="str">
        <f>IF(COUNT(L46:O46)+COUNT(U46:V46)&lt;6,"待导师填写",IF(AND(L46&gt;=0,M46&lt;=1,N46&gt;=0,O46&lt;=1,U46&gt;=0,V46&lt;=1,L46&lt;=M46,N46&lt;=O46,U46&lt;=V46,R46&lt;=S46,W46&lt;=X46,T46&gt;=1),"通过","检查"))</f>
      </c>
      <c r="AA46" s="14" t="s">
        <v>31</v>
      </c>
    </row>
    <row r="47" ht="31" customHeight="1" spans="1:27">
      <c r="A47" s="9"/>
      <c r="B47" s="9" t="s">
        <v>29</v>
      </c>
      <c r="C47" s="9" t="s">
        <v>30</v>
      </c>
      <c r="D47" s="10">
        <v>28</v>
      </c>
      <c r="E47" s="9" t="s">
        <v>27</v>
      </c>
      <c r="F47" s="10">
        <v>2</v>
      </c>
      <c r="G47" s="10">
        <v>28</v>
      </c>
      <c r="H47" s="10">
        <v>2</v>
      </c>
      <c r="I47" s="10">
        <v>3</v>
      </c>
      <c r="J47" s="10">
        <v>0.3</v>
      </c>
      <c r="K47" s="10">
        <v>0.2</v>
      </c>
      <c r="L47" s="11"/>
      <c r="M47" s="11"/>
      <c r="N47" s="11"/>
      <c r="O47" s="11"/>
      <c r="P47" s="11"/>
      <c r="Q47" s="11"/>
      <c r="R47" s="12" t="str">
        <f t="shared" si="0"/>
        <v/>
      </c>
      <c r="S47" s="12" t="str">
        <f t="shared" si="1"/>
        <v/>
      </c>
      <c r="T47" s="12" t="str">
        <f>IF(COUNT(R47:S47)=2,AVERAGE(R47:S47),"")</f>
      </c>
      <c r="U47" s="11"/>
      <c r="V47" s="11"/>
      <c r="W47" s="12" t="str">
        <f t="shared" si="3"/>
        <v/>
      </c>
      <c r="X47" s="12" t="str">
        <f t="shared" si="4"/>
        <v/>
      </c>
      <c r="Y47" s="12" t="str">
        <f>IF(COUNT(W47:X47)=2,AVERAGE(W47:X47),"")</f>
      </c>
      <c r="Z47" s="13" t="str">
        <f>IF(COUNT(L47:O47)+COUNT(U47:V47)&lt;6,"待导师填写",IF(AND(L47&gt;=0,M47&lt;=1,N47&gt;=0,O47&lt;=1,U47&gt;=0,V47&lt;=1,L47&lt;=M47,N47&lt;=O47,U47&lt;=V47,R47&lt;=S47,W47&lt;=X47,T47&gt;=1),"通过","检查"))</f>
      </c>
      <c r="AA47" s="14" t="s">
        <v>31</v>
      </c>
    </row>
    <row r="48" ht="31" customHeight="1" spans="1:27">
      <c r="A48" s="9"/>
      <c r="B48" s="9" t="s">
        <v>29</v>
      </c>
      <c r="C48" s="9" t="s">
        <v>30</v>
      </c>
      <c r="D48" s="10">
        <v>32</v>
      </c>
      <c r="E48" s="9" t="s">
        <v>27</v>
      </c>
      <c r="F48" s="10">
        <v>2</v>
      </c>
      <c r="G48" s="10">
        <v>32</v>
      </c>
      <c r="H48" s="10">
        <v>2</v>
      </c>
      <c r="I48" s="10">
        <v>3</v>
      </c>
      <c r="J48" s="10">
        <v>0.3</v>
      </c>
      <c r="K48" s="10">
        <v>0.2</v>
      </c>
      <c r="L48" s="11"/>
      <c r="M48" s="11"/>
      <c r="N48" s="11"/>
      <c r="O48" s="11"/>
      <c r="P48" s="11"/>
      <c r="Q48" s="11"/>
      <c r="R48" s="12" t="str">
        <f t="shared" si="0"/>
        <v/>
      </c>
      <c r="S48" s="12" t="str">
        <f t="shared" si="1"/>
        <v/>
      </c>
      <c r="T48" s="12" t="str">
        <f>IF(COUNT(R48:S48)=2,AVERAGE(R48:S48),"")</f>
      </c>
      <c r="U48" s="11"/>
      <c r="V48" s="11"/>
      <c r="W48" s="12" t="str">
        <f t="shared" si="3"/>
        <v/>
      </c>
      <c r="X48" s="12" t="str">
        <f t="shared" si="4"/>
        <v/>
      </c>
      <c r="Y48" s="12" t="str">
        <f>IF(COUNT(W48:X48)=2,AVERAGE(W48:X48),"")</f>
      </c>
      <c r="Z48" s="13" t="str">
        <f>IF(COUNT(L48:O48)+COUNT(U48:V48)&lt;6,"待导师填写",IF(AND(L48&gt;=0,M48&lt;=1,N48&gt;=0,O48&lt;=1,U48&gt;=0,V48&lt;=1,L48&lt;=M48,N48&lt;=O48,U48&lt;=V48,R48&lt;=S48,W48&lt;=X48,T48&gt;=1),"通过","检查"))</f>
      </c>
      <c r="AA48" s="14" t="s">
        <v>31</v>
      </c>
    </row>
    <row r="49" ht="31" customHeight="1" spans="1:27">
      <c r="A49" s="9"/>
      <c r="B49" s="9" t="s">
        <v>29</v>
      </c>
      <c r="C49" s="9" t="s">
        <v>30</v>
      </c>
      <c r="D49" s="10">
        <v>36</v>
      </c>
      <c r="E49" s="9" t="s">
        <v>27</v>
      </c>
      <c r="F49" s="10">
        <v>2</v>
      </c>
      <c r="G49" s="10">
        <v>36</v>
      </c>
      <c r="H49" s="10">
        <v>2</v>
      </c>
      <c r="I49" s="10">
        <v>3</v>
      </c>
      <c r="J49" s="10">
        <v>0.3</v>
      </c>
      <c r="K49" s="10">
        <v>0.2</v>
      </c>
      <c r="L49" s="11"/>
      <c r="M49" s="11"/>
      <c r="N49" s="11"/>
      <c r="O49" s="11"/>
      <c r="P49" s="11"/>
      <c r="Q49" s="11"/>
      <c r="R49" s="12" t="str">
        <f t="shared" si="0"/>
        <v/>
      </c>
      <c r="S49" s="12" t="str">
        <f t="shared" si="1"/>
        <v/>
      </c>
      <c r="T49" s="12" t="str">
        <f>IF(COUNT(R49:S49)=2,AVERAGE(R49:S49),"")</f>
      </c>
      <c r="U49" s="11"/>
      <c r="V49" s="11"/>
      <c r="W49" s="12" t="str">
        <f t="shared" si="3"/>
        <v/>
      </c>
      <c r="X49" s="12" t="str">
        <f t="shared" si="4"/>
        <v/>
      </c>
      <c r="Y49" s="12" t="str">
        <f>IF(COUNT(W49:X49)=2,AVERAGE(W49:X49),"")</f>
      </c>
      <c r="Z49" s="13" t="str">
        <f>IF(COUNT(L49:O49)+COUNT(U49:V49)&lt;6,"待导师填写",IF(AND(L49&gt;=0,M49&lt;=1,N49&gt;=0,O49&lt;=1,U49&gt;=0,V49&lt;=1,L49&lt;=M49,N49&lt;=O49,U49&lt;=V49,R49&lt;=S49,W49&lt;=X49,T49&gt;=1),"通过","检查"))</f>
      </c>
      <c r="AA49" s="14" t="s">
        <v>31</v>
      </c>
    </row>
    <row r="50" ht="31" customHeight="1" spans="1:27">
      <c r="A50" s="9"/>
      <c r="B50" s="9" t="s">
        <v>29</v>
      </c>
      <c r="C50" s="9" t="s">
        <v>30</v>
      </c>
      <c r="D50" s="10">
        <v>40</v>
      </c>
      <c r="E50" s="9" t="s">
        <v>27</v>
      </c>
      <c r="F50" s="10">
        <v>2</v>
      </c>
      <c r="G50" s="10">
        <v>40</v>
      </c>
      <c r="H50" s="10">
        <v>2</v>
      </c>
      <c r="I50" s="10">
        <v>3</v>
      </c>
      <c r="J50" s="10">
        <v>0.3</v>
      </c>
      <c r="K50" s="10">
        <v>0.2</v>
      </c>
      <c r="L50" s="11"/>
      <c r="M50" s="11"/>
      <c r="N50" s="11"/>
      <c r="O50" s="11"/>
      <c r="P50" s="11"/>
      <c r="Q50" s="11"/>
      <c r="R50" s="12" t="str">
        <f t="shared" si="0"/>
        <v/>
      </c>
      <c r="S50" s="12" t="str">
        <f t="shared" si="1"/>
        <v/>
      </c>
      <c r="T50" s="12" t="str">
        <f>IF(COUNT(R50:S50)=2,AVERAGE(R50:S50),"")</f>
      </c>
      <c r="U50" s="11"/>
      <c r="V50" s="11"/>
      <c r="W50" s="12" t="str">
        <f t="shared" si="3"/>
        <v/>
      </c>
      <c r="X50" s="12" t="str">
        <f t="shared" si="4"/>
        <v/>
      </c>
      <c r="Y50" s="12" t="str">
        <f>IF(COUNT(W50:X50)=2,AVERAGE(W50:X50),"")</f>
      </c>
      <c r="Z50" s="13" t="str">
        <f>IF(COUNT(L50:O50)+COUNT(U50:V50)&lt;6,"待导师填写",IF(AND(L50&gt;=0,M50&lt;=1,N50&gt;=0,O50&lt;=1,U50&gt;=0,V50&lt;=1,L50&lt;=M50,N50&lt;=O50,U50&lt;=V50,R50&lt;=S50,W50&lt;=X50,T50&gt;=1),"通过","检查"))</f>
      </c>
      <c r="AA50" s="14" t="s">
        <v>31</v>
      </c>
    </row>
    <row r="51" ht="31" customHeight="1" spans="1:27">
      <c r="A51" s="9"/>
      <c r="B51" s="9" t="s">
        <v>29</v>
      </c>
      <c r="C51" s="9" t="s">
        <v>30</v>
      </c>
      <c r="D51" s="10">
        <v>44</v>
      </c>
      <c r="E51" s="9" t="s">
        <v>27</v>
      </c>
      <c r="F51" s="10">
        <v>2</v>
      </c>
      <c r="G51" s="10">
        <v>44</v>
      </c>
      <c r="H51" s="10">
        <v>2</v>
      </c>
      <c r="I51" s="10">
        <v>3</v>
      </c>
      <c r="J51" s="10">
        <v>0.3</v>
      </c>
      <c r="K51" s="10">
        <v>0.2</v>
      </c>
      <c r="L51" s="11"/>
      <c r="M51" s="11"/>
      <c r="N51" s="11"/>
      <c r="O51" s="11"/>
      <c r="P51" s="11"/>
      <c r="Q51" s="11"/>
      <c r="R51" s="12" t="str">
        <f t="shared" si="0"/>
        <v/>
      </c>
      <c r="S51" s="12" t="str">
        <f t="shared" si="1"/>
        <v/>
      </c>
      <c r="T51" s="12" t="str">
        <f>IF(COUNT(R51:S51)=2,AVERAGE(R51:S51),"")</f>
      </c>
      <c r="U51" s="11"/>
      <c r="V51" s="11"/>
      <c r="W51" s="12" t="str">
        <f t="shared" si="3"/>
        <v/>
      </c>
      <c r="X51" s="12" t="str">
        <f t="shared" si="4"/>
        <v/>
      </c>
      <c r="Y51" s="12" t="str">
        <f>IF(COUNT(W51:X51)=2,AVERAGE(W51:X51),"")</f>
      </c>
      <c r="Z51" s="13" t="str">
        <f>IF(COUNT(L51:O51)+COUNT(U51:V51)&lt;6,"待导师填写",IF(AND(L51&gt;=0,M51&lt;=1,N51&gt;=0,O51&lt;=1,U51&gt;=0,V51&lt;=1,L51&lt;=M51,N51&lt;=O51,U51&lt;=V51,R51&lt;=S51,W51&lt;=X51,T51&gt;=1),"通过","检查"))</f>
      </c>
      <c r="AA51" s="14" t="s">
        <v>31</v>
      </c>
    </row>
    <row r="52" ht="31" customHeight="1" spans="1:27">
      <c r="A52" s="9"/>
      <c r="B52" s="9" t="s">
        <v>29</v>
      </c>
      <c r="C52" s="9" t="s">
        <v>30</v>
      </c>
      <c r="D52" s="10">
        <v>48</v>
      </c>
      <c r="E52" s="9" t="s">
        <v>27</v>
      </c>
      <c r="F52" s="10">
        <v>2</v>
      </c>
      <c r="G52" s="10">
        <v>48</v>
      </c>
      <c r="H52" s="10">
        <v>2</v>
      </c>
      <c r="I52" s="10">
        <v>3</v>
      </c>
      <c r="J52" s="10">
        <v>0.3</v>
      </c>
      <c r="K52" s="10">
        <v>0.2</v>
      </c>
      <c r="L52" s="11"/>
      <c r="M52" s="11"/>
      <c r="N52" s="11"/>
      <c r="O52" s="11"/>
      <c r="P52" s="11"/>
      <c r="Q52" s="11"/>
      <c r="R52" s="12" t="str">
        <f t="shared" si="0"/>
        <v/>
      </c>
      <c r="S52" s="12" t="str">
        <f t="shared" si="1"/>
        <v/>
      </c>
      <c r="T52" s="12" t="str">
        <f>IF(COUNT(R52:S52)=2,AVERAGE(R52:S52),"")</f>
      </c>
      <c r="U52" s="11"/>
      <c r="V52" s="11"/>
      <c r="W52" s="12" t="str">
        <f t="shared" si="3"/>
        <v/>
      </c>
      <c r="X52" s="12" t="str">
        <f t="shared" si="4"/>
        <v/>
      </c>
      <c r="Y52" s="12" t="str">
        <f>IF(COUNT(W52:X52)=2,AVERAGE(W52:X52),"")</f>
      </c>
      <c r="Z52" s="13" t="str">
        <f>IF(COUNT(L52:O52)+COUNT(U52:V52)&lt;6,"待导师填写",IF(AND(L52&gt;=0,M52&lt;=1,N52&gt;=0,O52&lt;=1,U52&gt;=0,V52&lt;=1,L52&lt;=M52,N52&lt;=O52,U52&lt;=V52,R52&lt;=S52,W52&lt;=X52,T52&gt;=1),"通过","检查"))</f>
      </c>
      <c r="AA52" s="14" t="s">
        <v>31</v>
      </c>
    </row>
    <row r="53" ht="31" customHeight="1" spans="1:27">
      <c r="A53" s="9"/>
      <c r="B53" s="9" t="s">
        <v>29</v>
      </c>
      <c r="C53" s="9" t="s">
        <v>30</v>
      </c>
      <c r="D53" s="10">
        <v>52</v>
      </c>
      <c r="E53" s="9" t="s">
        <v>27</v>
      </c>
      <c r="F53" s="10">
        <v>2</v>
      </c>
      <c r="G53" s="10">
        <v>52</v>
      </c>
      <c r="H53" s="10">
        <v>2</v>
      </c>
      <c r="I53" s="10">
        <v>3</v>
      </c>
      <c r="J53" s="10">
        <v>0.3</v>
      </c>
      <c r="K53" s="10">
        <v>0.2</v>
      </c>
      <c r="L53" s="11"/>
      <c r="M53" s="11"/>
      <c r="N53" s="11"/>
      <c r="O53" s="11"/>
      <c r="P53" s="11"/>
      <c r="Q53" s="11"/>
      <c r="R53" s="12" t="str">
        <f t="shared" si="0"/>
        <v/>
      </c>
      <c r="S53" s="12" t="str">
        <f t="shared" si="1"/>
        <v/>
      </c>
      <c r="T53" s="12" t="str">
        <f>IF(COUNT(R53:S53)=2,AVERAGE(R53:S53),"")</f>
      </c>
      <c r="U53" s="11"/>
      <c r="V53" s="11"/>
      <c r="W53" s="12" t="str">
        <f t="shared" si="3"/>
        <v/>
      </c>
      <c r="X53" s="12" t="str">
        <f t="shared" si="4"/>
        <v/>
      </c>
      <c r="Y53" s="12" t="str">
        <f>IF(COUNT(W53:X53)=2,AVERAGE(W53:X53),"")</f>
      </c>
      <c r="Z53" s="13" t="str">
        <f>IF(COUNT(L53:O53)+COUNT(U53:V53)&lt;6,"待导师填写",IF(AND(L53&gt;=0,M53&lt;=1,N53&gt;=0,O53&lt;=1,U53&gt;=0,V53&lt;=1,L53&lt;=M53,N53&lt;=O53,U53&lt;=V53,R53&lt;=S53,W53&lt;=X53,T53&gt;=1),"通过","检查"))</f>
      </c>
      <c r="AA53" s="14" t="s">
        <v>31</v>
      </c>
    </row>
    <row r="54" ht="31" customHeight="1" spans="1:27">
      <c r="A54" s="9"/>
      <c r="B54" s="9" t="s">
        <v>29</v>
      </c>
      <c r="C54" s="9" t="s">
        <v>30</v>
      </c>
      <c r="D54" s="10">
        <v>8</v>
      </c>
      <c r="E54" s="9" t="s">
        <v>27</v>
      </c>
      <c r="F54" s="10">
        <v>3</v>
      </c>
      <c r="G54" s="10">
        <v>8</v>
      </c>
      <c r="H54" s="10">
        <v>3</v>
      </c>
      <c r="I54" s="10">
        <v>3</v>
      </c>
      <c r="J54" s="10">
        <v>0.3</v>
      </c>
      <c r="K54" s="10">
        <v>0.2</v>
      </c>
      <c r="L54" s="11"/>
      <c r="M54" s="11"/>
      <c r="N54" s="11"/>
      <c r="O54" s="11"/>
      <c r="P54" s="11"/>
      <c r="Q54" s="11"/>
      <c r="R54" s="12" t="str">
        <f t="shared" si="0"/>
        <v/>
      </c>
      <c r="S54" s="12" t="str">
        <f t="shared" si="1"/>
        <v/>
      </c>
      <c r="T54" s="12" t="str">
        <f>IF(COUNT(R54:S54)=2,AVERAGE(R54:S54),"")</f>
      </c>
      <c r="U54" s="11"/>
      <c r="V54" s="11"/>
      <c r="W54" s="12" t="str">
        <f t="shared" si="3"/>
        <v/>
      </c>
      <c r="X54" s="12" t="str">
        <f t="shared" si="4"/>
        <v/>
      </c>
      <c r="Y54" s="12" t="str">
        <f>IF(COUNT(W54:X54)=2,AVERAGE(W54:X54),"")</f>
      </c>
      <c r="Z54" s="13" t="str">
        <f>IF(COUNT(L54:O54)+COUNT(U54:V54)&lt;6,"待导师填写",IF(AND(L54&gt;=0,M54&lt;=1,N54&gt;=0,O54&lt;=1,U54&gt;=0,V54&lt;=1,L54&lt;=M54,N54&lt;=O54,U54&lt;=V54,R54&lt;=S54,W54&lt;=X54,T54&gt;=1),"通过","检查"))</f>
      </c>
      <c r="AA54" s="14" t="s">
        <v>31</v>
      </c>
    </row>
    <row r="55" ht="31" customHeight="1" spans="1:27">
      <c r="A55" s="9"/>
      <c r="B55" s="9" t="s">
        <v>29</v>
      </c>
      <c r="C55" s="9" t="s">
        <v>30</v>
      </c>
      <c r="D55" s="10">
        <v>12</v>
      </c>
      <c r="E55" s="9" t="s">
        <v>27</v>
      </c>
      <c r="F55" s="10">
        <v>3</v>
      </c>
      <c r="G55" s="10">
        <v>12</v>
      </c>
      <c r="H55" s="10">
        <v>3</v>
      </c>
      <c r="I55" s="10">
        <v>3</v>
      </c>
      <c r="J55" s="10">
        <v>0.3</v>
      </c>
      <c r="K55" s="10">
        <v>0.2</v>
      </c>
      <c r="L55" s="11"/>
      <c r="M55" s="11"/>
      <c r="N55" s="11"/>
      <c r="O55" s="11"/>
      <c r="P55" s="11"/>
      <c r="Q55" s="11"/>
      <c r="R55" s="12" t="str">
        <f t="shared" si="0"/>
        <v/>
      </c>
      <c r="S55" s="12" t="str">
        <f t="shared" si="1"/>
        <v/>
      </c>
      <c r="T55" s="12" t="str">
        <f>IF(COUNT(R55:S55)=2,AVERAGE(R55:S55),"")</f>
      </c>
      <c r="U55" s="11"/>
      <c r="V55" s="11"/>
      <c r="W55" s="12" t="str">
        <f t="shared" si="3"/>
        <v/>
      </c>
      <c r="X55" s="12" t="str">
        <f t="shared" si="4"/>
        <v/>
      </c>
      <c r="Y55" s="12" t="str">
        <f>IF(COUNT(W55:X55)=2,AVERAGE(W55:X55),"")</f>
      </c>
      <c r="Z55" s="13" t="str">
        <f>IF(COUNT(L55:O55)+COUNT(U55:V55)&lt;6,"待导师填写",IF(AND(L55&gt;=0,M55&lt;=1,N55&gt;=0,O55&lt;=1,U55&gt;=0,V55&lt;=1,L55&lt;=M55,N55&lt;=O55,U55&lt;=V55,R55&lt;=S55,W55&lt;=X55,T55&gt;=1),"通过","检查"))</f>
      </c>
      <c r="AA55" s="14" t="s">
        <v>31</v>
      </c>
    </row>
    <row r="56" ht="31" customHeight="1" spans="1:27">
      <c r="A56" s="9"/>
      <c r="B56" s="9" t="s">
        <v>29</v>
      </c>
      <c r="C56" s="9" t="s">
        <v>30</v>
      </c>
      <c r="D56" s="10">
        <v>16</v>
      </c>
      <c r="E56" s="9" t="s">
        <v>27</v>
      </c>
      <c r="F56" s="10">
        <v>3</v>
      </c>
      <c r="G56" s="10">
        <v>16</v>
      </c>
      <c r="H56" s="10">
        <v>3</v>
      </c>
      <c r="I56" s="10">
        <v>3</v>
      </c>
      <c r="J56" s="10">
        <v>0.3</v>
      </c>
      <c r="K56" s="10">
        <v>0.2</v>
      </c>
      <c r="L56" s="11"/>
      <c r="M56" s="11"/>
      <c r="N56" s="11"/>
      <c r="O56" s="11"/>
      <c r="P56" s="11"/>
      <c r="Q56" s="11"/>
      <c r="R56" s="12" t="str">
        <f t="shared" si="0"/>
        <v/>
      </c>
      <c r="S56" s="12" t="str">
        <f t="shared" si="1"/>
        <v/>
      </c>
      <c r="T56" s="12" t="str">
        <f>IF(COUNT(R56:S56)=2,AVERAGE(R56:S56),"")</f>
      </c>
      <c r="U56" s="11"/>
      <c r="V56" s="11"/>
      <c r="W56" s="12" t="str">
        <f t="shared" si="3"/>
        <v/>
      </c>
      <c r="X56" s="12" t="str">
        <f t="shared" si="4"/>
        <v/>
      </c>
      <c r="Y56" s="12" t="str">
        <f>IF(COUNT(W56:X56)=2,AVERAGE(W56:X56),"")</f>
      </c>
      <c r="Z56" s="13" t="str">
        <f>IF(COUNT(L56:O56)+COUNT(U56:V56)&lt;6,"待导师填写",IF(AND(L56&gt;=0,M56&lt;=1,N56&gt;=0,O56&lt;=1,U56&gt;=0,V56&lt;=1,L56&lt;=M56,N56&lt;=O56,U56&lt;=V56,R56&lt;=S56,W56&lt;=X56,T56&gt;=1),"通过","检查"))</f>
      </c>
      <c r="AA56" s="14" t="s">
        <v>31</v>
      </c>
    </row>
    <row r="57" ht="31" customHeight="1" spans="1:27">
      <c r="A57" s="9"/>
      <c r="B57" s="9" t="s">
        <v>29</v>
      </c>
      <c r="C57" s="9" t="s">
        <v>30</v>
      </c>
      <c r="D57" s="10">
        <v>20</v>
      </c>
      <c r="E57" s="9" t="s">
        <v>27</v>
      </c>
      <c r="F57" s="10">
        <v>3</v>
      </c>
      <c r="G57" s="10">
        <v>20</v>
      </c>
      <c r="H57" s="10">
        <v>3</v>
      </c>
      <c r="I57" s="10">
        <v>3</v>
      </c>
      <c r="J57" s="10">
        <v>0.3</v>
      </c>
      <c r="K57" s="10">
        <v>0.2</v>
      </c>
      <c r="L57" s="11"/>
      <c r="M57" s="11"/>
      <c r="N57" s="11"/>
      <c r="O57" s="11"/>
      <c r="P57" s="11"/>
      <c r="Q57" s="11"/>
      <c r="R57" s="12" t="str">
        <f t="shared" si="0"/>
        <v/>
      </c>
      <c r="S57" s="12" t="str">
        <f t="shared" si="1"/>
        <v/>
      </c>
      <c r="T57" s="12" t="str">
        <f>IF(COUNT(R57:S57)=2,AVERAGE(R57:S57),"")</f>
      </c>
      <c r="U57" s="11"/>
      <c r="V57" s="11"/>
      <c r="W57" s="12" t="str">
        <f t="shared" si="3"/>
        <v/>
      </c>
      <c r="X57" s="12" t="str">
        <f t="shared" si="4"/>
        <v/>
      </c>
      <c r="Y57" s="12" t="str">
        <f>IF(COUNT(W57:X57)=2,AVERAGE(W57:X57),"")</f>
      </c>
      <c r="Z57" s="13" t="str">
        <f>IF(COUNT(L57:O57)+COUNT(U57:V57)&lt;6,"待导师填写",IF(AND(L57&gt;=0,M57&lt;=1,N57&gt;=0,O57&lt;=1,U57&gt;=0,V57&lt;=1,L57&lt;=M57,N57&lt;=O57,U57&lt;=V57,R57&lt;=S57,W57&lt;=X57,T57&gt;=1),"通过","检查"))</f>
      </c>
      <c r="AA57" s="14" t="s">
        <v>31</v>
      </c>
    </row>
    <row r="58" ht="31" customHeight="1" spans="1:27">
      <c r="A58" s="9"/>
      <c r="B58" s="9" t="s">
        <v>29</v>
      </c>
      <c r="C58" s="9" t="s">
        <v>30</v>
      </c>
      <c r="D58" s="10">
        <v>24</v>
      </c>
      <c r="E58" s="9" t="s">
        <v>27</v>
      </c>
      <c r="F58" s="10">
        <v>3</v>
      </c>
      <c r="G58" s="10">
        <v>24</v>
      </c>
      <c r="H58" s="10">
        <v>3</v>
      </c>
      <c r="I58" s="10">
        <v>3</v>
      </c>
      <c r="J58" s="10">
        <v>0.3</v>
      </c>
      <c r="K58" s="10">
        <v>0.2</v>
      </c>
      <c r="L58" s="11"/>
      <c r="M58" s="11"/>
      <c r="N58" s="11"/>
      <c r="O58" s="11"/>
      <c r="P58" s="11"/>
      <c r="Q58" s="11"/>
      <c r="R58" s="12" t="str">
        <f t="shared" si="0"/>
        <v/>
      </c>
      <c r="S58" s="12" t="str">
        <f t="shared" si="1"/>
        <v/>
      </c>
      <c r="T58" s="12" t="str">
        <f>IF(COUNT(R58:S58)=2,AVERAGE(R58:S58),"")</f>
      </c>
      <c r="U58" s="11"/>
      <c r="V58" s="11"/>
      <c r="W58" s="12" t="str">
        <f t="shared" si="3"/>
        <v/>
      </c>
      <c r="X58" s="12" t="str">
        <f t="shared" si="4"/>
        <v/>
      </c>
      <c r="Y58" s="12" t="str">
        <f>IF(COUNT(W58:X58)=2,AVERAGE(W58:X58),"")</f>
      </c>
      <c r="Z58" s="13" t="str">
        <f>IF(COUNT(L58:O58)+COUNT(U58:V58)&lt;6,"待导师填写",IF(AND(L58&gt;=0,M58&lt;=1,N58&gt;=0,O58&lt;=1,U58&gt;=0,V58&lt;=1,L58&lt;=M58,N58&lt;=O58,U58&lt;=V58,R58&lt;=S58,W58&lt;=X58,T58&gt;=1),"通过","检查"))</f>
      </c>
      <c r="AA58" s="14" t="s">
        <v>31</v>
      </c>
    </row>
    <row r="59" ht="31" customHeight="1" spans="1:27">
      <c r="A59" s="9"/>
      <c r="B59" s="9" t="s">
        <v>29</v>
      </c>
      <c r="C59" s="9" t="s">
        <v>30</v>
      </c>
      <c r="D59" s="10">
        <v>28</v>
      </c>
      <c r="E59" s="9" t="s">
        <v>27</v>
      </c>
      <c r="F59" s="10">
        <v>3</v>
      </c>
      <c r="G59" s="10">
        <v>28</v>
      </c>
      <c r="H59" s="10">
        <v>3</v>
      </c>
      <c r="I59" s="10">
        <v>3</v>
      </c>
      <c r="J59" s="10">
        <v>0.3</v>
      </c>
      <c r="K59" s="10">
        <v>0.2</v>
      </c>
      <c r="L59" s="11"/>
      <c r="M59" s="11"/>
      <c r="N59" s="11"/>
      <c r="O59" s="11"/>
      <c r="P59" s="11"/>
      <c r="Q59" s="11"/>
      <c r="R59" s="12" t="str">
        <f t="shared" si="0"/>
        <v/>
      </c>
      <c r="S59" s="12" t="str">
        <f t="shared" si="1"/>
        <v/>
      </c>
      <c r="T59" s="12" t="str">
        <f>IF(COUNT(R59:S59)=2,AVERAGE(R59:S59),"")</f>
      </c>
      <c r="U59" s="11"/>
      <c r="V59" s="11"/>
      <c r="W59" s="12" t="str">
        <f t="shared" si="3"/>
        <v/>
      </c>
      <c r="X59" s="12" t="str">
        <f t="shared" si="4"/>
        <v/>
      </c>
      <c r="Y59" s="12" t="str">
        <f>IF(COUNT(W59:X59)=2,AVERAGE(W59:X59),"")</f>
      </c>
      <c r="Z59" s="13" t="str">
        <f>IF(COUNT(L59:O59)+COUNT(U59:V59)&lt;6,"待导师填写",IF(AND(L59&gt;=0,M59&lt;=1,N59&gt;=0,O59&lt;=1,U59&gt;=0,V59&lt;=1,L59&lt;=M59,N59&lt;=O59,U59&lt;=V59,R59&lt;=S59,W59&lt;=X59,T59&gt;=1),"通过","检查"))</f>
      </c>
      <c r="AA59" s="14" t="s">
        <v>31</v>
      </c>
    </row>
    <row r="60" ht="31" customHeight="1" spans="1:27">
      <c r="A60" s="9"/>
      <c r="B60" s="9" t="s">
        <v>29</v>
      </c>
      <c r="C60" s="9" t="s">
        <v>30</v>
      </c>
      <c r="D60" s="10">
        <v>32</v>
      </c>
      <c r="E60" s="9" t="s">
        <v>27</v>
      </c>
      <c r="F60" s="10">
        <v>3</v>
      </c>
      <c r="G60" s="10">
        <v>32</v>
      </c>
      <c r="H60" s="10">
        <v>3</v>
      </c>
      <c r="I60" s="10">
        <v>3</v>
      </c>
      <c r="J60" s="10">
        <v>0.3</v>
      </c>
      <c r="K60" s="10">
        <v>0.2</v>
      </c>
      <c r="L60" s="11"/>
      <c r="M60" s="11"/>
      <c r="N60" s="11"/>
      <c r="O60" s="11"/>
      <c r="P60" s="11"/>
      <c r="Q60" s="11"/>
      <c r="R60" s="12" t="str">
        <f t="shared" si="0"/>
        <v/>
      </c>
      <c r="S60" s="12" t="str">
        <f t="shared" si="1"/>
        <v/>
      </c>
      <c r="T60" s="12" t="str">
        <f>IF(COUNT(R60:S60)=2,AVERAGE(R60:S60),"")</f>
      </c>
      <c r="U60" s="11"/>
      <c r="V60" s="11"/>
      <c r="W60" s="12" t="str">
        <f t="shared" si="3"/>
        <v/>
      </c>
      <c r="X60" s="12" t="str">
        <f t="shared" si="4"/>
        <v/>
      </c>
      <c r="Y60" s="12" t="str">
        <f>IF(COUNT(W60:X60)=2,AVERAGE(W60:X60),"")</f>
      </c>
      <c r="Z60" s="13" t="str">
        <f>IF(COUNT(L60:O60)+COUNT(U60:V60)&lt;6,"待导师填写",IF(AND(L60&gt;=0,M60&lt;=1,N60&gt;=0,O60&lt;=1,U60&gt;=0,V60&lt;=1,L60&lt;=M60,N60&lt;=O60,U60&lt;=V60,R60&lt;=S60,W60&lt;=X60,T60&gt;=1),"通过","检查"))</f>
      </c>
      <c r="AA60" s="14" t="s">
        <v>31</v>
      </c>
    </row>
    <row r="61" ht="31" customHeight="1" spans="1:27">
      <c r="A61" s="9"/>
      <c r="B61" s="9" t="s">
        <v>29</v>
      </c>
      <c r="C61" s="9" t="s">
        <v>30</v>
      </c>
      <c r="D61" s="10">
        <v>36</v>
      </c>
      <c r="E61" s="9" t="s">
        <v>27</v>
      </c>
      <c r="F61" s="10">
        <v>3</v>
      </c>
      <c r="G61" s="10">
        <v>36</v>
      </c>
      <c r="H61" s="10">
        <v>3</v>
      </c>
      <c r="I61" s="10">
        <v>3</v>
      </c>
      <c r="J61" s="10">
        <v>0.3</v>
      </c>
      <c r="K61" s="10">
        <v>0.2</v>
      </c>
      <c r="L61" s="11"/>
      <c r="M61" s="11"/>
      <c r="N61" s="11"/>
      <c r="O61" s="11"/>
      <c r="P61" s="11"/>
      <c r="Q61" s="11"/>
      <c r="R61" s="12" t="str">
        <f t="shared" si="0"/>
        <v/>
      </c>
      <c r="S61" s="12" t="str">
        <f t="shared" si="1"/>
        <v/>
      </c>
      <c r="T61" s="12" t="str">
        <f>IF(COUNT(R61:S61)=2,AVERAGE(R61:S61),"")</f>
      </c>
      <c r="U61" s="11"/>
      <c r="V61" s="11"/>
      <c r="W61" s="12" t="str">
        <f t="shared" si="3"/>
        <v/>
      </c>
      <c r="X61" s="12" t="str">
        <f t="shared" si="4"/>
        <v/>
      </c>
      <c r="Y61" s="12" t="str">
        <f>IF(COUNT(W61:X61)=2,AVERAGE(W61:X61),"")</f>
      </c>
      <c r="Z61" s="13" t="str">
        <f>IF(COUNT(L61:O61)+COUNT(U61:V61)&lt;6,"待导师填写",IF(AND(L61&gt;=0,M61&lt;=1,N61&gt;=0,O61&lt;=1,U61&gt;=0,V61&lt;=1,L61&lt;=M61,N61&lt;=O61,U61&lt;=V61,R61&lt;=S61,W61&lt;=X61,T61&gt;=1),"通过","检查"))</f>
      </c>
      <c r="AA61" s="14" t="s">
        <v>31</v>
      </c>
    </row>
    <row r="62" ht="31" customHeight="1" spans="1:27">
      <c r="A62" s="9"/>
      <c r="B62" s="9" t="s">
        <v>29</v>
      </c>
      <c r="C62" s="9" t="s">
        <v>30</v>
      </c>
      <c r="D62" s="10">
        <v>40</v>
      </c>
      <c r="E62" s="9" t="s">
        <v>27</v>
      </c>
      <c r="F62" s="10">
        <v>3</v>
      </c>
      <c r="G62" s="10">
        <v>40</v>
      </c>
      <c r="H62" s="10">
        <v>3</v>
      </c>
      <c r="I62" s="10">
        <v>3</v>
      </c>
      <c r="J62" s="10">
        <v>0.3</v>
      </c>
      <c r="K62" s="10">
        <v>0.2</v>
      </c>
      <c r="L62" s="11"/>
      <c r="M62" s="11"/>
      <c r="N62" s="11"/>
      <c r="O62" s="11"/>
      <c r="P62" s="11"/>
      <c r="Q62" s="11"/>
      <c r="R62" s="12" t="str">
        <f t="shared" si="0"/>
        <v/>
      </c>
      <c r="S62" s="12" t="str">
        <f t="shared" si="1"/>
        <v/>
      </c>
      <c r="T62" s="12" t="str">
        <f>IF(COUNT(R62:S62)=2,AVERAGE(R62:S62),"")</f>
      </c>
      <c r="U62" s="11"/>
      <c r="V62" s="11"/>
      <c r="W62" s="12" t="str">
        <f t="shared" si="3"/>
        <v/>
      </c>
      <c r="X62" s="12" t="str">
        <f t="shared" si="4"/>
        <v/>
      </c>
      <c r="Y62" s="12" t="str">
        <f>IF(COUNT(W62:X62)=2,AVERAGE(W62:X62),"")</f>
      </c>
      <c r="Z62" s="13" t="str">
        <f>IF(COUNT(L62:O62)+COUNT(U62:V62)&lt;6,"待导师填写",IF(AND(L62&gt;=0,M62&lt;=1,N62&gt;=0,O62&lt;=1,U62&gt;=0,V62&lt;=1,L62&lt;=M62,N62&lt;=O62,U62&lt;=V62,R62&lt;=S62,W62&lt;=X62,T62&gt;=1),"通过","检查"))</f>
      </c>
      <c r="AA62" s="14" t="s">
        <v>31</v>
      </c>
    </row>
    <row r="63" ht="31" customHeight="1" spans="1:27">
      <c r="A63" s="9"/>
      <c r="B63" s="9" t="s">
        <v>29</v>
      </c>
      <c r="C63" s="9" t="s">
        <v>30</v>
      </c>
      <c r="D63" s="10">
        <v>44</v>
      </c>
      <c r="E63" s="9" t="s">
        <v>27</v>
      </c>
      <c r="F63" s="10">
        <v>3</v>
      </c>
      <c r="G63" s="10">
        <v>44</v>
      </c>
      <c r="H63" s="10">
        <v>3</v>
      </c>
      <c r="I63" s="10">
        <v>3</v>
      </c>
      <c r="J63" s="10">
        <v>0.3</v>
      </c>
      <c r="K63" s="10">
        <v>0.2</v>
      </c>
      <c r="L63" s="11"/>
      <c r="M63" s="11"/>
      <c r="N63" s="11"/>
      <c r="O63" s="11"/>
      <c r="P63" s="11"/>
      <c r="Q63" s="11"/>
      <c r="R63" s="12" t="str">
        <f t="shared" si="0"/>
        <v/>
      </c>
      <c r="S63" s="12" t="str">
        <f t="shared" si="1"/>
        <v/>
      </c>
      <c r="T63" s="12" t="str">
        <f>IF(COUNT(R63:S63)=2,AVERAGE(R63:S63),"")</f>
      </c>
      <c r="U63" s="11"/>
      <c r="V63" s="11"/>
      <c r="W63" s="12" t="str">
        <f t="shared" si="3"/>
        <v/>
      </c>
      <c r="X63" s="12" t="str">
        <f t="shared" si="4"/>
        <v/>
      </c>
      <c r="Y63" s="12" t="str">
        <f>IF(COUNT(W63:X63)=2,AVERAGE(W63:X63),"")</f>
      </c>
      <c r="Z63" s="13" t="str">
        <f>IF(COUNT(L63:O63)+COUNT(U63:V63)&lt;6,"待导师填写",IF(AND(L63&gt;=0,M63&lt;=1,N63&gt;=0,O63&lt;=1,U63&gt;=0,V63&lt;=1,L63&lt;=M63,N63&lt;=O63,U63&lt;=V63,R63&lt;=S63,W63&lt;=X63,T63&gt;=1),"通过","检查"))</f>
      </c>
      <c r="AA63" s="14" t="s">
        <v>31</v>
      </c>
    </row>
    <row r="64" ht="31" customHeight="1" spans="1:27">
      <c r="A64" s="9"/>
      <c r="B64" s="9" t="s">
        <v>29</v>
      </c>
      <c r="C64" s="9" t="s">
        <v>30</v>
      </c>
      <c r="D64" s="10">
        <v>48</v>
      </c>
      <c r="E64" s="9" t="s">
        <v>27</v>
      </c>
      <c r="F64" s="10">
        <v>3</v>
      </c>
      <c r="G64" s="10">
        <v>48</v>
      </c>
      <c r="H64" s="10">
        <v>3</v>
      </c>
      <c r="I64" s="10">
        <v>3</v>
      </c>
      <c r="J64" s="10">
        <v>0.3</v>
      </c>
      <c r="K64" s="10">
        <v>0.2</v>
      </c>
      <c r="L64" s="11"/>
      <c r="M64" s="11"/>
      <c r="N64" s="11"/>
      <c r="O64" s="11"/>
      <c r="P64" s="11"/>
      <c r="Q64" s="11"/>
      <c r="R64" s="12" t="str">
        <f t="shared" si="0"/>
        <v/>
      </c>
      <c r="S64" s="12" t="str">
        <f t="shared" si="1"/>
        <v/>
      </c>
      <c r="T64" s="12" t="str">
        <f>IF(COUNT(R64:S64)=2,AVERAGE(R64:S64),"")</f>
      </c>
      <c r="U64" s="11"/>
      <c r="V64" s="11"/>
      <c r="W64" s="12" t="str">
        <f t="shared" si="3"/>
        <v/>
      </c>
      <c r="X64" s="12" t="str">
        <f t="shared" si="4"/>
        <v/>
      </c>
      <c r="Y64" s="12" t="str">
        <f>IF(COUNT(W64:X64)=2,AVERAGE(W64:X64),"")</f>
      </c>
      <c r="Z64" s="13" t="str">
        <f>IF(COUNT(L64:O64)+COUNT(U64:V64)&lt;6,"待导师填写",IF(AND(L64&gt;=0,M64&lt;=1,N64&gt;=0,O64&lt;=1,U64&gt;=0,V64&lt;=1,L64&lt;=M64,N64&lt;=O64,U64&lt;=V64,R64&lt;=S64,W64&lt;=X64,T64&gt;=1),"通过","检查"))</f>
      </c>
      <c r="AA64" s="14" t="s">
        <v>31</v>
      </c>
    </row>
    <row r="65" ht="31" customHeight="1" spans="1:27">
      <c r="A65" s="9"/>
      <c r="B65" s="9" t="s">
        <v>29</v>
      </c>
      <c r="C65" s="9" t="s">
        <v>30</v>
      </c>
      <c r="D65" s="10">
        <v>52</v>
      </c>
      <c r="E65" s="9" t="s">
        <v>27</v>
      </c>
      <c r="F65" s="10">
        <v>3</v>
      </c>
      <c r="G65" s="10">
        <v>52</v>
      </c>
      <c r="H65" s="10">
        <v>3</v>
      </c>
      <c r="I65" s="10">
        <v>3</v>
      </c>
      <c r="J65" s="10">
        <v>0.3</v>
      </c>
      <c r="K65" s="10">
        <v>0.2</v>
      </c>
      <c r="L65" s="11"/>
      <c r="M65" s="11"/>
      <c r="N65" s="11"/>
      <c r="O65" s="11"/>
      <c r="P65" s="11"/>
      <c r="Q65" s="11"/>
      <c r="R65" s="12" t="str">
        <f t="shared" si="0"/>
        <v/>
      </c>
      <c r="S65" s="12" t="str">
        <f t="shared" si="1"/>
        <v/>
      </c>
      <c r="T65" s="12" t="str">
        <f>IF(COUNT(R65:S65)=2,AVERAGE(R65:S65),"")</f>
      </c>
      <c r="U65" s="11"/>
      <c r="V65" s="11"/>
      <c r="W65" s="12" t="str">
        <f t="shared" si="3"/>
        <v/>
      </c>
      <c r="X65" s="12" t="str">
        <f t="shared" si="4"/>
        <v/>
      </c>
      <c r="Y65" s="12" t="str">
        <f>IF(COUNT(W65:X65)=2,AVERAGE(W65:X65),"")</f>
      </c>
      <c r="Z65" s="13" t="str">
        <f>IF(COUNT(L65:O65)+COUNT(U65:V65)&lt;6,"待导师填写",IF(AND(L65&gt;=0,M65&lt;=1,N65&gt;=0,O65&lt;=1,U65&gt;=0,V65&lt;=1,L65&lt;=M65,N65&lt;=O65,U65&lt;=V65,R65&lt;=S65,W65&lt;=X65,T65&gt;=1),"通过","检查"))</f>
      </c>
      <c r="AA65" s="14" t="s">
        <v>31</v>
      </c>
    </row>
    <row r="66" ht="31" customHeight="1" spans="1:27">
      <c r="A66" s="9"/>
      <c r="B66" s="9" t="s">
        <v>32</v>
      </c>
      <c r="C66" s="9" t="s">
        <v>30</v>
      </c>
      <c r="D66" s="10">
        <v>8</v>
      </c>
      <c r="E66" s="9" t="s">
        <v>26</v>
      </c>
      <c r="F66" s="10">
        <v>0.1</v>
      </c>
      <c r="G66" s="10">
        <v>8</v>
      </c>
      <c r="H66" s="10">
        <v>1</v>
      </c>
      <c r="I66" s="10">
        <v>3</v>
      </c>
      <c r="J66" s="10">
        <v>0.1</v>
      </c>
      <c r="K66" s="10">
        <v>0.2</v>
      </c>
      <c r="L66" s="11"/>
      <c r="M66" s="11"/>
      <c r="N66" s="11"/>
      <c r="O66" s="11"/>
      <c r="P66" s="11"/>
      <c r="Q66" s="11"/>
      <c r="R66" s="12" t="str">
        <f t="shared" si="0"/>
        <v/>
      </c>
      <c r="S66" s="12" t="str">
        <f t="shared" si="1"/>
        <v/>
      </c>
      <c r="T66" s="12" t="str">
        <f>IF(COUNT(R66:S66)=2,AVERAGE(R66:S66),"")</f>
      </c>
      <c r="U66" s="11"/>
      <c r="V66" s="11"/>
      <c r="W66" s="12" t="str">
        <f t="shared" si="3"/>
        <v/>
      </c>
      <c r="X66" s="12" t="str">
        <f t="shared" si="4"/>
        <v/>
      </c>
      <c r="Y66" s="12" t="str">
        <f>IF(COUNT(W66:X66)=2,AVERAGE(W66:X66),"")</f>
      </c>
      <c r="Z66" s="13" t="str">
        <f>IF(COUNT(L66:O66)+COUNT(U66:V66)&lt;6,"待导师填写",IF(AND(L66&gt;=0,M66&lt;=1,N66&gt;=0,O66&lt;=1,U66&gt;=0,V66&lt;=1,L66&lt;=M66,N66&lt;=O66,U66&lt;=V66,R66&lt;=S66,W66&lt;=X66,T66&gt;=1),"通过","检查"))</f>
      </c>
      <c r="AA66" s="14" t="s">
        <v>33</v>
      </c>
    </row>
    <row r="67" ht="31" customHeight="1" spans="1:27">
      <c r="A67" s="9"/>
      <c r="B67" s="9" t="s">
        <v>32</v>
      </c>
      <c r="C67" s="9" t="s">
        <v>30</v>
      </c>
      <c r="D67" s="10">
        <v>12</v>
      </c>
      <c r="E67" s="9" t="s">
        <v>26</v>
      </c>
      <c r="F67" s="10">
        <v>0.1</v>
      </c>
      <c r="G67" s="10">
        <v>12</v>
      </c>
      <c r="H67" s="10">
        <v>1</v>
      </c>
      <c r="I67" s="10">
        <v>3</v>
      </c>
      <c r="J67" s="10">
        <v>0.1</v>
      </c>
      <c r="K67" s="10">
        <v>0.2</v>
      </c>
      <c r="L67" s="11"/>
      <c r="M67" s="11"/>
      <c r="N67" s="11"/>
      <c r="O67" s="11"/>
      <c r="P67" s="11"/>
      <c r="Q67" s="11"/>
      <c r="R67" s="12" t="str">
        <f t="shared" ref="R67:R130" si="8">IFERROR(L67/O67,"")</f>
        <v/>
      </c>
      <c r="S67" s="12" t="str">
        <f t="shared" ref="S67:S130" si="9">IFERROR(M67/N67,"")</f>
        <v/>
      </c>
      <c r="T67" s="12" t="str">
        <f>IF(COUNT(R67:S67)=2,AVERAGE(R67:S67),"")</f>
      </c>
      <c r="U67" s="11"/>
      <c r="V67" s="11"/>
      <c r="W67" s="12" t="str">
        <f t="shared" ref="W67:W130" si="11">IFERROR(U67/M67,"")</f>
        <v/>
      </c>
      <c r="X67" s="12" t="str">
        <f t="shared" ref="X67:X130" si="12">IFERROR(V67/L67,"")</f>
        <v/>
      </c>
      <c r="Y67" s="12" t="str">
        <f>IF(COUNT(W67:X67)=2,AVERAGE(W67:X67),"")</f>
      </c>
      <c r="Z67" s="13" t="str">
        <f>IF(COUNT(L67:O67)+COUNT(U67:V67)&lt;6,"待导师填写",IF(AND(L67&gt;=0,M67&lt;=1,N67&gt;=0,O67&lt;=1,U67&gt;=0,V67&lt;=1,L67&lt;=M67,N67&lt;=O67,U67&lt;=V67,R67&lt;=S67,W67&lt;=X67,T67&gt;=1),"通过","检查"))</f>
      </c>
      <c r="AA67" s="14" t="s">
        <v>33</v>
      </c>
    </row>
    <row r="68" ht="31" customHeight="1" spans="1:27">
      <c r="A68" s="9"/>
      <c r="B68" s="9" t="s">
        <v>32</v>
      </c>
      <c r="C68" s="9" t="s">
        <v>30</v>
      </c>
      <c r="D68" s="10">
        <v>16</v>
      </c>
      <c r="E68" s="9" t="s">
        <v>26</v>
      </c>
      <c r="F68" s="10">
        <v>0.1</v>
      </c>
      <c r="G68" s="10">
        <v>16</v>
      </c>
      <c r="H68" s="10">
        <v>1</v>
      </c>
      <c r="I68" s="10">
        <v>3</v>
      </c>
      <c r="J68" s="10">
        <v>0.1</v>
      </c>
      <c r="K68" s="10">
        <v>0.2</v>
      </c>
      <c r="L68" s="11"/>
      <c r="M68" s="11"/>
      <c r="N68" s="11"/>
      <c r="O68" s="11"/>
      <c r="P68" s="11"/>
      <c r="Q68" s="11"/>
      <c r="R68" s="12" t="str">
        <f t="shared" si="8"/>
        <v/>
      </c>
      <c r="S68" s="12" t="str">
        <f t="shared" si="9"/>
        <v/>
      </c>
      <c r="T68" s="12" t="str">
        <f>IF(COUNT(R68:S68)=2,AVERAGE(R68:S68),"")</f>
      </c>
      <c r="U68" s="11"/>
      <c r="V68" s="11"/>
      <c r="W68" s="12" t="str">
        <f t="shared" si="11"/>
        <v/>
      </c>
      <c r="X68" s="12" t="str">
        <f t="shared" si="12"/>
        <v/>
      </c>
      <c r="Y68" s="12" t="str">
        <f>IF(COUNT(W68:X68)=2,AVERAGE(W68:X68),"")</f>
      </c>
      <c r="Z68" s="13" t="str">
        <f>IF(COUNT(L68:O68)+COUNT(U68:V68)&lt;6,"待导师填写",IF(AND(L68&gt;=0,M68&lt;=1,N68&gt;=0,O68&lt;=1,U68&gt;=0,V68&lt;=1,L68&lt;=M68,N68&lt;=O68,U68&lt;=V68,R68&lt;=S68,W68&lt;=X68,T68&gt;=1),"通过","检查"))</f>
      </c>
      <c r="AA68" s="14" t="s">
        <v>33</v>
      </c>
    </row>
    <row r="69" ht="31" customHeight="1" spans="1:27">
      <c r="A69" s="9"/>
      <c r="B69" s="9" t="s">
        <v>32</v>
      </c>
      <c r="C69" s="9" t="s">
        <v>30</v>
      </c>
      <c r="D69" s="10">
        <v>20</v>
      </c>
      <c r="E69" s="9" t="s">
        <v>26</v>
      </c>
      <c r="F69" s="10">
        <v>0.1</v>
      </c>
      <c r="G69" s="10">
        <v>20</v>
      </c>
      <c r="H69" s="10">
        <v>1</v>
      </c>
      <c r="I69" s="10">
        <v>3</v>
      </c>
      <c r="J69" s="10">
        <v>0.1</v>
      </c>
      <c r="K69" s="10">
        <v>0.2</v>
      </c>
      <c r="L69" s="11"/>
      <c r="M69" s="11"/>
      <c r="N69" s="11"/>
      <c r="O69" s="11"/>
      <c r="P69" s="11"/>
      <c r="Q69" s="11"/>
      <c r="R69" s="12" t="str">
        <f t="shared" si="8"/>
        <v/>
      </c>
      <c r="S69" s="12" t="str">
        <f t="shared" si="9"/>
        <v/>
      </c>
      <c r="T69" s="12" t="str">
        <f>IF(COUNT(R69:S69)=2,AVERAGE(R69:S69),"")</f>
      </c>
      <c r="U69" s="11"/>
      <c r="V69" s="11"/>
      <c r="W69" s="12" t="str">
        <f t="shared" si="11"/>
        <v/>
      </c>
      <c r="X69" s="12" t="str">
        <f t="shared" si="12"/>
        <v/>
      </c>
      <c r="Y69" s="12" t="str">
        <f>IF(COUNT(W69:X69)=2,AVERAGE(W69:X69),"")</f>
      </c>
      <c r="Z69" s="13" t="str">
        <f>IF(COUNT(L69:O69)+COUNT(U69:V69)&lt;6,"待导师填写",IF(AND(L69&gt;=0,M69&lt;=1,N69&gt;=0,O69&lt;=1,U69&gt;=0,V69&lt;=1,L69&lt;=M69,N69&lt;=O69,U69&lt;=V69,R69&lt;=S69,W69&lt;=X69,T69&gt;=1),"通过","检查"))</f>
      </c>
      <c r="AA69" s="14" t="s">
        <v>33</v>
      </c>
    </row>
    <row r="70" ht="31" customHeight="1" spans="1:27">
      <c r="A70" s="9"/>
      <c r="B70" s="9" t="s">
        <v>32</v>
      </c>
      <c r="C70" s="9" t="s">
        <v>30</v>
      </c>
      <c r="D70" s="10">
        <v>24</v>
      </c>
      <c r="E70" s="9" t="s">
        <v>26</v>
      </c>
      <c r="F70" s="10">
        <v>0.1</v>
      </c>
      <c r="G70" s="10">
        <v>24</v>
      </c>
      <c r="H70" s="10">
        <v>1</v>
      </c>
      <c r="I70" s="10">
        <v>3</v>
      </c>
      <c r="J70" s="10">
        <v>0.1</v>
      </c>
      <c r="K70" s="10">
        <v>0.2</v>
      </c>
      <c r="L70" s="11"/>
      <c r="M70" s="11"/>
      <c r="N70" s="11"/>
      <c r="O70" s="11"/>
      <c r="P70" s="11"/>
      <c r="Q70" s="11"/>
      <c r="R70" s="12" t="str">
        <f t="shared" si="8"/>
        <v/>
      </c>
      <c r="S70" s="12" t="str">
        <f t="shared" si="9"/>
        <v/>
      </c>
      <c r="T70" s="12" t="str">
        <f>IF(COUNT(R70:S70)=2,AVERAGE(R70:S70),"")</f>
      </c>
      <c r="U70" s="11"/>
      <c r="V70" s="11"/>
      <c r="W70" s="12" t="str">
        <f t="shared" si="11"/>
        <v/>
      </c>
      <c r="X70" s="12" t="str">
        <f t="shared" si="12"/>
        <v/>
      </c>
      <c r="Y70" s="12" t="str">
        <f>IF(COUNT(W70:X70)=2,AVERAGE(W70:X70),"")</f>
      </c>
      <c r="Z70" s="13" t="str">
        <f>IF(COUNT(L70:O70)+COUNT(U70:V70)&lt;6,"待导师填写",IF(AND(L70&gt;=0,M70&lt;=1,N70&gt;=0,O70&lt;=1,U70&gt;=0,V70&lt;=1,L70&lt;=M70,N70&lt;=O70,U70&lt;=V70,R70&lt;=S70,W70&lt;=X70,T70&gt;=1),"通过","检查"))</f>
      </c>
      <c r="AA70" s="14" t="s">
        <v>33</v>
      </c>
    </row>
    <row r="71" ht="31" customHeight="1" spans="1:27">
      <c r="A71" s="9"/>
      <c r="B71" s="9" t="s">
        <v>32</v>
      </c>
      <c r="C71" s="9" t="s">
        <v>30</v>
      </c>
      <c r="D71" s="10">
        <v>28</v>
      </c>
      <c r="E71" s="9" t="s">
        <v>26</v>
      </c>
      <c r="F71" s="10">
        <v>0.1</v>
      </c>
      <c r="G71" s="10">
        <v>28</v>
      </c>
      <c r="H71" s="10">
        <v>1</v>
      </c>
      <c r="I71" s="10">
        <v>3</v>
      </c>
      <c r="J71" s="10">
        <v>0.1</v>
      </c>
      <c r="K71" s="10">
        <v>0.2</v>
      </c>
      <c r="L71" s="11"/>
      <c r="M71" s="11"/>
      <c r="N71" s="11"/>
      <c r="O71" s="11"/>
      <c r="P71" s="11"/>
      <c r="Q71" s="11"/>
      <c r="R71" s="12" t="str">
        <f t="shared" si="8"/>
        <v/>
      </c>
      <c r="S71" s="12" t="str">
        <f t="shared" si="9"/>
        <v/>
      </c>
      <c r="T71" s="12" t="str">
        <f>IF(COUNT(R71:S71)=2,AVERAGE(R71:S71),"")</f>
      </c>
      <c r="U71" s="11"/>
      <c r="V71" s="11"/>
      <c r="W71" s="12" t="str">
        <f t="shared" si="11"/>
        <v/>
      </c>
      <c r="X71" s="12" t="str">
        <f t="shared" si="12"/>
        <v/>
      </c>
      <c r="Y71" s="12" t="str">
        <f>IF(COUNT(W71:X71)=2,AVERAGE(W71:X71),"")</f>
      </c>
      <c r="Z71" s="13" t="str">
        <f>IF(COUNT(L71:O71)+COUNT(U71:V71)&lt;6,"待导师填写",IF(AND(L71&gt;=0,M71&lt;=1,N71&gt;=0,O71&lt;=1,U71&gt;=0,V71&lt;=1,L71&lt;=M71,N71&lt;=O71,U71&lt;=V71,R71&lt;=S71,W71&lt;=X71,T71&gt;=1),"通过","检查"))</f>
      </c>
      <c r="AA71" s="14" t="s">
        <v>33</v>
      </c>
    </row>
    <row r="72" ht="31" customHeight="1" spans="1:27">
      <c r="A72" s="9"/>
      <c r="B72" s="9" t="s">
        <v>32</v>
      </c>
      <c r="C72" s="9" t="s">
        <v>30</v>
      </c>
      <c r="D72" s="10">
        <v>32</v>
      </c>
      <c r="E72" s="9" t="s">
        <v>26</v>
      </c>
      <c r="F72" s="10">
        <v>0.1</v>
      </c>
      <c r="G72" s="10">
        <v>32</v>
      </c>
      <c r="H72" s="10">
        <v>1</v>
      </c>
      <c r="I72" s="10">
        <v>3</v>
      </c>
      <c r="J72" s="10">
        <v>0.1</v>
      </c>
      <c r="K72" s="10">
        <v>0.2</v>
      </c>
      <c r="L72" s="11"/>
      <c r="M72" s="11"/>
      <c r="N72" s="11"/>
      <c r="O72" s="11"/>
      <c r="P72" s="11"/>
      <c r="Q72" s="11"/>
      <c r="R72" s="12" t="str">
        <f t="shared" si="8"/>
        <v/>
      </c>
      <c r="S72" s="12" t="str">
        <f t="shared" si="9"/>
        <v/>
      </c>
      <c r="T72" s="12" t="str">
        <f>IF(COUNT(R72:S72)=2,AVERAGE(R72:S72),"")</f>
      </c>
      <c r="U72" s="11"/>
      <c r="V72" s="11"/>
      <c r="W72" s="12" t="str">
        <f t="shared" si="11"/>
        <v/>
      </c>
      <c r="X72" s="12" t="str">
        <f t="shared" si="12"/>
        <v/>
      </c>
      <c r="Y72" s="12" t="str">
        <f>IF(COUNT(W72:X72)=2,AVERAGE(W72:X72),"")</f>
      </c>
      <c r="Z72" s="13" t="str">
        <f>IF(COUNT(L72:O72)+COUNT(U72:V72)&lt;6,"待导师填写",IF(AND(L72&gt;=0,M72&lt;=1,N72&gt;=0,O72&lt;=1,U72&gt;=0,V72&lt;=1,L72&lt;=M72,N72&lt;=O72,U72&lt;=V72,R72&lt;=S72,W72&lt;=X72,T72&gt;=1),"通过","检查"))</f>
      </c>
      <c r="AA72" s="14" t="s">
        <v>33</v>
      </c>
    </row>
    <row r="73" ht="31" customHeight="1" spans="1:27">
      <c r="A73" s="9"/>
      <c r="B73" s="9" t="s">
        <v>32</v>
      </c>
      <c r="C73" s="9" t="s">
        <v>30</v>
      </c>
      <c r="D73" s="10">
        <v>36</v>
      </c>
      <c r="E73" s="9" t="s">
        <v>26</v>
      </c>
      <c r="F73" s="10">
        <v>0.1</v>
      </c>
      <c r="G73" s="10">
        <v>36</v>
      </c>
      <c r="H73" s="10">
        <v>1</v>
      </c>
      <c r="I73" s="10">
        <v>3</v>
      </c>
      <c r="J73" s="10">
        <v>0.1</v>
      </c>
      <c r="K73" s="10">
        <v>0.2</v>
      </c>
      <c r="L73" s="11"/>
      <c r="M73" s="11"/>
      <c r="N73" s="11"/>
      <c r="O73" s="11"/>
      <c r="P73" s="11"/>
      <c r="Q73" s="11"/>
      <c r="R73" s="12" t="str">
        <f t="shared" si="8"/>
        <v/>
      </c>
      <c r="S73" s="12" t="str">
        <f t="shared" si="9"/>
        <v/>
      </c>
      <c r="T73" s="12" t="str">
        <f>IF(COUNT(R73:S73)=2,AVERAGE(R73:S73),"")</f>
      </c>
      <c r="U73" s="11"/>
      <c r="V73" s="11"/>
      <c r="W73" s="12" t="str">
        <f t="shared" si="11"/>
        <v/>
      </c>
      <c r="X73" s="12" t="str">
        <f t="shared" si="12"/>
        <v/>
      </c>
      <c r="Y73" s="12" t="str">
        <f>IF(COUNT(W73:X73)=2,AVERAGE(W73:X73),"")</f>
      </c>
      <c r="Z73" s="13" t="str">
        <f>IF(COUNT(L73:O73)+COUNT(U73:V73)&lt;6,"待导师填写",IF(AND(L73&gt;=0,M73&lt;=1,N73&gt;=0,O73&lt;=1,U73&gt;=0,V73&lt;=1,L73&lt;=M73,N73&lt;=O73,U73&lt;=V73,R73&lt;=S73,W73&lt;=X73,T73&gt;=1),"通过","检查"))</f>
      </c>
      <c r="AA73" s="14" t="s">
        <v>33</v>
      </c>
    </row>
    <row r="74" ht="31" customHeight="1" spans="1:27">
      <c r="A74" s="9"/>
      <c r="B74" s="9" t="s">
        <v>32</v>
      </c>
      <c r="C74" s="9" t="s">
        <v>30</v>
      </c>
      <c r="D74" s="10">
        <v>40</v>
      </c>
      <c r="E74" s="9" t="s">
        <v>26</v>
      </c>
      <c r="F74" s="10">
        <v>0.1</v>
      </c>
      <c r="G74" s="10">
        <v>40</v>
      </c>
      <c r="H74" s="10">
        <v>1</v>
      </c>
      <c r="I74" s="10">
        <v>3</v>
      </c>
      <c r="J74" s="10">
        <v>0.1</v>
      </c>
      <c r="K74" s="10">
        <v>0.2</v>
      </c>
      <c r="L74" s="11"/>
      <c r="M74" s="11"/>
      <c r="N74" s="11"/>
      <c r="O74" s="11"/>
      <c r="P74" s="11"/>
      <c r="Q74" s="11"/>
      <c r="R74" s="12" t="str">
        <f t="shared" si="8"/>
        <v/>
      </c>
      <c r="S74" s="12" t="str">
        <f t="shared" si="9"/>
        <v/>
      </c>
      <c r="T74" s="12" t="str">
        <f>IF(COUNT(R74:S74)=2,AVERAGE(R74:S74),"")</f>
      </c>
      <c r="U74" s="11"/>
      <c r="V74" s="11"/>
      <c r="W74" s="12" t="str">
        <f t="shared" si="11"/>
        <v/>
      </c>
      <c r="X74" s="12" t="str">
        <f t="shared" si="12"/>
        <v/>
      </c>
      <c r="Y74" s="12" t="str">
        <f>IF(COUNT(W74:X74)=2,AVERAGE(W74:X74),"")</f>
      </c>
      <c r="Z74" s="13" t="str">
        <f>IF(COUNT(L74:O74)+COUNT(U74:V74)&lt;6,"待导师填写",IF(AND(L74&gt;=0,M74&lt;=1,N74&gt;=0,O74&lt;=1,U74&gt;=0,V74&lt;=1,L74&lt;=M74,N74&lt;=O74,U74&lt;=V74,R74&lt;=S74,W74&lt;=X74,T74&gt;=1),"通过","检查"))</f>
      </c>
      <c r="AA74" s="14" t="s">
        <v>33</v>
      </c>
    </row>
    <row r="75" ht="31" customHeight="1" spans="1:27">
      <c r="A75" s="9"/>
      <c r="B75" s="9" t="s">
        <v>32</v>
      </c>
      <c r="C75" s="9" t="s">
        <v>30</v>
      </c>
      <c r="D75" s="10">
        <v>44</v>
      </c>
      <c r="E75" s="9" t="s">
        <v>26</v>
      </c>
      <c r="F75" s="10">
        <v>0.1</v>
      </c>
      <c r="G75" s="10">
        <v>44</v>
      </c>
      <c r="H75" s="10">
        <v>1</v>
      </c>
      <c r="I75" s="10">
        <v>3</v>
      </c>
      <c r="J75" s="10">
        <v>0.1</v>
      </c>
      <c r="K75" s="10">
        <v>0.2</v>
      </c>
      <c r="L75" s="11"/>
      <c r="M75" s="11"/>
      <c r="N75" s="11"/>
      <c r="O75" s="11"/>
      <c r="P75" s="11"/>
      <c r="Q75" s="11"/>
      <c r="R75" s="12" t="str">
        <f t="shared" si="8"/>
        <v/>
      </c>
      <c r="S75" s="12" t="str">
        <f t="shared" si="9"/>
        <v/>
      </c>
      <c r="T75" s="12" t="str">
        <f>IF(COUNT(R75:S75)=2,AVERAGE(R75:S75),"")</f>
      </c>
      <c r="U75" s="11"/>
      <c r="V75" s="11"/>
      <c r="W75" s="12" t="str">
        <f t="shared" si="11"/>
        <v/>
      </c>
      <c r="X75" s="12" t="str">
        <f t="shared" si="12"/>
        <v/>
      </c>
      <c r="Y75" s="12" t="str">
        <f>IF(COUNT(W75:X75)=2,AVERAGE(W75:X75),"")</f>
      </c>
      <c r="Z75" s="13" t="str">
        <f>IF(COUNT(L75:O75)+COUNT(U75:V75)&lt;6,"待导师填写",IF(AND(L75&gt;=0,M75&lt;=1,N75&gt;=0,O75&lt;=1,U75&gt;=0,V75&lt;=1,L75&lt;=M75,N75&lt;=O75,U75&lt;=V75,R75&lt;=S75,W75&lt;=X75,T75&gt;=1),"通过","检查"))</f>
      </c>
      <c r="AA75" s="14" t="s">
        <v>33</v>
      </c>
    </row>
    <row r="76" ht="31" customHeight="1" spans="1:27">
      <c r="A76" s="9"/>
      <c r="B76" s="9" t="s">
        <v>32</v>
      </c>
      <c r="C76" s="9" t="s">
        <v>30</v>
      </c>
      <c r="D76" s="10">
        <v>48</v>
      </c>
      <c r="E76" s="9" t="s">
        <v>26</v>
      </c>
      <c r="F76" s="10">
        <v>0.1</v>
      </c>
      <c r="G76" s="10">
        <v>48</v>
      </c>
      <c r="H76" s="10">
        <v>1</v>
      </c>
      <c r="I76" s="10">
        <v>3</v>
      </c>
      <c r="J76" s="10">
        <v>0.1</v>
      </c>
      <c r="K76" s="10">
        <v>0.2</v>
      </c>
      <c r="L76" s="11"/>
      <c r="M76" s="11"/>
      <c r="N76" s="11"/>
      <c r="O76" s="11"/>
      <c r="P76" s="11"/>
      <c r="Q76" s="11"/>
      <c r="R76" s="12" t="str">
        <f t="shared" si="8"/>
        <v/>
      </c>
      <c r="S76" s="12" t="str">
        <f t="shared" si="9"/>
        <v/>
      </c>
      <c r="T76" s="12" t="str">
        <f>IF(COUNT(R76:S76)=2,AVERAGE(R76:S76),"")</f>
      </c>
      <c r="U76" s="11"/>
      <c r="V76" s="11"/>
      <c r="W76" s="12" t="str">
        <f t="shared" si="11"/>
        <v/>
      </c>
      <c r="X76" s="12" t="str">
        <f t="shared" si="12"/>
        <v/>
      </c>
      <c r="Y76" s="12" t="str">
        <f>IF(COUNT(W76:X76)=2,AVERAGE(W76:X76),"")</f>
      </c>
      <c r="Z76" s="13" t="str">
        <f>IF(COUNT(L76:O76)+COUNT(U76:V76)&lt;6,"待导师填写",IF(AND(L76&gt;=0,M76&lt;=1,N76&gt;=0,O76&lt;=1,U76&gt;=0,V76&lt;=1,L76&lt;=M76,N76&lt;=O76,U76&lt;=V76,R76&lt;=S76,W76&lt;=X76,T76&gt;=1),"通过","检查"))</f>
      </c>
      <c r="AA76" s="14" t="s">
        <v>33</v>
      </c>
    </row>
    <row r="77" ht="31" customHeight="1" spans="1:27">
      <c r="A77" s="9"/>
      <c r="B77" s="9" t="s">
        <v>32</v>
      </c>
      <c r="C77" s="9" t="s">
        <v>30</v>
      </c>
      <c r="D77" s="10">
        <v>52</v>
      </c>
      <c r="E77" s="9" t="s">
        <v>26</v>
      </c>
      <c r="F77" s="10">
        <v>0.1</v>
      </c>
      <c r="G77" s="10">
        <v>52</v>
      </c>
      <c r="H77" s="10">
        <v>1</v>
      </c>
      <c r="I77" s="10">
        <v>3</v>
      </c>
      <c r="J77" s="10">
        <v>0.1</v>
      </c>
      <c r="K77" s="10">
        <v>0.2</v>
      </c>
      <c r="L77" s="11"/>
      <c r="M77" s="11"/>
      <c r="N77" s="11"/>
      <c r="O77" s="11"/>
      <c r="P77" s="11"/>
      <c r="Q77" s="11"/>
      <c r="R77" s="12" t="str">
        <f t="shared" si="8"/>
        <v/>
      </c>
      <c r="S77" s="12" t="str">
        <f t="shared" si="9"/>
        <v/>
      </c>
      <c r="T77" s="12" t="str">
        <f>IF(COUNT(R77:S77)=2,AVERAGE(R77:S77),"")</f>
      </c>
      <c r="U77" s="11"/>
      <c r="V77" s="11"/>
      <c r="W77" s="12" t="str">
        <f t="shared" si="11"/>
        <v/>
      </c>
      <c r="X77" s="12" t="str">
        <f t="shared" si="12"/>
        <v/>
      </c>
      <c r="Y77" s="12" t="str">
        <f>IF(COUNT(W77:X77)=2,AVERAGE(W77:X77),"")</f>
      </c>
      <c r="Z77" s="13" t="str">
        <f>IF(COUNT(L77:O77)+COUNT(U77:V77)&lt;6,"待导师填写",IF(AND(L77&gt;=0,M77&lt;=1,N77&gt;=0,O77&lt;=1,U77&gt;=0,V77&lt;=1,L77&lt;=M77,N77&lt;=O77,U77&lt;=V77,R77&lt;=S77,W77&lt;=X77,T77&gt;=1),"通过","检查"))</f>
      </c>
      <c r="AA77" s="14" t="s">
        <v>33</v>
      </c>
    </row>
    <row r="78" ht="31" customHeight="1" spans="1:27">
      <c r="A78" s="9"/>
      <c r="B78" s="9" t="s">
        <v>32</v>
      </c>
      <c r="C78" s="9" t="s">
        <v>30</v>
      </c>
      <c r="D78" s="10">
        <v>8</v>
      </c>
      <c r="E78" s="9" t="s">
        <v>26</v>
      </c>
      <c r="F78" s="10">
        <v>0.2</v>
      </c>
      <c r="G78" s="10">
        <v>8</v>
      </c>
      <c r="H78" s="10">
        <v>1</v>
      </c>
      <c r="I78" s="10">
        <v>3</v>
      </c>
      <c r="J78" s="10">
        <v>0.2</v>
      </c>
      <c r="K78" s="10">
        <v>0.2</v>
      </c>
      <c r="L78" s="11"/>
      <c r="M78" s="11"/>
      <c r="N78" s="11"/>
      <c r="O78" s="11"/>
      <c r="P78" s="11"/>
      <c r="Q78" s="11"/>
      <c r="R78" s="12" t="str">
        <f t="shared" si="8"/>
        <v/>
      </c>
      <c r="S78" s="12" t="str">
        <f t="shared" si="9"/>
        <v/>
      </c>
      <c r="T78" s="12" t="str">
        <f>IF(COUNT(R78:S78)=2,AVERAGE(R78:S78),"")</f>
      </c>
      <c r="U78" s="11"/>
      <c r="V78" s="11"/>
      <c r="W78" s="12" t="str">
        <f t="shared" si="11"/>
        <v/>
      </c>
      <c r="X78" s="12" t="str">
        <f t="shared" si="12"/>
        <v/>
      </c>
      <c r="Y78" s="12" t="str">
        <f>IF(COUNT(W78:X78)=2,AVERAGE(W78:X78),"")</f>
      </c>
      <c r="Z78" s="13" t="str">
        <f>IF(COUNT(L78:O78)+COUNT(U78:V78)&lt;6,"待导师填写",IF(AND(L78&gt;=0,M78&lt;=1,N78&gt;=0,O78&lt;=1,U78&gt;=0,V78&lt;=1,L78&lt;=M78,N78&lt;=O78,U78&lt;=V78,R78&lt;=S78,W78&lt;=X78,T78&gt;=1),"通过","检查"))</f>
      </c>
      <c r="AA78" s="14" t="s">
        <v>33</v>
      </c>
    </row>
    <row r="79" ht="31" customHeight="1" spans="1:27">
      <c r="A79" s="9"/>
      <c r="B79" s="9" t="s">
        <v>32</v>
      </c>
      <c r="C79" s="9" t="s">
        <v>30</v>
      </c>
      <c r="D79" s="10">
        <v>12</v>
      </c>
      <c r="E79" s="9" t="s">
        <v>26</v>
      </c>
      <c r="F79" s="10">
        <v>0.2</v>
      </c>
      <c r="G79" s="10">
        <v>12</v>
      </c>
      <c r="H79" s="10">
        <v>1</v>
      </c>
      <c r="I79" s="10">
        <v>3</v>
      </c>
      <c r="J79" s="10">
        <v>0.2</v>
      </c>
      <c r="K79" s="10">
        <v>0.2</v>
      </c>
      <c r="L79" s="11"/>
      <c r="M79" s="11"/>
      <c r="N79" s="11"/>
      <c r="O79" s="11"/>
      <c r="P79" s="11"/>
      <c r="Q79" s="11"/>
      <c r="R79" s="12" t="str">
        <f t="shared" si="8"/>
        <v/>
      </c>
      <c r="S79" s="12" t="str">
        <f t="shared" si="9"/>
        <v/>
      </c>
      <c r="T79" s="12" t="str">
        <f>IF(COUNT(R79:S79)=2,AVERAGE(R79:S79),"")</f>
      </c>
      <c r="U79" s="11"/>
      <c r="V79" s="11"/>
      <c r="W79" s="12" t="str">
        <f t="shared" si="11"/>
        <v/>
      </c>
      <c r="X79" s="12" t="str">
        <f t="shared" si="12"/>
        <v/>
      </c>
      <c r="Y79" s="12" t="str">
        <f>IF(COUNT(W79:X79)=2,AVERAGE(W79:X79),"")</f>
      </c>
      <c r="Z79" s="13" t="str">
        <f>IF(COUNT(L79:O79)+COUNT(U79:V79)&lt;6,"待导师填写",IF(AND(L79&gt;=0,M79&lt;=1,N79&gt;=0,O79&lt;=1,U79&gt;=0,V79&lt;=1,L79&lt;=M79,N79&lt;=O79,U79&lt;=V79,R79&lt;=S79,W79&lt;=X79,T79&gt;=1),"通过","检查"))</f>
      </c>
      <c r="AA79" s="14" t="s">
        <v>33</v>
      </c>
    </row>
    <row r="80" ht="31" customHeight="1" spans="1:27">
      <c r="A80" s="9"/>
      <c r="B80" s="9" t="s">
        <v>32</v>
      </c>
      <c r="C80" s="9" t="s">
        <v>30</v>
      </c>
      <c r="D80" s="10">
        <v>16</v>
      </c>
      <c r="E80" s="9" t="s">
        <v>26</v>
      </c>
      <c r="F80" s="10">
        <v>0.2</v>
      </c>
      <c r="G80" s="10">
        <v>16</v>
      </c>
      <c r="H80" s="10">
        <v>1</v>
      </c>
      <c r="I80" s="10">
        <v>3</v>
      </c>
      <c r="J80" s="10">
        <v>0.2</v>
      </c>
      <c r="K80" s="10">
        <v>0.2</v>
      </c>
      <c r="L80" s="11"/>
      <c r="M80" s="11"/>
      <c r="N80" s="11"/>
      <c r="O80" s="11"/>
      <c r="P80" s="11"/>
      <c r="Q80" s="11"/>
      <c r="R80" s="12" t="str">
        <f t="shared" si="8"/>
        <v/>
      </c>
      <c r="S80" s="12" t="str">
        <f t="shared" si="9"/>
        <v/>
      </c>
      <c r="T80" s="12" t="str">
        <f>IF(COUNT(R80:S80)=2,AVERAGE(R80:S80),"")</f>
      </c>
      <c r="U80" s="11"/>
      <c r="V80" s="11"/>
      <c r="W80" s="12" t="str">
        <f t="shared" si="11"/>
        <v/>
      </c>
      <c r="X80" s="12" t="str">
        <f t="shared" si="12"/>
        <v/>
      </c>
      <c r="Y80" s="12" t="str">
        <f>IF(COUNT(W80:X80)=2,AVERAGE(W80:X80),"")</f>
      </c>
      <c r="Z80" s="13" t="str">
        <f>IF(COUNT(L80:O80)+COUNT(U80:V80)&lt;6,"待导师填写",IF(AND(L80&gt;=0,M80&lt;=1,N80&gt;=0,O80&lt;=1,U80&gt;=0,V80&lt;=1,L80&lt;=M80,N80&lt;=O80,U80&lt;=V80,R80&lt;=S80,W80&lt;=X80,T80&gt;=1),"通过","检查"))</f>
      </c>
      <c r="AA80" s="14" t="s">
        <v>33</v>
      </c>
    </row>
    <row r="81" ht="31" customHeight="1" spans="1:27">
      <c r="A81" s="9"/>
      <c r="B81" s="9" t="s">
        <v>32</v>
      </c>
      <c r="C81" s="9" t="s">
        <v>30</v>
      </c>
      <c r="D81" s="10">
        <v>20</v>
      </c>
      <c r="E81" s="9" t="s">
        <v>26</v>
      </c>
      <c r="F81" s="10">
        <v>0.2</v>
      </c>
      <c r="G81" s="10">
        <v>20</v>
      </c>
      <c r="H81" s="10">
        <v>1</v>
      </c>
      <c r="I81" s="10">
        <v>3</v>
      </c>
      <c r="J81" s="10">
        <v>0.2</v>
      </c>
      <c r="K81" s="10">
        <v>0.2</v>
      </c>
      <c r="L81" s="11"/>
      <c r="M81" s="11"/>
      <c r="N81" s="11"/>
      <c r="O81" s="11"/>
      <c r="P81" s="11"/>
      <c r="Q81" s="11"/>
      <c r="R81" s="12" t="str">
        <f t="shared" si="8"/>
        <v/>
      </c>
      <c r="S81" s="12" t="str">
        <f t="shared" si="9"/>
        <v/>
      </c>
      <c r="T81" s="12" t="str">
        <f>IF(COUNT(R81:S81)=2,AVERAGE(R81:S81),"")</f>
      </c>
      <c r="U81" s="11"/>
      <c r="V81" s="11"/>
      <c r="W81" s="12" t="str">
        <f t="shared" si="11"/>
        <v/>
      </c>
      <c r="X81" s="12" t="str">
        <f t="shared" si="12"/>
        <v/>
      </c>
      <c r="Y81" s="12" t="str">
        <f>IF(COUNT(W81:X81)=2,AVERAGE(W81:X81),"")</f>
      </c>
      <c r="Z81" s="13" t="str">
        <f>IF(COUNT(L81:O81)+COUNT(U81:V81)&lt;6,"待导师填写",IF(AND(L81&gt;=0,M81&lt;=1,N81&gt;=0,O81&lt;=1,U81&gt;=0,V81&lt;=1,L81&lt;=M81,N81&lt;=O81,U81&lt;=V81,R81&lt;=S81,W81&lt;=X81,T81&gt;=1),"通过","检查"))</f>
      </c>
      <c r="AA81" s="14" t="s">
        <v>33</v>
      </c>
    </row>
    <row r="82" ht="31" customHeight="1" spans="1:27">
      <c r="A82" s="9"/>
      <c r="B82" s="9" t="s">
        <v>32</v>
      </c>
      <c r="C82" s="9" t="s">
        <v>30</v>
      </c>
      <c r="D82" s="10">
        <v>24</v>
      </c>
      <c r="E82" s="9" t="s">
        <v>26</v>
      </c>
      <c r="F82" s="10">
        <v>0.2</v>
      </c>
      <c r="G82" s="10">
        <v>24</v>
      </c>
      <c r="H82" s="10">
        <v>1</v>
      </c>
      <c r="I82" s="10">
        <v>3</v>
      </c>
      <c r="J82" s="10">
        <v>0.2</v>
      </c>
      <c r="K82" s="10">
        <v>0.2</v>
      </c>
      <c r="L82" s="11"/>
      <c r="M82" s="11"/>
      <c r="N82" s="11"/>
      <c r="O82" s="11"/>
      <c r="P82" s="11"/>
      <c r="Q82" s="11"/>
      <c r="R82" s="12" t="str">
        <f t="shared" si="8"/>
        <v/>
      </c>
      <c r="S82" s="12" t="str">
        <f t="shared" si="9"/>
        <v/>
      </c>
      <c r="T82" s="12" t="str">
        <f>IF(COUNT(R82:S82)=2,AVERAGE(R82:S82),"")</f>
      </c>
      <c r="U82" s="11"/>
      <c r="V82" s="11"/>
      <c r="W82" s="12" t="str">
        <f t="shared" si="11"/>
        <v/>
      </c>
      <c r="X82" s="12" t="str">
        <f t="shared" si="12"/>
        <v/>
      </c>
      <c r="Y82" s="12" t="str">
        <f>IF(COUNT(W82:X82)=2,AVERAGE(W82:X82),"")</f>
      </c>
      <c r="Z82" s="13" t="str">
        <f>IF(COUNT(L82:O82)+COUNT(U82:V82)&lt;6,"待导师填写",IF(AND(L82&gt;=0,M82&lt;=1,N82&gt;=0,O82&lt;=1,U82&gt;=0,V82&lt;=1,L82&lt;=M82,N82&lt;=O82,U82&lt;=V82,R82&lt;=S82,W82&lt;=X82,T82&gt;=1),"通过","检查"))</f>
      </c>
      <c r="AA82" s="14" t="s">
        <v>33</v>
      </c>
    </row>
    <row r="83" ht="31" customHeight="1" spans="1:27">
      <c r="A83" s="9"/>
      <c r="B83" s="9" t="s">
        <v>32</v>
      </c>
      <c r="C83" s="9" t="s">
        <v>30</v>
      </c>
      <c r="D83" s="10">
        <v>28</v>
      </c>
      <c r="E83" s="9" t="s">
        <v>26</v>
      </c>
      <c r="F83" s="10">
        <v>0.2</v>
      </c>
      <c r="G83" s="10">
        <v>28</v>
      </c>
      <c r="H83" s="10">
        <v>1</v>
      </c>
      <c r="I83" s="10">
        <v>3</v>
      </c>
      <c r="J83" s="10">
        <v>0.2</v>
      </c>
      <c r="K83" s="10">
        <v>0.2</v>
      </c>
      <c r="L83" s="11"/>
      <c r="M83" s="11"/>
      <c r="N83" s="11"/>
      <c r="O83" s="11"/>
      <c r="P83" s="11"/>
      <c r="Q83" s="11"/>
      <c r="R83" s="12" t="str">
        <f t="shared" si="8"/>
        <v/>
      </c>
      <c r="S83" s="12" t="str">
        <f t="shared" si="9"/>
        <v/>
      </c>
      <c r="T83" s="12" t="str">
        <f>IF(COUNT(R83:S83)=2,AVERAGE(R83:S83),"")</f>
      </c>
      <c r="U83" s="11"/>
      <c r="V83" s="11"/>
      <c r="W83" s="12" t="str">
        <f t="shared" si="11"/>
        <v/>
      </c>
      <c r="X83" s="12" t="str">
        <f t="shared" si="12"/>
        <v/>
      </c>
      <c r="Y83" s="12" t="str">
        <f>IF(COUNT(W83:X83)=2,AVERAGE(W83:X83),"")</f>
      </c>
      <c r="Z83" s="13" t="str">
        <f>IF(COUNT(L83:O83)+COUNT(U83:V83)&lt;6,"待导师填写",IF(AND(L83&gt;=0,M83&lt;=1,N83&gt;=0,O83&lt;=1,U83&gt;=0,V83&lt;=1,L83&lt;=M83,N83&lt;=O83,U83&lt;=V83,R83&lt;=S83,W83&lt;=X83,T83&gt;=1),"通过","检查"))</f>
      </c>
      <c r="AA83" s="14" t="s">
        <v>33</v>
      </c>
    </row>
    <row r="84" ht="31" customHeight="1" spans="1:27">
      <c r="A84" s="9"/>
      <c r="B84" s="9" t="s">
        <v>32</v>
      </c>
      <c r="C84" s="9" t="s">
        <v>30</v>
      </c>
      <c r="D84" s="10">
        <v>32</v>
      </c>
      <c r="E84" s="9" t="s">
        <v>26</v>
      </c>
      <c r="F84" s="10">
        <v>0.2</v>
      </c>
      <c r="G84" s="10">
        <v>32</v>
      </c>
      <c r="H84" s="10">
        <v>1</v>
      </c>
      <c r="I84" s="10">
        <v>3</v>
      </c>
      <c r="J84" s="10">
        <v>0.2</v>
      </c>
      <c r="K84" s="10">
        <v>0.2</v>
      </c>
      <c r="L84" s="11"/>
      <c r="M84" s="11"/>
      <c r="N84" s="11"/>
      <c r="O84" s="11"/>
      <c r="P84" s="11"/>
      <c r="Q84" s="11"/>
      <c r="R84" s="12" t="str">
        <f t="shared" si="8"/>
        <v/>
      </c>
      <c r="S84" s="12" t="str">
        <f t="shared" si="9"/>
        <v/>
      </c>
      <c r="T84" s="12" t="str">
        <f>IF(COUNT(R84:S84)=2,AVERAGE(R84:S84),"")</f>
      </c>
      <c r="U84" s="11"/>
      <c r="V84" s="11"/>
      <c r="W84" s="12" t="str">
        <f t="shared" si="11"/>
        <v/>
      </c>
      <c r="X84" s="12" t="str">
        <f t="shared" si="12"/>
        <v/>
      </c>
      <c r="Y84" s="12" t="str">
        <f>IF(COUNT(W84:X84)=2,AVERAGE(W84:X84),"")</f>
      </c>
      <c r="Z84" s="13" t="str">
        <f>IF(COUNT(L84:O84)+COUNT(U84:V84)&lt;6,"待导师填写",IF(AND(L84&gt;=0,M84&lt;=1,N84&gt;=0,O84&lt;=1,U84&gt;=0,V84&lt;=1,L84&lt;=M84,N84&lt;=O84,U84&lt;=V84,R84&lt;=S84,W84&lt;=X84,T84&gt;=1),"通过","检查"))</f>
      </c>
      <c r="AA84" s="14" t="s">
        <v>33</v>
      </c>
    </row>
    <row r="85" ht="31" customHeight="1" spans="1:27">
      <c r="A85" s="9"/>
      <c r="B85" s="9" t="s">
        <v>32</v>
      </c>
      <c r="C85" s="9" t="s">
        <v>30</v>
      </c>
      <c r="D85" s="10">
        <v>36</v>
      </c>
      <c r="E85" s="9" t="s">
        <v>26</v>
      </c>
      <c r="F85" s="10">
        <v>0.2</v>
      </c>
      <c r="G85" s="10">
        <v>36</v>
      </c>
      <c r="H85" s="10">
        <v>1</v>
      </c>
      <c r="I85" s="10">
        <v>3</v>
      </c>
      <c r="J85" s="10">
        <v>0.2</v>
      </c>
      <c r="K85" s="10">
        <v>0.2</v>
      </c>
      <c r="L85" s="11"/>
      <c r="M85" s="11"/>
      <c r="N85" s="11"/>
      <c r="O85" s="11"/>
      <c r="P85" s="11"/>
      <c r="Q85" s="11"/>
      <c r="R85" s="12" t="str">
        <f t="shared" si="8"/>
        <v/>
      </c>
      <c r="S85" s="12" t="str">
        <f t="shared" si="9"/>
        <v/>
      </c>
      <c r="T85" s="12" t="str">
        <f>IF(COUNT(R85:S85)=2,AVERAGE(R85:S85),"")</f>
      </c>
      <c r="U85" s="11"/>
      <c r="V85" s="11"/>
      <c r="W85" s="12" t="str">
        <f t="shared" si="11"/>
        <v/>
      </c>
      <c r="X85" s="12" t="str">
        <f t="shared" si="12"/>
        <v/>
      </c>
      <c r="Y85" s="12" t="str">
        <f>IF(COUNT(W85:X85)=2,AVERAGE(W85:X85),"")</f>
      </c>
      <c r="Z85" s="13" t="str">
        <f>IF(COUNT(L85:O85)+COUNT(U85:V85)&lt;6,"待导师填写",IF(AND(L85&gt;=0,M85&lt;=1,N85&gt;=0,O85&lt;=1,U85&gt;=0,V85&lt;=1,L85&lt;=M85,N85&lt;=O85,U85&lt;=V85,R85&lt;=S85,W85&lt;=X85,T85&gt;=1),"通过","检查"))</f>
      </c>
      <c r="AA85" s="14" t="s">
        <v>33</v>
      </c>
    </row>
    <row r="86" ht="31" customHeight="1" spans="1:27">
      <c r="A86" s="9"/>
      <c r="B86" s="9" t="s">
        <v>32</v>
      </c>
      <c r="C86" s="9" t="s">
        <v>30</v>
      </c>
      <c r="D86" s="10">
        <v>40</v>
      </c>
      <c r="E86" s="9" t="s">
        <v>26</v>
      </c>
      <c r="F86" s="10">
        <v>0.2</v>
      </c>
      <c r="G86" s="10">
        <v>40</v>
      </c>
      <c r="H86" s="10">
        <v>1</v>
      </c>
      <c r="I86" s="10">
        <v>3</v>
      </c>
      <c r="J86" s="10">
        <v>0.2</v>
      </c>
      <c r="K86" s="10">
        <v>0.2</v>
      </c>
      <c r="L86" s="11"/>
      <c r="M86" s="11"/>
      <c r="N86" s="11"/>
      <c r="O86" s="11"/>
      <c r="P86" s="11"/>
      <c r="Q86" s="11"/>
      <c r="R86" s="12" t="str">
        <f t="shared" si="8"/>
        <v/>
      </c>
      <c r="S86" s="12" t="str">
        <f t="shared" si="9"/>
        <v/>
      </c>
      <c r="T86" s="12" t="str">
        <f>IF(COUNT(R86:S86)=2,AVERAGE(R86:S86),"")</f>
      </c>
      <c r="U86" s="11"/>
      <c r="V86" s="11"/>
      <c r="W86" s="12" t="str">
        <f t="shared" si="11"/>
        <v/>
      </c>
      <c r="X86" s="12" t="str">
        <f t="shared" si="12"/>
        <v/>
      </c>
      <c r="Y86" s="12" t="str">
        <f>IF(COUNT(W86:X86)=2,AVERAGE(W86:X86),"")</f>
      </c>
      <c r="Z86" s="13" t="str">
        <f>IF(COUNT(L86:O86)+COUNT(U86:V86)&lt;6,"待导师填写",IF(AND(L86&gt;=0,M86&lt;=1,N86&gt;=0,O86&lt;=1,U86&gt;=0,V86&lt;=1,L86&lt;=M86,N86&lt;=O86,U86&lt;=V86,R86&lt;=S86,W86&lt;=X86,T86&gt;=1),"通过","检查"))</f>
      </c>
      <c r="AA86" s="14" t="s">
        <v>33</v>
      </c>
    </row>
    <row r="87" ht="31" customHeight="1" spans="1:27">
      <c r="A87" s="9"/>
      <c r="B87" s="9" t="s">
        <v>32</v>
      </c>
      <c r="C87" s="9" t="s">
        <v>30</v>
      </c>
      <c r="D87" s="10">
        <v>44</v>
      </c>
      <c r="E87" s="9" t="s">
        <v>26</v>
      </c>
      <c r="F87" s="10">
        <v>0.2</v>
      </c>
      <c r="G87" s="10">
        <v>44</v>
      </c>
      <c r="H87" s="10">
        <v>1</v>
      </c>
      <c r="I87" s="10">
        <v>3</v>
      </c>
      <c r="J87" s="10">
        <v>0.2</v>
      </c>
      <c r="K87" s="10">
        <v>0.2</v>
      </c>
      <c r="L87" s="11"/>
      <c r="M87" s="11"/>
      <c r="N87" s="11"/>
      <c r="O87" s="11"/>
      <c r="P87" s="11"/>
      <c r="Q87" s="11"/>
      <c r="R87" s="12" t="str">
        <f t="shared" si="8"/>
        <v/>
      </c>
      <c r="S87" s="12" t="str">
        <f t="shared" si="9"/>
        <v/>
      </c>
      <c r="T87" s="12" t="str">
        <f>IF(COUNT(R87:S87)=2,AVERAGE(R87:S87),"")</f>
      </c>
      <c r="U87" s="11"/>
      <c r="V87" s="11"/>
      <c r="W87" s="12" t="str">
        <f t="shared" si="11"/>
        <v/>
      </c>
      <c r="X87" s="12" t="str">
        <f t="shared" si="12"/>
        <v/>
      </c>
      <c r="Y87" s="12" t="str">
        <f>IF(COUNT(W87:X87)=2,AVERAGE(W87:X87),"")</f>
      </c>
      <c r="Z87" s="13" t="str">
        <f>IF(COUNT(L87:O87)+COUNT(U87:V87)&lt;6,"待导师填写",IF(AND(L87&gt;=0,M87&lt;=1,N87&gt;=0,O87&lt;=1,U87&gt;=0,V87&lt;=1,L87&lt;=M87,N87&lt;=O87,U87&lt;=V87,R87&lt;=S87,W87&lt;=X87,T87&gt;=1),"通过","检查"))</f>
      </c>
      <c r="AA87" s="14" t="s">
        <v>33</v>
      </c>
    </row>
    <row r="88" ht="31" customHeight="1" spans="1:27">
      <c r="A88" s="9"/>
      <c r="B88" s="9" t="s">
        <v>32</v>
      </c>
      <c r="C88" s="9" t="s">
        <v>30</v>
      </c>
      <c r="D88" s="10">
        <v>48</v>
      </c>
      <c r="E88" s="9" t="s">
        <v>26</v>
      </c>
      <c r="F88" s="10">
        <v>0.2</v>
      </c>
      <c r="G88" s="10">
        <v>48</v>
      </c>
      <c r="H88" s="10">
        <v>1</v>
      </c>
      <c r="I88" s="10">
        <v>3</v>
      </c>
      <c r="J88" s="10">
        <v>0.2</v>
      </c>
      <c r="K88" s="10">
        <v>0.2</v>
      </c>
      <c r="L88" s="11"/>
      <c r="M88" s="11"/>
      <c r="N88" s="11"/>
      <c r="O88" s="11"/>
      <c r="P88" s="11"/>
      <c r="Q88" s="11"/>
      <c r="R88" s="12" t="str">
        <f t="shared" si="8"/>
        <v/>
      </c>
      <c r="S88" s="12" t="str">
        <f t="shared" si="9"/>
        <v/>
      </c>
      <c r="T88" s="12" t="str">
        <f>IF(COUNT(R88:S88)=2,AVERAGE(R88:S88),"")</f>
      </c>
      <c r="U88" s="11"/>
      <c r="V88" s="11"/>
      <c r="W88" s="12" t="str">
        <f t="shared" si="11"/>
        <v/>
      </c>
      <c r="X88" s="12" t="str">
        <f t="shared" si="12"/>
        <v/>
      </c>
      <c r="Y88" s="12" t="str">
        <f>IF(COUNT(W88:X88)=2,AVERAGE(W88:X88),"")</f>
      </c>
      <c r="Z88" s="13" t="str">
        <f>IF(COUNT(L88:O88)+COUNT(U88:V88)&lt;6,"待导师填写",IF(AND(L88&gt;=0,M88&lt;=1,N88&gt;=0,O88&lt;=1,U88&gt;=0,V88&lt;=1,L88&lt;=M88,N88&lt;=O88,U88&lt;=V88,R88&lt;=S88,W88&lt;=X88,T88&gt;=1),"通过","检查"))</f>
      </c>
      <c r="AA88" s="14" t="s">
        <v>33</v>
      </c>
    </row>
    <row r="89" ht="31" customHeight="1" spans="1:27">
      <c r="A89" s="9"/>
      <c r="B89" s="9" t="s">
        <v>32</v>
      </c>
      <c r="C89" s="9" t="s">
        <v>30</v>
      </c>
      <c r="D89" s="10">
        <v>52</v>
      </c>
      <c r="E89" s="9" t="s">
        <v>26</v>
      </c>
      <c r="F89" s="10">
        <v>0.2</v>
      </c>
      <c r="G89" s="10">
        <v>52</v>
      </c>
      <c r="H89" s="10">
        <v>1</v>
      </c>
      <c r="I89" s="10">
        <v>3</v>
      </c>
      <c r="J89" s="10">
        <v>0.2</v>
      </c>
      <c r="K89" s="10">
        <v>0.2</v>
      </c>
      <c r="L89" s="11"/>
      <c r="M89" s="11"/>
      <c r="N89" s="11"/>
      <c r="O89" s="11"/>
      <c r="P89" s="11"/>
      <c r="Q89" s="11"/>
      <c r="R89" s="12" t="str">
        <f t="shared" si="8"/>
        <v/>
      </c>
      <c r="S89" s="12" t="str">
        <f t="shared" si="9"/>
        <v/>
      </c>
      <c r="T89" s="12" t="str">
        <f>IF(COUNT(R89:S89)=2,AVERAGE(R89:S89),"")</f>
      </c>
      <c r="U89" s="11"/>
      <c r="V89" s="11"/>
      <c r="W89" s="12" t="str">
        <f t="shared" si="11"/>
        <v/>
      </c>
      <c r="X89" s="12" t="str">
        <f t="shared" si="12"/>
        <v/>
      </c>
      <c r="Y89" s="12" t="str">
        <f>IF(COUNT(W89:X89)=2,AVERAGE(W89:X89),"")</f>
      </c>
      <c r="Z89" s="13" t="str">
        <f>IF(COUNT(L89:O89)+COUNT(U89:V89)&lt;6,"待导师填写",IF(AND(L89&gt;=0,M89&lt;=1,N89&gt;=0,O89&lt;=1,U89&gt;=0,V89&lt;=1,L89&lt;=M89,N89&lt;=O89,U89&lt;=V89,R89&lt;=S89,W89&lt;=X89,T89&gt;=1),"通过","检查"))</f>
      </c>
      <c r="AA89" s="14" t="s">
        <v>33</v>
      </c>
    </row>
    <row r="90" ht="31" customHeight="1" spans="1:27">
      <c r="A90" s="9"/>
      <c r="B90" s="9" t="s">
        <v>32</v>
      </c>
      <c r="C90" s="9" t="s">
        <v>30</v>
      </c>
      <c r="D90" s="10">
        <v>8</v>
      </c>
      <c r="E90" s="9" t="s">
        <v>26</v>
      </c>
      <c r="F90" s="10">
        <v>0.3</v>
      </c>
      <c r="G90" s="10">
        <v>8</v>
      </c>
      <c r="H90" s="10">
        <v>1</v>
      </c>
      <c r="I90" s="10">
        <v>3</v>
      </c>
      <c r="J90" s="10">
        <v>0.3</v>
      </c>
      <c r="K90" s="10">
        <v>0.2</v>
      </c>
      <c r="L90" s="11"/>
      <c r="M90" s="11"/>
      <c r="N90" s="11"/>
      <c r="O90" s="11"/>
      <c r="P90" s="11"/>
      <c r="Q90" s="11"/>
      <c r="R90" s="12" t="str">
        <f t="shared" si="8"/>
        <v/>
      </c>
      <c r="S90" s="12" t="str">
        <f t="shared" si="9"/>
        <v/>
      </c>
      <c r="T90" s="12" t="str">
        <f>IF(COUNT(R90:S90)=2,AVERAGE(R90:S90),"")</f>
      </c>
      <c r="U90" s="11"/>
      <c r="V90" s="11"/>
      <c r="W90" s="12" t="str">
        <f t="shared" si="11"/>
        <v/>
      </c>
      <c r="X90" s="12" t="str">
        <f t="shared" si="12"/>
        <v/>
      </c>
      <c r="Y90" s="12" t="str">
        <f>IF(COUNT(W90:X90)=2,AVERAGE(W90:X90),"")</f>
      </c>
      <c r="Z90" s="13" t="str">
        <f>IF(COUNT(L90:O90)+COUNT(U90:V90)&lt;6,"待导师填写",IF(AND(L90&gt;=0,M90&lt;=1,N90&gt;=0,O90&lt;=1,U90&gt;=0,V90&lt;=1,L90&lt;=M90,N90&lt;=O90,U90&lt;=V90,R90&lt;=S90,W90&lt;=X90,T90&gt;=1),"通过","检查"))</f>
      </c>
      <c r="AA90" s="14" t="s">
        <v>33</v>
      </c>
    </row>
    <row r="91" ht="31" customHeight="1" spans="1:27">
      <c r="A91" s="9"/>
      <c r="B91" s="9" t="s">
        <v>32</v>
      </c>
      <c r="C91" s="9" t="s">
        <v>30</v>
      </c>
      <c r="D91" s="10">
        <v>12</v>
      </c>
      <c r="E91" s="9" t="s">
        <v>26</v>
      </c>
      <c r="F91" s="10">
        <v>0.3</v>
      </c>
      <c r="G91" s="10">
        <v>12</v>
      </c>
      <c r="H91" s="10">
        <v>1</v>
      </c>
      <c r="I91" s="10">
        <v>3</v>
      </c>
      <c r="J91" s="10">
        <v>0.3</v>
      </c>
      <c r="K91" s="10">
        <v>0.2</v>
      </c>
      <c r="L91" s="11"/>
      <c r="M91" s="11"/>
      <c r="N91" s="11"/>
      <c r="O91" s="11"/>
      <c r="P91" s="11"/>
      <c r="Q91" s="11"/>
      <c r="R91" s="12" t="str">
        <f t="shared" si="8"/>
        <v/>
      </c>
      <c r="S91" s="12" t="str">
        <f t="shared" si="9"/>
        <v/>
      </c>
      <c r="T91" s="12" t="str">
        <f>IF(COUNT(R91:S91)=2,AVERAGE(R91:S91),"")</f>
      </c>
      <c r="U91" s="11"/>
      <c r="V91" s="11"/>
      <c r="W91" s="12" t="str">
        <f t="shared" si="11"/>
        <v/>
      </c>
      <c r="X91" s="12" t="str">
        <f t="shared" si="12"/>
        <v/>
      </c>
      <c r="Y91" s="12" t="str">
        <f>IF(COUNT(W91:X91)=2,AVERAGE(W91:X91),"")</f>
      </c>
      <c r="Z91" s="13" t="str">
        <f>IF(COUNT(L91:O91)+COUNT(U91:V91)&lt;6,"待导师填写",IF(AND(L91&gt;=0,M91&lt;=1,N91&gt;=0,O91&lt;=1,U91&gt;=0,V91&lt;=1,L91&lt;=M91,N91&lt;=O91,U91&lt;=V91,R91&lt;=S91,W91&lt;=X91,T91&gt;=1),"通过","检查"))</f>
      </c>
      <c r="AA91" s="14" t="s">
        <v>33</v>
      </c>
    </row>
    <row r="92" ht="31" customHeight="1" spans="1:27">
      <c r="A92" s="9"/>
      <c r="B92" s="9" t="s">
        <v>32</v>
      </c>
      <c r="C92" s="9" t="s">
        <v>30</v>
      </c>
      <c r="D92" s="10">
        <v>16</v>
      </c>
      <c r="E92" s="9" t="s">
        <v>26</v>
      </c>
      <c r="F92" s="10">
        <v>0.3</v>
      </c>
      <c r="G92" s="10">
        <v>16</v>
      </c>
      <c r="H92" s="10">
        <v>1</v>
      </c>
      <c r="I92" s="10">
        <v>3</v>
      </c>
      <c r="J92" s="10">
        <v>0.3</v>
      </c>
      <c r="K92" s="10">
        <v>0.2</v>
      </c>
      <c r="L92" s="11"/>
      <c r="M92" s="11"/>
      <c r="N92" s="11"/>
      <c r="O92" s="11"/>
      <c r="P92" s="11"/>
      <c r="Q92" s="11"/>
      <c r="R92" s="12" t="str">
        <f t="shared" si="8"/>
        <v/>
      </c>
      <c r="S92" s="12" t="str">
        <f t="shared" si="9"/>
        <v/>
      </c>
      <c r="T92" s="12" t="str">
        <f>IF(COUNT(R92:S92)=2,AVERAGE(R92:S92),"")</f>
      </c>
      <c r="U92" s="11"/>
      <c r="V92" s="11"/>
      <c r="W92" s="12" t="str">
        <f t="shared" si="11"/>
        <v/>
      </c>
      <c r="X92" s="12" t="str">
        <f t="shared" si="12"/>
        <v/>
      </c>
      <c r="Y92" s="12" t="str">
        <f>IF(COUNT(W92:X92)=2,AVERAGE(W92:X92),"")</f>
      </c>
      <c r="Z92" s="13" t="str">
        <f>IF(COUNT(L92:O92)+COUNT(U92:V92)&lt;6,"待导师填写",IF(AND(L92&gt;=0,M92&lt;=1,N92&gt;=0,O92&lt;=1,U92&gt;=0,V92&lt;=1,L92&lt;=M92,N92&lt;=O92,U92&lt;=V92,R92&lt;=S92,W92&lt;=X92,T92&gt;=1),"通过","检查"))</f>
      </c>
      <c r="AA92" s="14" t="s">
        <v>33</v>
      </c>
    </row>
    <row r="93" ht="31" customHeight="1" spans="1:27">
      <c r="A93" s="9"/>
      <c r="B93" s="9" t="s">
        <v>32</v>
      </c>
      <c r="C93" s="9" t="s">
        <v>30</v>
      </c>
      <c r="D93" s="10">
        <v>20</v>
      </c>
      <c r="E93" s="9" t="s">
        <v>26</v>
      </c>
      <c r="F93" s="10">
        <v>0.3</v>
      </c>
      <c r="G93" s="10">
        <v>20</v>
      </c>
      <c r="H93" s="10">
        <v>1</v>
      </c>
      <c r="I93" s="10">
        <v>3</v>
      </c>
      <c r="J93" s="10">
        <v>0.3</v>
      </c>
      <c r="K93" s="10">
        <v>0.2</v>
      </c>
      <c r="L93" s="11"/>
      <c r="M93" s="11"/>
      <c r="N93" s="11"/>
      <c r="O93" s="11"/>
      <c r="P93" s="11"/>
      <c r="Q93" s="11"/>
      <c r="R93" s="12" t="str">
        <f t="shared" si="8"/>
        <v/>
      </c>
      <c r="S93" s="12" t="str">
        <f t="shared" si="9"/>
        <v/>
      </c>
      <c r="T93" s="12" t="str">
        <f>IF(COUNT(R93:S93)=2,AVERAGE(R93:S93),"")</f>
      </c>
      <c r="U93" s="11"/>
      <c r="V93" s="11"/>
      <c r="W93" s="12" t="str">
        <f t="shared" si="11"/>
        <v/>
      </c>
      <c r="X93" s="12" t="str">
        <f t="shared" si="12"/>
        <v/>
      </c>
      <c r="Y93" s="12" t="str">
        <f>IF(COUNT(W93:X93)=2,AVERAGE(W93:X93),"")</f>
      </c>
      <c r="Z93" s="13" t="str">
        <f>IF(COUNT(L93:O93)+COUNT(U93:V93)&lt;6,"待导师填写",IF(AND(L93&gt;=0,M93&lt;=1,N93&gt;=0,O93&lt;=1,U93&gt;=0,V93&lt;=1,L93&lt;=M93,N93&lt;=O93,U93&lt;=V93,R93&lt;=S93,W93&lt;=X93,T93&gt;=1),"通过","检查"))</f>
      </c>
      <c r="AA93" s="14" t="s">
        <v>33</v>
      </c>
    </row>
    <row r="94" ht="31" customHeight="1" spans="1:27">
      <c r="A94" s="9"/>
      <c r="B94" s="9" t="s">
        <v>32</v>
      </c>
      <c r="C94" s="9" t="s">
        <v>30</v>
      </c>
      <c r="D94" s="10">
        <v>24</v>
      </c>
      <c r="E94" s="9" t="s">
        <v>26</v>
      </c>
      <c r="F94" s="10">
        <v>0.3</v>
      </c>
      <c r="G94" s="10">
        <v>24</v>
      </c>
      <c r="H94" s="10">
        <v>1</v>
      </c>
      <c r="I94" s="10">
        <v>3</v>
      </c>
      <c r="J94" s="10">
        <v>0.3</v>
      </c>
      <c r="K94" s="10">
        <v>0.2</v>
      </c>
      <c r="L94" s="11"/>
      <c r="M94" s="11"/>
      <c r="N94" s="11"/>
      <c r="O94" s="11"/>
      <c r="P94" s="11"/>
      <c r="Q94" s="11"/>
      <c r="R94" s="12" t="str">
        <f t="shared" si="8"/>
        <v/>
      </c>
      <c r="S94" s="12" t="str">
        <f t="shared" si="9"/>
        <v/>
      </c>
      <c r="T94" s="12" t="str">
        <f>IF(COUNT(R94:S94)=2,AVERAGE(R94:S94),"")</f>
      </c>
      <c r="U94" s="11"/>
      <c r="V94" s="11"/>
      <c r="W94" s="12" t="str">
        <f t="shared" si="11"/>
        <v/>
      </c>
      <c r="X94" s="12" t="str">
        <f t="shared" si="12"/>
        <v/>
      </c>
      <c r="Y94" s="12" t="str">
        <f>IF(COUNT(W94:X94)=2,AVERAGE(W94:X94),"")</f>
      </c>
      <c r="Z94" s="13" t="str">
        <f>IF(COUNT(L94:O94)+COUNT(U94:V94)&lt;6,"待导师填写",IF(AND(L94&gt;=0,M94&lt;=1,N94&gt;=0,O94&lt;=1,U94&gt;=0,V94&lt;=1,L94&lt;=M94,N94&lt;=O94,U94&lt;=V94,R94&lt;=S94,W94&lt;=X94,T94&gt;=1),"通过","检查"))</f>
      </c>
      <c r="AA94" s="14" t="s">
        <v>33</v>
      </c>
    </row>
    <row r="95" ht="31" customHeight="1" spans="1:27">
      <c r="A95" s="9"/>
      <c r="B95" s="9" t="s">
        <v>32</v>
      </c>
      <c r="C95" s="9" t="s">
        <v>30</v>
      </c>
      <c r="D95" s="10">
        <v>28</v>
      </c>
      <c r="E95" s="9" t="s">
        <v>26</v>
      </c>
      <c r="F95" s="10">
        <v>0.3</v>
      </c>
      <c r="G95" s="10">
        <v>28</v>
      </c>
      <c r="H95" s="10">
        <v>1</v>
      </c>
      <c r="I95" s="10">
        <v>3</v>
      </c>
      <c r="J95" s="10">
        <v>0.3</v>
      </c>
      <c r="K95" s="10">
        <v>0.2</v>
      </c>
      <c r="L95" s="11"/>
      <c r="M95" s="11"/>
      <c r="N95" s="11"/>
      <c r="O95" s="11"/>
      <c r="P95" s="11"/>
      <c r="Q95" s="11"/>
      <c r="R95" s="12" t="str">
        <f t="shared" si="8"/>
        <v/>
      </c>
      <c r="S95" s="12" t="str">
        <f t="shared" si="9"/>
        <v/>
      </c>
      <c r="T95" s="12" t="str">
        <f>IF(COUNT(R95:S95)=2,AVERAGE(R95:S95),"")</f>
      </c>
      <c r="U95" s="11"/>
      <c r="V95" s="11"/>
      <c r="W95" s="12" t="str">
        <f t="shared" si="11"/>
        <v/>
      </c>
      <c r="X95" s="12" t="str">
        <f t="shared" si="12"/>
        <v/>
      </c>
      <c r="Y95" s="12" t="str">
        <f>IF(COUNT(W95:X95)=2,AVERAGE(W95:X95),"")</f>
      </c>
      <c r="Z95" s="13" t="str">
        <f>IF(COUNT(L95:O95)+COUNT(U95:V95)&lt;6,"待导师填写",IF(AND(L95&gt;=0,M95&lt;=1,N95&gt;=0,O95&lt;=1,U95&gt;=0,V95&lt;=1,L95&lt;=M95,N95&lt;=O95,U95&lt;=V95,R95&lt;=S95,W95&lt;=X95,T95&gt;=1),"通过","检查"))</f>
      </c>
      <c r="AA95" s="14" t="s">
        <v>33</v>
      </c>
    </row>
    <row r="96" ht="31" customHeight="1" spans="1:27">
      <c r="A96" s="9"/>
      <c r="B96" s="9" t="s">
        <v>32</v>
      </c>
      <c r="C96" s="9" t="s">
        <v>30</v>
      </c>
      <c r="D96" s="10">
        <v>32</v>
      </c>
      <c r="E96" s="9" t="s">
        <v>26</v>
      </c>
      <c r="F96" s="10">
        <v>0.3</v>
      </c>
      <c r="G96" s="10">
        <v>32</v>
      </c>
      <c r="H96" s="10">
        <v>1</v>
      </c>
      <c r="I96" s="10">
        <v>3</v>
      </c>
      <c r="J96" s="10">
        <v>0.3</v>
      </c>
      <c r="K96" s="10">
        <v>0.2</v>
      </c>
      <c r="L96" s="11"/>
      <c r="M96" s="11"/>
      <c r="N96" s="11"/>
      <c r="O96" s="11"/>
      <c r="P96" s="11"/>
      <c r="Q96" s="11"/>
      <c r="R96" s="12" t="str">
        <f t="shared" si="8"/>
        <v/>
      </c>
      <c r="S96" s="12" t="str">
        <f t="shared" si="9"/>
        <v/>
      </c>
      <c r="T96" s="12" t="str">
        <f>IF(COUNT(R96:S96)=2,AVERAGE(R96:S96),"")</f>
      </c>
      <c r="U96" s="11"/>
      <c r="V96" s="11"/>
      <c r="W96" s="12" t="str">
        <f t="shared" si="11"/>
        <v/>
      </c>
      <c r="X96" s="12" t="str">
        <f t="shared" si="12"/>
        <v/>
      </c>
      <c r="Y96" s="12" t="str">
        <f>IF(COUNT(W96:X96)=2,AVERAGE(W96:X96),"")</f>
      </c>
      <c r="Z96" s="13" t="str">
        <f>IF(COUNT(L96:O96)+COUNT(U96:V96)&lt;6,"待导师填写",IF(AND(L96&gt;=0,M96&lt;=1,N96&gt;=0,O96&lt;=1,U96&gt;=0,V96&lt;=1,L96&lt;=M96,N96&lt;=O96,U96&lt;=V96,R96&lt;=S96,W96&lt;=X96,T96&gt;=1),"通过","检查"))</f>
      </c>
      <c r="AA96" s="14" t="s">
        <v>33</v>
      </c>
    </row>
    <row r="97" ht="31" customHeight="1" spans="1:27">
      <c r="A97" s="9"/>
      <c r="B97" s="9" t="s">
        <v>32</v>
      </c>
      <c r="C97" s="9" t="s">
        <v>30</v>
      </c>
      <c r="D97" s="10">
        <v>36</v>
      </c>
      <c r="E97" s="9" t="s">
        <v>26</v>
      </c>
      <c r="F97" s="10">
        <v>0.3</v>
      </c>
      <c r="G97" s="10">
        <v>36</v>
      </c>
      <c r="H97" s="10">
        <v>1</v>
      </c>
      <c r="I97" s="10">
        <v>3</v>
      </c>
      <c r="J97" s="10">
        <v>0.3</v>
      </c>
      <c r="K97" s="10">
        <v>0.2</v>
      </c>
      <c r="L97" s="11"/>
      <c r="M97" s="11"/>
      <c r="N97" s="11"/>
      <c r="O97" s="11"/>
      <c r="P97" s="11"/>
      <c r="Q97" s="11"/>
      <c r="R97" s="12" t="str">
        <f t="shared" si="8"/>
        <v/>
      </c>
      <c r="S97" s="12" t="str">
        <f t="shared" si="9"/>
        <v/>
      </c>
      <c r="T97" s="12" t="str">
        <f>IF(COUNT(R97:S97)=2,AVERAGE(R97:S97),"")</f>
      </c>
      <c r="U97" s="11"/>
      <c r="V97" s="11"/>
      <c r="W97" s="12" t="str">
        <f t="shared" si="11"/>
        <v/>
      </c>
      <c r="X97" s="12" t="str">
        <f t="shared" si="12"/>
        <v/>
      </c>
      <c r="Y97" s="12" t="str">
        <f>IF(COUNT(W97:X97)=2,AVERAGE(W97:X97),"")</f>
      </c>
      <c r="Z97" s="13" t="str">
        <f>IF(COUNT(L97:O97)+COUNT(U97:V97)&lt;6,"待导师填写",IF(AND(L97&gt;=0,M97&lt;=1,N97&gt;=0,O97&lt;=1,U97&gt;=0,V97&lt;=1,L97&lt;=M97,N97&lt;=O97,U97&lt;=V97,R97&lt;=S97,W97&lt;=X97,T97&gt;=1),"通过","检查"))</f>
      </c>
      <c r="AA97" s="14" t="s">
        <v>33</v>
      </c>
    </row>
    <row r="98" ht="31" customHeight="1" spans="1:27">
      <c r="A98" s="9"/>
      <c r="B98" s="9" t="s">
        <v>32</v>
      </c>
      <c r="C98" s="9" t="s">
        <v>30</v>
      </c>
      <c r="D98" s="10">
        <v>40</v>
      </c>
      <c r="E98" s="9" t="s">
        <v>26</v>
      </c>
      <c r="F98" s="10">
        <v>0.3</v>
      </c>
      <c r="G98" s="10">
        <v>40</v>
      </c>
      <c r="H98" s="10">
        <v>1</v>
      </c>
      <c r="I98" s="10">
        <v>3</v>
      </c>
      <c r="J98" s="10">
        <v>0.3</v>
      </c>
      <c r="K98" s="10">
        <v>0.2</v>
      </c>
      <c r="L98" s="11"/>
      <c r="M98" s="11"/>
      <c r="N98" s="11"/>
      <c r="O98" s="11"/>
      <c r="P98" s="11"/>
      <c r="Q98" s="11"/>
      <c r="R98" s="12" t="str">
        <f t="shared" si="8"/>
        <v/>
      </c>
      <c r="S98" s="12" t="str">
        <f t="shared" si="9"/>
        <v/>
      </c>
      <c r="T98" s="12" t="str">
        <f>IF(COUNT(R98:S98)=2,AVERAGE(R98:S98),"")</f>
      </c>
      <c r="U98" s="11"/>
      <c r="V98" s="11"/>
      <c r="W98" s="12" t="str">
        <f t="shared" si="11"/>
        <v/>
      </c>
      <c r="X98" s="12" t="str">
        <f t="shared" si="12"/>
        <v/>
      </c>
      <c r="Y98" s="12" t="str">
        <f>IF(COUNT(W98:X98)=2,AVERAGE(W98:X98),"")</f>
      </c>
      <c r="Z98" s="13" t="str">
        <f>IF(COUNT(L98:O98)+COUNT(U98:V98)&lt;6,"待导师填写",IF(AND(L98&gt;=0,M98&lt;=1,N98&gt;=0,O98&lt;=1,U98&gt;=0,V98&lt;=1,L98&lt;=M98,N98&lt;=O98,U98&lt;=V98,R98&lt;=S98,W98&lt;=X98,T98&gt;=1),"通过","检查"))</f>
      </c>
      <c r="AA98" s="14" t="s">
        <v>33</v>
      </c>
    </row>
    <row r="99" ht="31" customHeight="1" spans="1:27">
      <c r="A99" s="9"/>
      <c r="B99" s="9" t="s">
        <v>32</v>
      </c>
      <c r="C99" s="9" t="s">
        <v>30</v>
      </c>
      <c r="D99" s="10">
        <v>44</v>
      </c>
      <c r="E99" s="9" t="s">
        <v>26</v>
      </c>
      <c r="F99" s="10">
        <v>0.3</v>
      </c>
      <c r="G99" s="10">
        <v>44</v>
      </c>
      <c r="H99" s="10">
        <v>1</v>
      </c>
      <c r="I99" s="10">
        <v>3</v>
      </c>
      <c r="J99" s="10">
        <v>0.3</v>
      </c>
      <c r="K99" s="10">
        <v>0.2</v>
      </c>
      <c r="L99" s="11"/>
      <c r="M99" s="11"/>
      <c r="N99" s="11"/>
      <c r="O99" s="11"/>
      <c r="P99" s="11"/>
      <c r="Q99" s="11"/>
      <c r="R99" s="12" t="str">
        <f t="shared" si="8"/>
        <v/>
      </c>
      <c r="S99" s="12" t="str">
        <f t="shared" si="9"/>
        <v/>
      </c>
      <c r="T99" s="12" t="str">
        <f>IF(COUNT(R99:S99)=2,AVERAGE(R99:S99),"")</f>
      </c>
      <c r="U99" s="11"/>
      <c r="V99" s="11"/>
      <c r="W99" s="12" t="str">
        <f t="shared" si="11"/>
        <v/>
      </c>
      <c r="X99" s="12" t="str">
        <f t="shared" si="12"/>
        <v/>
      </c>
      <c r="Y99" s="12" t="str">
        <f>IF(COUNT(W99:X99)=2,AVERAGE(W99:X99),"")</f>
      </c>
      <c r="Z99" s="13" t="str">
        <f>IF(COUNT(L99:O99)+COUNT(U99:V99)&lt;6,"待导师填写",IF(AND(L99&gt;=0,M99&lt;=1,N99&gt;=0,O99&lt;=1,U99&gt;=0,V99&lt;=1,L99&lt;=M99,N99&lt;=O99,U99&lt;=V99,R99&lt;=S99,W99&lt;=X99,T99&gt;=1),"通过","检查"))</f>
      </c>
      <c r="AA99" s="14" t="s">
        <v>33</v>
      </c>
    </row>
    <row r="100" ht="31" customHeight="1" spans="1:27">
      <c r="A100" s="9"/>
      <c r="B100" s="9" t="s">
        <v>32</v>
      </c>
      <c r="C100" s="9" t="s">
        <v>30</v>
      </c>
      <c r="D100" s="10">
        <v>48</v>
      </c>
      <c r="E100" s="9" t="s">
        <v>26</v>
      </c>
      <c r="F100" s="10">
        <v>0.3</v>
      </c>
      <c r="G100" s="10">
        <v>48</v>
      </c>
      <c r="H100" s="10">
        <v>1</v>
      </c>
      <c r="I100" s="10">
        <v>3</v>
      </c>
      <c r="J100" s="10">
        <v>0.3</v>
      </c>
      <c r="K100" s="10">
        <v>0.2</v>
      </c>
      <c r="L100" s="11"/>
      <c r="M100" s="11"/>
      <c r="N100" s="11"/>
      <c r="O100" s="11"/>
      <c r="P100" s="11"/>
      <c r="Q100" s="11"/>
      <c r="R100" s="12" t="str">
        <f t="shared" si="8"/>
        <v/>
      </c>
      <c r="S100" s="12" t="str">
        <f t="shared" si="9"/>
        <v/>
      </c>
      <c r="T100" s="12" t="str">
        <f>IF(COUNT(R100:S100)=2,AVERAGE(R100:S100),"")</f>
      </c>
      <c r="U100" s="11"/>
      <c r="V100" s="11"/>
      <c r="W100" s="12" t="str">
        <f t="shared" si="11"/>
        <v/>
      </c>
      <c r="X100" s="12" t="str">
        <f t="shared" si="12"/>
        <v/>
      </c>
      <c r="Y100" s="12" t="str">
        <f>IF(COUNT(W100:X100)=2,AVERAGE(W100:X100),"")</f>
      </c>
      <c r="Z100" s="13" t="str">
        <f>IF(COUNT(L100:O100)+COUNT(U100:V100)&lt;6,"待导师填写",IF(AND(L100&gt;=0,M100&lt;=1,N100&gt;=0,O100&lt;=1,U100&gt;=0,V100&lt;=1,L100&lt;=M100,N100&lt;=O100,U100&lt;=V100,R100&lt;=S100,W100&lt;=X100,T100&gt;=1),"通过","检查"))</f>
      </c>
      <c r="AA100" s="14" t="s">
        <v>33</v>
      </c>
    </row>
    <row r="101" ht="31" customHeight="1" spans="1:27">
      <c r="A101" s="9"/>
      <c r="B101" s="9" t="s">
        <v>32</v>
      </c>
      <c r="C101" s="9" t="s">
        <v>30</v>
      </c>
      <c r="D101" s="10">
        <v>52</v>
      </c>
      <c r="E101" s="9" t="s">
        <v>26</v>
      </c>
      <c r="F101" s="10">
        <v>0.3</v>
      </c>
      <c r="G101" s="10">
        <v>52</v>
      </c>
      <c r="H101" s="10">
        <v>1</v>
      </c>
      <c r="I101" s="10">
        <v>3</v>
      </c>
      <c r="J101" s="10">
        <v>0.3</v>
      </c>
      <c r="K101" s="10">
        <v>0.2</v>
      </c>
      <c r="L101" s="11"/>
      <c r="M101" s="11"/>
      <c r="N101" s="11"/>
      <c r="O101" s="11"/>
      <c r="P101" s="11"/>
      <c r="Q101" s="11"/>
      <c r="R101" s="12" t="str">
        <f t="shared" si="8"/>
        <v/>
      </c>
      <c r="S101" s="12" t="str">
        <f t="shared" si="9"/>
        <v/>
      </c>
      <c r="T101" s="12" t="str">
        <f>IF(COUNT(R101:S101)=2,AVERAGE(R101:S101),"")</f>
      </c>
      <c r="U101" s="11"/>
      <c r="V101" s="11"/>
      <c r="W101" s="12" t="str">
        <f t="shared" si="11"/>
        <v/>
      </c>
      <c r="X101" s="12" t="str">
        <f t="shared" si="12"/>
        <v/>
      </c>
      <c r="Y101" s="12" t="str">
        <f>IF(COUNT(W101:X101)=2,AVERAGE(W101:X101),"")</f>
      </c>
      <c r="Z101" s="13" t="str">
        <f>IF(COUNT(L101:O101)+COUNT(U101:V101)&lt;6,"待导师填写",IF(AND(L101&gt;=0,M101&lt;=1,N101&gt;=0,O101&lt;=1,U101&gt;=0,V101&lt;=1,L101&lt;=M101,N101&lt;=O101,U101&lt;=V101,R101&lt;=S101,W101&lt;=X101,T101&gt;=1),"通过","检查"))</f>
      </c>
      <c r="AA101" s="14" t="s">
        <v>33</v>
      </c>
    </row>
    <row r="102" ht="31" customHeight="1" spans="1:27">
      <c r="A102" s="9"/>
      <c r="B102" s="9" t="s">
        <v>32</v>
      </c>
      <c r="C102" s="9" t="s">
        <v>30</v>
      </c>
      <c r="D102" s="10">
        <v>8</v>
      </c>
      <c r="E102" s="9" t="s">
        <v>26</v>
      </c>
      <c r="F102" s="10">
        <v>0.4</v>
      </c>
      <c r="G102" s="10">
        <v>8</v>
      </c>
      <c r="H102" s="10">
        <v>1</v>
      </c>
      <c r="I102" s="10">
        <v>3</v>
      </c>
      <c r="J102" s="10">
        <v>0.4</v>
      </c>
      <c r="K102" s="10">
        <v>0.2</v>
      </c>
      <c r="L102" s="11"/>
      <c r="M102" s="11"/>
      <c r="N102" s="11"/>
      <c r="O102" s="11"/>
      <c r="P102" s="11"/>
      <c r="Q102" s="11"/>
      <c r="R102" s="12" t="str">
        <f t="shared" si="8"/>
        <v/>
      </c>
      <c r="S102" s="12" t="str">
        <f t="shared" si="9"/>
        <v/>
      </c>
      <c r="T102" s="12" t="str">
        <f>IF(COUNT(R102:S102)=2,AVERAGE(R102:S102),"")</f>
      </c>
      <c r="U102" s="11"/>
      <c r="V102" s="11"/>
      <c r="W102" s="12" t="str">
        <f t="shared" si="11"/>
        <v/>
      </c>
      <c r="X102" s="12" t="str">
        <f t="shared" si="12"/>
        <v/>
      </c>
      <c r="Y102" s="12" t="str">
        <f>IF(COUNT(W102:X102)=2,AVERAGE(W102:X102),"")</f>
      </c>
      <c r="Z102" s="13" t="str">
        <f>IF(COUNT(L102:O102)+COUNT(U102:V102)&lt;6,"待导师填写",IF(AND(L102&gt;=0,M102&lt;=1,N102&gt;=0,O102&lt;=1,U102&gt;=0,V102&lt;=1,L102&lt;=M102,N102&lt;=O102,U102&lt;=V102,R102&lt;=S102,W102&lt;=X102,T102&gt;=1),"通过","检查"))</f>
      </c>
      <c r="AA102" s="14" t="s">
        <v>33</v>
      </c>
    </row>
    <row r="103" ht="31" customHeight="1" spans="1:27">
      <c r="A103" s="9"/>
      <c r="B103" s="9" t="s">
        <v>32</v>
      </c>
      <c r="C103" s="9" t="s">
        <v>30</v>
      </c>
      <c r="D103" s="10">
        <v>12</v>
      </c>
      <c r="E103" s="9" t="s">
        <v>26</v>
      </c>
      <c r="F103" s="10">
        <v>0.4</v>
      </c>
      <c r="G103" s="10">
        <v>12</v>
      </c>
      <c r="H103" s="10">
        <v>1</v>
      </c>
      <c r="I103" s="10">
        <v>3</v>
      </c>
      <c r="J103" s="10">
        <v>0.4</v>
      </c>
      <c r="K103" s="10">
        <v>0.2</v>
      </c>
      <c r="L103" s="11"/>
      <c r="M103" s="11"/>
      <c r="N103" s="11"/>
      <c r="O103" s="11"/>
      <c r="P103" s="11"/>
      <c r="Q103" s="11"/>
      <c r="R103" s="12" t="str">
        <f t="shared" si="8"/>
        <v/>
      </c>
      <c r="S103" s="12" t="str">
        <f t="shared" si="9"/>
        <v/>
      </c>
      <c r="T103" s="12" t="str">
        <f>IF(COUNT(R103:S103)=2,AVERAGE(R103:S103),"")</f>
      </c>
      <c r="U103" s="11"/>
      <c r="V103" s="11"/>
      <c r="W103" s="12" t="str">
        <f t="shared" si="11"/>
        <v/>
      </c>
      <c r="X103" s="12" t="str">
        <f t="shared" si="12"/>
        <v/>
      </c>
      <c r="Y103" s="12" t="str">
        <f>IF(COUNT(W103:X103)=2,AVERAGE(W103:X103),"")</f>
      </c>
      <c r="Z103" s="13" t="str">
        <f>IF(COUNT(L103:O103)+COUNT(U103:V103)&lt;6,"待导师填写",IF(AND(L103&gt;=0,M103&lt;=1,N103&gt;=0,O103&lt;=1,U103&gt;=0,V103&lt;=1,L103&lt;=M103,N103&lt;=O103,U103&lt;=V103,R103&lt;=S103,W103&lt;=X103,T103&gt;=1),"通过","检查"))</f>
      </c>
      <c r="AA103" s="14" t="s">
        <v>33</v>
      </c>
    </row>
    <row r="104" ht="31" customHeight="1" spans="1:27">
      <c r="A104" s="9"/>
      <c r="B104" s="9" t="s">
        <v>32</v>
      </c>
      <c r="C104" s="9" t="s">
        <v>30</v>
      </c>
      <c r="D104" s="10">
        <v>16</v>
      </c>
      <c r="E104" s="9" t="s">
        <v>26</v>
      </c>
      <c r="F104" s="10">
        <v>0.4</v>
      </c>
      <c r="G104" s="10">
        <v>16</v>
      </c>
      <c r="H104" s="10">
        <v>1</v>
      </c>
      <c r="I104" s="10">
        <v>3</v>
      </c>
      <c r="J104" s="10">
        <v>0.4</v>
      </c>
      <c r="K104" s="10">
        <v>0.2</v>
      </c>
      <c r="L104" s="11"/>
      <c r="M104" s="11"/>
      <c r="N104" s="11"/>
      <c r="O104" s="11"/>
      <c r="P104" s="11"/>
      <c r="Q104" s="11"/>
      <c r="R104" s="12" t="str">
        <f t="shared" si="8"/>
        <v/>
      </c>
      <c r="S104" s="12" t="str">
        <f t="shared" si="9"/>
        <v/>
      </c>
      <c r="T104" s="12" t="str">
        <f>IF(COUNT(R104:S104)=2,AVERAGE(R104:S104),"")</f>
      </c>
      <c r="U104" s="11"/>
      <c r="V104" s="11"/>
      <c r="W104" s="12" t="str">
        <f t="shared" si="11"/>
        <v/>
      </c>
      <c r="X104" s="12" t="str">
        <f t="shared" si="12"/>
        <v/>
      </c>
      <c r="Y104" s="12" t="str">
        <f>IF(COUNT(W104:X104)=2,AVERAGE(W104:X104),"")</f>
      </c>
      <c r="Z104" s="13" t="str">
        <f>IF(COUNT(L104:O104)+COUNT(U104:V104)&lt;6,"待导师填写",IF(AND(L104&gt;=0,M104&lt;=1,N104&gt;=0,O104&lt;=1,U104&gt;=0,V104&lt;=1,L104&lt;=M104,N104&lt;=O104,U104&lt;=V104,R104&lt;=S104,W104&lt;=X104,T104&gt;=1),"通过","检查"))</f>
      </c>
      <c r="AA104" s="14" t="s">
        <v>33</v>
      </c>
    </row>
    <row r="105" ht="31" customHeight="1" spans="1:27">
      <c r="A105" s="9"/>
      <c r="B105" s="9" t="s">
        <v>32</v>
      </c>
      <c r="C105" s="9" t="s">
        <v>30</v>
      </c>
      <c r="D105" s="10">
        <v>20</v>
      </c>
      <c r="E105" s="9" t="s">
        <v>26</v>
      </c>
      <c r="F105" s="10">
        <v>0.4</v>
      </c>
      <c r="G105" s="10">
        <v>20</v>
      </c>
      <c r="H105" s="10">
        <v>1</v>
      </c>
      <c r="I105" s="10">
        <v>3</v>
      </c>
      <c r="J105" s="10">
        <v>0.4</v>
      </c>
      <c r="K105" s="10">
        <v>0.2</v>
      </c>
      <c r="L105" s="11"/>
      <c r="M105" s="11"/>
      <c r="N105" s="11"/>
      <c r="O105" s="11"/>
      <c r="P105" s="11"/>
      <c r="Q105" s="11"/>
      <c r="R105" s="12" t="str">
        <f t="shared" si="8"/>
        <v/>
      </c>
      <c r="S105" s="12" t="str">
        <f t="shared" si="9"/>
        <v/>
      </c>
      <c r="T105" s="12" t="str">
        <f>IF(COUNT(R105:S105)=2,AVERAGE(R105:S105),"")</f>
      </c>
      <c r="U105" s="11"/>
      <c r="V105" s="11"/>
      <c r="W105" s="12" t="str">
        <f t="shared" si="11"/>
        <v/>
      </c>
      <c r="X105" s="12" t="str">
        <f t="shared" si="12"/>
        <v/>
      </c>
      <c r="Y105" s="12" t="str">
        <f>IF(COUNT(W105:X105)=2,AVERAGE(W105:X105),"")</f>
      </c>
      <c r="Z105" s="13" t="str">
        <f>IF(COUNT(L105:O105)+COUNT(U105:V105)&lt;6,"待导师填写",IF(AND(L105&gt;=0,M105&lt;=1,N105&gt;=0,O105&lt;=1,U105&gt;=0,V105&lt;=1,L105&lt;=M105,N105&lt;=O105,U105&lt;=V105,R105&lt;=S105,W105&lt;=X105,T105&gt;=1),"通过","检查"))</f>
      </c>
      <c r="AA105" s="14" t="s">
        <v>33</v>
      </c>
    </row>
    <row r="106" ht="31" customHeight="1" spans="1:27">
      <c r="A106" s="9"/>
      <c r="B106" s="9" t="s">
        <v>32</v>
      </c>
      <c r="C106" s="9" t="s">
        <v>30</v>
      </c>
      <c r="D106" s="10">
        <v>24</v>
      </c>
      <c r="E106" s="9" t="s">
        <v>26</v>
      </c>
      <c r="F106" s="10">
        <v>0.4</v>
      </c>
      <c r="G106" s="10">
        <v>24</v>
      </c>
      <c r="H106" s="10">
        <v>1</v>
      </c>
      <c r="I106" s="10">
        <v>3</v>
      </c>
      <c r="J106" s="10">
        <v>0.4</v>
      </c>
      <c r="K106" s="10">
        <v>0.2</v>
      </c>
      <c r="L106" s="11"/>
      <c r="M106" s="11"/>
      <c r="N106" s="11"/>
      <c r="O106" s="11"/>
      <c r="P106" s="11"/>
      <c r="Q106" s="11"/>
      <c r="R106" s="12" t="str">
        <f t="shared" si="8"/>
        <v/>
      </c>
      <c r="S106" s="12" t="str">
        <f t="shared" si="9"/>
        <v/>
      </c>
      <c r="T106" s="12" t="str">
        <f>IF(COUNT(R106:S106)=2,AVERAGE(R106:S106),"")</f>
      </c>
      <c r="U106" s="11"/>
      <c r="V106" s="11"/>
      <c r="W106" s="12" t="str">
        <f t="shared" si="11"/>
        <v/>
      </c>
      <c r="X106" s="12" t="str">
        <f t="shared" si="12"/>
        <v/>
      </c>
      <c r="Y106" s="12" t="str">
        <f>IF(COUNT(W106:X106)=2,AVERAGE(W106:X106),"")</f>
      </c>
      <c r="Z106" s="13" t="str">
        <f>IF(COUNT(L106:O106)+COUNT(U106:V106)&lt;6,"待导师填写",IF(AND(L106&gt;=0,M106&lt;=1,N106&gt;=0,O106&lt;=1,U106&gt;=0,V106&lt;=1,L106&lt;=M106,N106&lt;=O106,U106&lt;=V106,R106&lt;=S106,W106&lt;=X106,T106&gt;=1),"通过","检查"))</f>
      </c>
      <c r="AA106" s="14" t="s">
        <v>33</v>
      </c>
    </row>
    <row r="107" ht="31" customHeight="1" spans="1:27">
      <c r="A107" s="9"/>
      <c r="B107" s="9" t="s">
        <v>32</v>
      </c>
      <c r="C107" s="9" t="s">
        <v>30</v>
      </c>
      <c r="D107" s="10">
        <v>28</v>
      </c>
      <c r="E107" s="9" t="s">
        <v>26</v>
      </c>
      <c r="F107" s="10">
        <v>0.4</v>
      </c>
      <c r="G107" s="10">
        <v>28</v>
      </c>
      <c r="H107" s="10">
        <v>1</v>
      </c>
      <c r="I107" s="10">
        <v>3</v>
      </c>
      <c r="J107" s="10">
        <v>0.4</v>
      </c>
      <c r="K107" s="10">
        <v>0.2</v>
      </c>
      <c r="L107" s="11"/>
      <c r="M107" s="11"/>
      <c r="N107" s="11"/>
      <c r="O107" s="11"/>
      <c r="P107" s="11"/>
      <c r="Q107" s="11"/>
      <c r="R107" s="12" t="str">
        <f t="shared" si="8"/>
        <v/>
      </c>
      <c r="S107" s="12" t="str">
        <f t="shared" si="9"/>
        <v/>
      </c>
      <c r="T107" s="12" t="str">
        <f>IF(COUNT(R107:S107)=2,AVERAGE(R107:S107),"")</f>
      </c>
      <c r="U107" s="11"/>
      <c r="V107" s="11"/>
      <c r="W107" s="12" t="str">
        <f t="shared" si="11"/>
        <v/>
      </c>
      <c r="X107" s="12" t="str">
        <f t="shared" si="12"/>
        <v/>
      </c>
      <c r="Y107" s="12" t="str">
        <f>IF(COUNT(W107:X107)=2,AVERAGE(W107:X107),"")</f>
      </c>
      <c r="Z107" s="13" t="str">
        <f>IF(COUNT(L107:O107)+COUNT(U107:V107)&lt;6,"待导师填写",IF(AND(L107&gt;=0,M107&lt;=1,N107&gt;=0,O107&lt;=1,U107&gt;=0,V107&lt;=1,L107&lt;=M107,N107&lt;=O107,U107&lt;=V107,R107&lt;=S107,W107&lt;=X107,T107&gt;=1),"通过","检查"))</f>
      </c>
      <c r="AA107" s="14" t="s">
        <v>33</v>
      </c>
    </row>
    <row r="108" ht="31" customHeight="1" spans="1:27">
      <c r="A108" s="9"/>
      <c r="B108" s="9" t="s">
        <v>32</v>
      </c>
      <c r="C108" s="9" t="s">
        <v>30</v>
      </c>
      <c r="D108" s="10">
        <v>32</v>
      </c>
      <c r="E108" s="9" t="s">
        <v>26</v>
      </c>
      <c r="F108" s="10">
        <v>0.4</v>
      </c>
      <c r="G108" s="10">
        <v>32</v>
      </c>
      <c r="H108" s="10">
        <v>1</v>
      </c>
      <c r="I108" s="10">
        <v>3</v>
      </c>
      <c r="J108" s="10">
        <v>0.4</v>
      </c>
      <c r="K108" s="10">
        <v>0.2</v>
      </c>
      <c r="L108" s="11"/>
      <c r="M108" s="11"/>
      <c r="N108" s="11"/>
      <c r="O108" s="11"/>
      <c r="P108" s="11"/>
      <c r="Q108" s="11"/>
      <c r="R108" s="12" t="str">
        <f t="shared" si="8"/>
        <v/>
      </c>
      <c r="S108" s="12" t="str">
        <f t="shared" si="9"/>
        <v/>
      </c>
      <c r="T108" s="12" t="str">
        <f>IF(COUNT(R108:S108)=2,AVERAGE(R108:S108),"")</f>
      </c>
      <c r="U108" s="11"/>
      <c r="V108" s="11"/>
      <c r="W108" s="12" t="str">
        <f t="shared" si="11"/>
        <v/>
      </c>
      <c r="X108" s="12" t="str">
        <f t="shared" si="12"/>
        <v/>
      </c>
      <c r="Y108" s="12" t="str">
        <f>IF(COUNT(W108:X108)=2,AVERAGE(W108:X108),"")</f>
      </c>
      <c r="Z108" s="13" t="str">
        <f>IF(COUNT(L108:O108)+COUNT(U108:V108)&lt;6,"待导师填写",IF(AND(L108&gt;=0,M108&lt;=1,N108&gt;=0,O108&lt;=1,U108&gt;=0,V108&lt;=1,L108&lt;=M108,N108&lt;=O108,U108&lt;=V108,R108&lt;=S108,W108&lt;=X108,T108&gt;=1),"通过","检查"))</f>
      </c>
      <c r="AA108" s="14" t="s">
        <v>33</v>
      </c>
    </row>
    <row r="109" ht="31" customHeight="1" spans="1:27">
      <c r="A109" s="9"/>
      <c r="B109" s="9" t="s">
        <v>32</v>
      </c>
      <c r="C109" s="9" t="s">
        <v>30</v>
      </c>
      <c r="D109" s="10">
        <v>36</v>
      </c>
      <c r="E109" s="9" t="s">
        <v>26</v>
      </c>
      <c r="F109" s="10">
        <v>0.4</v>
      </c>
      <c r="G109" s="10">
        <v>36</v>
      </c>
      <c r="H109" s="10">
        <v>1</v>
      </c>
      <c r="I109" s="10">
        <v>3</v>
      </c>
      <c r="J109" s="10">
        <v>0.4</v>
      </c>
      <c r="K109" s="10">
        <v>0.2</v>
      </c>
      <c r="L109" s="11"/>
      <c r="M109" s="11"/>
      <c r="N109" s="11"/>
      <c r="O109" s="11"/>
      <c r="P109" s="11"/>
      <c r="Q109" s="11"/>
      <c r="R109" s="12" t="str">
        <f t="shared" si="8"/>
        <v/>
      </c>
      <c r="S109" s="12" t="str">
        <f t="shared" si="9"/>
        <v/>
      </c>
      <c r="T109" s="12" t="str">
        <f>IF(COUNT(R109:S109)=2,AVERAGE(R109:S109),"")</f>
      </c>
      <c r="U109" s="11"/>
      <c r="V109" s="11"/>
      <c r="W109" s="12" t="str">
        <f t="shared" si="11"/>
        <v/>
      </c>
      <c r="X109" s="12" t="str">
        <f t="shared" si="12"/>
        <v/>
      </c>
      <c r="Y109" s="12" t="str">
        <f>IF(COUNT(W109:X109)=2,AVERAGE(W109:X109),"")</f>
      </c>
      <c r="Z109" s="13" t="str">
        <f>IF(COUNT(L109:O109)+COUNT(U109:V109)&lt;6,"待导师填写",IF(AND(L109&gt;=0,M109&lt;=1,N109&gt;=0,O109&lt;=1,U109&gt;=0,V109&lt;=1,L109&lt;=M109,N109&lt;=O109,U109&lt;=V109,R109&lt;=S109,W109&lt;=X109,T109&gt;=1),"通过","检查"))</f>
      </c>
      <c r="AA109" s="14" t="s">
        <v>33</v>
      </c>
    </row>
    <row r="110" ht="31" customHeight="1" spans="1:27">
      <c r="A110" s="9"/>
      <c r="B110" s="9" t="s">
        <v>32</v>
      </c>
      <c r="C110" s="9" t="s">
        <v>30</v>
      </c>
      <c r="D110" s="10">
        <v>40</v>
      </c>
      <c r="E110" s="9" t="s">
        <v>26</v>
      </c>
      <c r="F110" s="10">
        <v>0.4</v>
      </c>
      <c r="G110" s="10">
        <v>40</v>
      </c>
      <c r="H110" s="10">
        <v>1</v>
      </c>
      <c r="I110" s="10">
        <v>3</v>
      </c>
      <c r="J110" s="10">
        <v>0.4</v>
      </c>
      <c r="K110" s="10">
        <v>0.2</v>
      </c>
      <c r="L110" s="11"/>
      <c r="M110" s="11"/>
      <c r="N110" s="11"/>
      <c r="O110" s="11"/>
      <c r="P110" s="11"/>
      <c r="Q110" s="11"/>
      <c r="R110" s="12" t="str">
        <f t="shared" si="8"/>
        <v/>
      </c>
      <c r="S110" s="12" t="str">
        <f t="shared" si="9"/>
        <v/>
      </c>
      <c r="T110" s="12" t="str">
        <f>IF(COUNT(R110:S110)=2,AVERAGE(R110:S110),"")</f>
      </c>
      <c r="U110" s="11"/>
      <c r="V110" s="11"/>
      <c r="W110" s="12" t="str">
        <f t="shared" si="11"/>
        <v/>
      </c>
      <c r="X110" s="12" t="str">
        <f t="shared" si="12"/>
        <v/>
      </c>
      <c r="Y110" s="12" t="str">
        <f>IF(COUNT(W110:X110)=2,AVERAGE(W110:X110),"")</f>
      </c>
      <c r="Z110" s="13" t="str">
        <f>IF(COUNT(L110:O110)+COUNT(U110:V110)&lt;6,"待导师填写",IF(AND(L110&gt;=0,M110&lt;=1,N110&gt;=0,O110&lt;=1,U110&gt;=0,V110&lt;=1,L110&lt;=M110,N110&lt;=O110,U110&lt;=V110,R110&lt;=S110,W110&lt;=X110,T110&gt;=1),"通过","检查"))</f>
      </c>
      <c r="AA110" s="14" t="s">
        <v>33</v>
      </c>
    </row>
    <row r="111" ht="31" customHeight="1" spans="1:27">
      <c r="A111" s="9"/>
      <c r="B111" s="9" t="s">
        <v>32</v>
      </c>
      <c r="C111" s="9" t="s">
        <v>30</v>
      </c>
      <c r="D111" s="10">
        <v>44</v>
      </c>
      <c r="E111" s="9" t="s">
        <v>26</v>
      </c>
      <c r="F111" s="10">
        <v>0.4</v>
      </c>
      <c r="G111" s="10">
        <v>44</v>
      </c>
      <c r="H111" s="10">
        <v>1</v>
      </c>
      <c r="I111" s="10">
        <v>3</v>
      </c>
      <c r="J111" s="10">
        <v>0.4</v>
      </c>
      <c r="K111" s="10">
        <v>0.2</v>
      </c>
      <c r="L111" s="11"/>
      <c r="M111" s="11"/>
      <c r="N111" s="11"/>
      <c r="O111" s="11"/>
      <c r="P111" s="11"/>
      <c r="Q111" s="11"/>
      <c r="R111" s="12" t="str">
        <f t="shared" si="8"/>
        <v/>
      </c>
      <c r="S111" s="12" t="str">
        <f t="shared" si="9"/>
        <v/>
      </c>
      <c r="T111" s="12" t="str">
        <f>IF(COUNT(R111:S111)=2,AVERAGE(R111:S111),"")</f>
      </c>
      <c r="U111" s="11"/>
      <c r="V111" s="11"/>
      <c r="W111" s="12" t="str">
        <f t="shared" si="11"/>
        <v/>
      </c>
      <c r="X111" s="12" t="str">
        <f t="shared" si="12"/>
        <v/>
      </c>
      <c r="Y111" s="12" t="str">
        <f>IF(COUNT(W111:X111)=2,AVERAGE(W111:X111),"")</f>
      </c>
      <c r="Z111" s="13" t="str">
        <f>IF(COUNT(L111:O111)+COUNT(U111:V111)&lt;6,"待导师填写",IF(AND(L111&gt;=0,M111&lt;=1,N111&gt;=0,O111&lt;=1,U111&gt;=0,V111&lt;=1,L111&lt;=M111,N111&lt;=O111,U111&lt;=V111,R111&lt;=S111,W111&lt;=X111,T111&gt;=1),"通过","检查"))</f>
      </c>
      <c r="AA111" s="14" t="s">
        <v>33</v>
      </c>
    </row>
    <row r="112" ht="31" customHeight="1" spans="1:27">
      <c r="A112" s="9"/>
      <c r="B112" s="9" t="s">
        <v>32</v>
      </c>
      <c r="C112" s="9" t="s">
        <v>30</v>
      </c>
      <c r="D112" s="10">
        <v>48</v>
      </c>
      <c r="E112" s="9" t="s">
        <v>26</v>
      </c>
      <c r="F112" s="10">
        <v>0.4</v>
      </c>
      <c r="G112" s="10">
        <v>48</v>
      </c>
      <c r="H112" s="10">
        <v>1</v>
      </c>
      <c r="I112" s="10">
        <v>3</v>
      </c>
      <c r="J112" s="10">
        <v>0.4</v>
      </c>
      <c r="K112" s="10">
        <v>0.2</v>
      </c>
      <c r="L112" s="11"/>
      <c r="M112" s="11"/>
      <c r="N112" s="11"/>
      <c r="O112" s="11"/>
      <c r="P112" s="11"/>
      <c r="Q112" s="11"/>
      <c r="R112" s="12" t="str">
        <f t="shared" si="8"/>
        <v/>
      </c>
      <c r="S112" s="12" t="str">
        <f t="shared" si="9"/>
        <v/>
      </c>
      <c r="T112" s="12" t="str">
        <f>IF(COUNT(R112:S112)=2,AVERAGE(R112:S112),"")</f>
      </c>
      <c r="U112" s="11"/>
      <c r="V112" s="11"/>
      <c r="W112" s="12" t="str">
        <f t="shared" si="11"/>
        <v/>
      </c>
      <c r="X112" s="12" t="str">
        <f t="shared" si="12"/>
        <v/>
      </c>
      <c r="Y112" s="12" t="str">
        <f>IF(COUNT(W112:X112)=2,AVERAGE(W112:X112),"")</f>
      </c>
      <c r="Z112" s="13" t="str">
        <f>IF(COUNT(L112:O112)+COUNT(U112:V112)&lt;6,"待导师填写",IF(AND(L112&gt;=0,M112&lt;=1,N112&gt;=0,O112&lt;=1,U112&gt;=0,V112&lt;=1,L112&lt;=M112,N112&lt;=O112,U112&lt;=V112,R112&lt;=S112,W112&lt;=X112,T112&gt;=1),"通过","检查"))</f>
      </c>
      <c r="AA112" s="14" t="s">
        <v>33</v>
      </c>
    </row>
    <row r="113" ht="31" customHeight="1" spans="1:27">
      <c r="A113" s="9"/>
      <c r="B113" s="9" t="s">
        <v>32</v>
      </c>
      <c r="C113" s="9" t="s">
        <v>30</v>
      </c>
      <c r="D113" s="10">
        <v>52</v>
      </c>
      <c r="E113" s="9" t="s">
        <v>26</v>
      </c>
      <c r="F113" s="10">
        <v>0.4</v>
      </c>
      <c r="G113" s="10">
        <v>52</v>
      </c>
      <c r="H113" s="10">
        <v>1</v>
      </c>
      <c r="I113" s="10">
        <v>3</v>
      </c>
      <c r="J113" s="10">
        <v>0.4</v>
      </c>
      <c r="K113" s="10">
        <v>0.2</v>
      </c>
      <c r="L113" s="11"/>
      <c r="M113" s="11"/>
      <c r="N113" s="11"/>
      <c r="O113" s="11"/>
      <c r="P113" s="11"/>
      <c r="Q113" s="11"/>
      <c r="R113" s="12" t="str">
        <f t="shared" si="8"/>
        <v/>
      </c>
      <c r="S113" s="12" t="str">
        <f t="shared" si="9"/>
        <v/>
      </c>
      <c r="T113" s="12" t="str">
        <f>IF(COUNT(R113:S113)=2,AVERAGE(R113:S113),"")</f>
      </c>
      <c r="U113" s="11"/>
      <c r="V113" s="11"/>
      <c r="W113" s="12" t="str">
        <f t="shared" si="11"/>
        <v/>
      </c>
      <c r="X113" s="12" t="str">
        <f t="shared" si="12"/>
        <v/>
      </c>
      <c r="Y113" s="12" t="str">
        <f>IF(COUNT(W113:X113)=2,AVERAGE(W113:X113),"")</f>
      </c>
      <c r="Z113" s="13" t="str">
        <f>IF(COUNT(L113:O113)+COUNT(U113:V113)&lt;6,"待导师填写",IF(AND(L113&gt;=0,M113&lt;=1,N113&gt;=0,O113&lt;=1,U113&gt;=0,V113&lt;=1,L113&lt;=M113,N113&lt;=O113,U113&lt;=V113,R113&lt;=S113,W113&lt;=X113,T113&gt;=1),"通过","检查"))</f>
      </c>
      <c r="AA113" s="14" t="s">
        <v>33</v>
      </c>
    </row>
    <row r="114" ht="31" customHeight="1" spans="1:27">
      <c r="A114" s="9"/>
      <c r="B114" s="9" t="s">
        <v>32</v>
      </c>
      <c r="C114" s="9" t="s">
        <v>30</v>
      </c>
      <c r="D114" s="10">
        <v>8</v>
      </c>
      <c r="E114" s="9" t="s">
        <v>26</v>
      </c>
      <c r="F114" s="10">
        <v>0.5</v>
      </c>
      <c r="G114" s="10">
        <v>8</v>
      </c>
      <c r="H114" s="10">
        <v>1</v>
      </c>
      <c r="I114" s="10">
        <v>3</v>
      </c>
      <c r="J114" s="10">
        <v>0.5</v>
      </c>
      <c r="K114" s="10">
        <v>0.2</v>
      </c>
      <c r="L114" s="11"/>
      <c r="M114" s="11"/>
      <c r="N114" s="11"/>
      <c r="O114" s="11"/>
      <c r="P114" s="11"/>
      <c r="Q114" s="11"/>
      <c r="R114" s="12" t="str">
        <f t="shared" si="8"/>
        <v/>
      </c>
      <c r="S114" s="12" t="str">
        <f t="shared" si="9"/>
        <v/>
      </c>
      <c r="T114" s="12" t="str">
        <f>IF(COUNT(R114:S114)=2,AVERAGE(R114:S114),"")</f>
      </c>
      <c r="U114" s="11"/>
      <c r="V114" s="11"/>
      <c r="W114" s="12" t="str">
        <f t="shared" si="11"/>
        <v/>
      </c>
      <c r="X114" s="12" t="str">
        <f t="shared" si="12"/>
        <v/>
      </c>
      <c r="Y114" s="12" t="str">
        <f>IF(COUNT(W114:X114)=2,AVERAGE(W114:X114),"")</f>
      </c>
      <c r="Z114" s="13" t="str">
        <f>IF(COUNT(L114:O114)+COUNT(U114:V114)&lt;6,"待导师填写",IF(AND(L114&gt;=0,M114&lt;=1,N114&gt;=0,O114&lt;=1,U114&gt;=0,V114&lt;=1,L114&lt;=M114,N114&lt;=O114,U114&lt;=V114,R114&lt;=S114,W114&lt;=X114,T114&gt;=1),"通过","检查"))</f>
      </c>
      <c r="AA114" s="14" t="s">
        <v>33</v>
      </c>
    </row>
    <row r="115" ht="31" customHeight="1" spans="1:27">
      <c r="A115" s="9"/>
      <c r="B115" s="9" t="s">
        <v>32</v>
      </c>
      <c r="C115" s="9" t="s">
        <v>30</v>
      </c>
      <c r="D115" s="10">
        <v>12</v>
      </c>
      <c r="E115" s="9" t="s">
        <v>26</v>
      </c>
      <c r="F115" s="10">
        <v>0.5</v>
      </c>
      <c r="G115" s="10">
        <v>12</v>
      </c>
      <c r="H115" s="10">
        <v>1</v>
      </c>
      <c r="I115" s="10">
        <v>3</v>
      </c>
      <c r="J115" s="10">
        <v>0.5</v>
      </c>
      <c r="K115" s="10">
        <v>0.2</v>
      </c>
      <c r="L115" s="11"/>
      <c r="M115" s="11"/>
      <c r="N115" s="11"/>
      <c r="O115" s="11"/>
      <c r="P115" s="11"/>
      <c r="Q115" s="11"/>
      <c r="R115" s="12" t="str">
        <f t="shared" si="8"/>
        <v/>
      </c>
      <c r="S115" s="12" t="str">
        <f t="shared" si="9"/>
        <v/>
      </c>
      <c r="T115" s="12" t="str">
        <f>IF(COUNT(R115:S115)=2,AVERAGE(R115:S115),"")</f>
      </c>
      <c r="U115" s="11"/>
      <c r="V115" s="11"/>
      <c r="W115" s="12" t="str">
        <f t="shared" si="11"/>
        <v/>
      </c>
      <c r="X115" s="12" t="str">
        <f t="shared" si="12"/>
        <v/>
      </c>
      <c r="Y115" s="12" t="str">
        <f>IF(COUNT(W115:X115)=2,AVERAGE(W115:X115),"")</f>
      </c>
      <c r="Z115" s="13" t="str">
        <f>IF(COUNT(L115:O115)+COUNT(U115:V115)&lt;6,"待导师填写",IF(AND(L115&gt;=0,M115&lt;=1,N115&gt;=0,O115&lt;=1,U115&gt;=0,V115&lt;=1,L115&lt;=M115,N115&lt;=O115,U115&lt;=V115,R115&lt;=S115,W115&lt;=X115,T115&gt;=1),"通过","检查"))</f>
      </c>
      <c r="AA115" s="14" t="s">
        <v>33</v>
      </c>
    </row>
    <row r="116" ht="31" customHeight="1" spans="1:27">
      <c r="A116" s="9"/>
      <c r="B116" s="9" t="s">
        <v>32</v>
      </c>
      <c r="C116" s="9" t="s">
        <v>30</v>
      </c>
      <c r="D116" s="10">
        <v>16</v>
      </c>
      <c r="E116" s="9" t="s">
        <v>26</v>
      </c>
      <c r="F116" s="10">
        <v>0.5</v>
      </c>
      <c r="G116" s="10">
        <v>16</v>
      </c>
      <c r="H116" s="10">
        <v>1</v>
      </c>
      <c r="I116" s="10">
        <v>3</v>
      </c>
      <c r="J116" s="10">
        <v>0.5</v>
      </c>
      <c r="K116" s="10">
        <v>0.2</v>
      </c>
      <c r="L116" s="11"/>
      <c r="M116" s="11"/>
      <c r="N116" s="11"/>
      <c r="O116" s="11"/>
      <c r="P116" s="11"/>
      <c r="Q116" s="11"/>
      <c r="R116" s="12" t="str">
        <f t="shared" si="8"/>
        <v/>
      </c>
      <c r="S116" s="12" t="str">
        <f t="shared" si="9"/>
        <v/>
      </c>
      <c r="T116" s="12" t="str">
        <f>IF(COUNT(R116:S116)=2,AVERAGE(R116:S116),"")</f>
      </c>
      <c r="U116" s="11"/>
      <c r="V116" s="11"/>
      <c r="W116" s="12" t="str">
        <f t="shared" si="11"/>
        <v/>
      </c>
      <c r="X116" s="12" t="str">
        <f t="shared" si="12"/>
        <v/>
      </c>
      <c r="Y116" s="12" t="str">
        <f>IF(COUNT(W116:X116)=2,AVERAGE(W116:X116),"")</f>
      </c>
      <c r="Z116" s="13" t="str">
        <f>IF(COUNT(L116:O116)+COUNT(U116:V116)&lt;6,"待导师填写",IF(AND(L116&gt;=0,M116&lt;=1,N116&gt;=0,O116&lt;=1,U116&gt;=0,V116&lt;=1,L116&lt;=M116,N116&lt;=O116,U116&lt;=V116,R116&lt;=S116,W116&lt;=X116,T116&gt;=1),"通过","检查"))</f>
      </c>
      <c r="AA116" s="14" t="s">
        <v>33</v>
      </c>
    </row>
    <row r="117" ht="31" customHeight="1" spans="1:27">
      <c r="A117" s="9"/>
      <c r="B117" s="9" t="s">
        <v>32</v>
      </c>
      <c r="C117" s="9" t="s">
        <v>30</v>
      </c>
      <c r="D117" s="10">
        <v>20</v>
      </c>
      <c r="E117" s="9" t="s">
        <v>26</v>
      </c>
      <c r="F117" s="10">
        <v>0.5</v>
      </c>
      <c r="G117" s="10">
        <v>20</v>
      </c>
      <c r="H117" s="10">
        <v>1</v>
      </c>
      <c r="I117" s="10">
        <v>3</v>
      </c>
      <c r="J117" s="10">
        <v>0.5</v>
      </c>
      <c r="K117" s="10">
        <v>0.2</v>
      </c>
      <c r="L117" s="11"/>
      <c r="M117" s="11"/>
      <c r="N117" s="11"/>
      <c r="O117" s="11"/>
      <c r="P117" s="11"/>
      <c r="Q117" s="11"/>
      <c r="R117" s="12" t="str">
        <f t="shared" si="8"/>
        <v/>
      </c>
      <c r="S117" s="12" t="str">
        <f t="shared" si="9"/>
        <v/>
      </c>
      <c r="T117" s="12" t="str">
        <f>IF(COUNT(R117:S117)=2,AVERAGE(R117:S117),"")</f>
      </c>
      <c r="U117" s="11"/>
      <c r="V117" s="11"/>
      <c r="W117" s="12" t="str">
        <f t="shared" si="11"/>
        <v/>
      </c>
      <c r="X117" s="12" t="str">
        <f t="shared" si="12"/>
        <v/>
      </c>
      <c r="Y117" s="12" t="str">
        <f>IF(COUNT(W117:X117)=2,AVERAGE(W117:X117),"")</f>
      </c>
      <c r="Z117" s="13" t="str">
        <f>IF(COUNT(L117:O117)+COUNT(U117:V117)&lt;6,"待导师填写",IF(AND(L117&gt;=0,M117&lt;=1,N117&gt;=0,O117&lt;=1,U117&gt;=0,V117&lt;=1,L117&lt;=M117,N117&lt;=O117,U117&lt;=V117,R117&lt;=S117,W117&lt;=X117,T117&gt;=1),"通过","检查"))</f>
      </c>
      <c r="AA117" s="14" t="s">
        <v>33</v>
      </c>
    </row>
    <row r="118" ht="31" customHeight="1" spans="1:27">
      <c r="A118" s="9"/>
      <c r="B118" s="9" t="s">
        <v>32</v>
      </c>
      <c r="C118" s="9" t="s">
        <v>30</v>
      </c>
      <c r="D118" s="10">
        <v>24</v>
      </c>
      <c r="E118" s="9" t="s">
        <v>26</v>
      </c>
      <c r="F118" s="10">
        <v>0.5</v>
      </c>
      <c r="G118" s="10">
        <v>24</v>
      </c>
      <c r="H118" s="10">
        <v>1</v>
      </c>
      <c r="I118" s="10">
        <v>3</v>
      </c>
      <c r="J118" s="10">
        <v>0.5</v>
      </c>
      <c r="K118" s="10">
        <v>0.2</v>
      </c>
      <c r="L118" s="11"/>
      <c r="M118" s="11"/>
      <c r="N118" s="11"/>
      <c r="O118" s="11"/>
      <c r="P118" s="11"/>
      <c r="Q118" s="11"/>
      <c r="R118" s="12" t="str">
        <f t="shared" si="8"/>
        <v/>
      </c>
      <c r="S118" s="12" t="str">
        <f t="shared" si="9"/>
        <v/>
      </c>
      <c r="T118" s="12" t="str">
        <f>IF(COUNT(R118:S118)=2,AVERAGE(R118:S118),"")</f>
      </c>
      <c r="U118" s="11"/>
      <c r="V118" s="11"/>
      <c r="W118" s="12" t="str">
        <f t="shared" si="11"/>
        <v/>
      </c>
      <c r="X118" s="12" t="str">
        <f t="shared" si="12"/>
        <v/>
      </c>
      <c r="Y118" s="12" t="str">
        <f>IF(COUNT(W118:X118)=2,AVERAGE(W118:X118),"")</f>
      </c>
      <c r="Z118" s="13" t="str">
        <f>IF(COUNT(L118:O118)+COUNT(U118:V118)&lt;6,"待导师填写",IF(AND(L118&gt;=0,M118&lt;=1,N118&gt;=0,O118&lt;=1,U118&gt;=0,V118&lt;=1,L118&lt;=M118,N118&lt;=O118,U118&lt;=V118,R118&lt;=S118,W118&lt;=X118,T118&gt;=1),"通过","检查"))</f>
      </c>
      <c r="AA118" s="14" t="s">
        <v>33</v>
      </c>
    </row>
    <row r="119" ht="31" customHeight="1" spans="1:27">
      <c r="A119" s="9"/>
      <c r="B119" s="9" t="s">
        <v>32</v>
      </c>
      <c r="C119" s="9" t="s">
        <v>30</v>
      </c>
      <c r="D119" s="10">
        <v>28</v>
      </c>
      <c r="E119" s="9" t="s">
        <v>26</v>
      </c>
      <c r="F119" s="10">
        <v>0.5</v>
      </c>
      <c r="G119" s="10">
        <v>28</v>
      </c>
      <c r="H119" s="10">
        <v>1</v>
      </c>
      <c r="I119" s="10">
        <v>3</v>
      </c>
      <c r="J119" s="10">
        <v>0.5</v>
      </c>
      <c r="K119" s="10">
        <v>0.2</v>
      </c>
      <c r="L119" s="11"/>
      <c r="M119" s="11"/>
      <c r="N119" s="11"/>
      <c r="O119" s="11"/>
      <c r="P119" s="11"/>
      <c r="Q119" s="11"/>
      <c r="R119" s="12" t="str">
        <f t="shared" si="8"/>
        <v/>
      </c>
      <c r="S119" s="12" t="str">
        <f t="shared" si="9"/>
        <v/>
      </c>
      <c r="T119" s="12" t="str">
        <f>IF(COUNT(R119:S119)=2,AVERAGE(R119:S119),"")</f>
      </c>
      <c r="U119" s="11"/>
      <c r="V119" s="11"/>
      <c r="W119" s="12" t="str">
        <f t="shared" si="11"/>
        <v/>
      </c>
      <c r="X119" s="12" t="str">
        <f t="shared" si="12"/>
        <v/>
      </c>
      <c r="Y119" s="12" t="str">
        <f>IF(COUNT(W119:X119)=2,AVERAGE(W119:X119),"")</f>
      </c>
      <c r="Z119" s="13" t="str">
        <f>IF(COUNT(L119:O119)+COUNT(U119:V119)&lt;6,"待导师填写",IF(AND(L119&gt;=0,M119&lt;=1,N119&gt;=0,O119&lt;=1,U119&gt;=0,V119&lt;=1,L119&lt;=M119,N119&lt;=O119,U119&lt;=V119,R119&lt;=S119,W119&lt;=X119,T119&gt;=1),"通过","检查"))</f>
      </c>
      <c r="AA119" s="14" t="s">
        <v>33</v>
      </c>
    </row>
    <row r="120" ht="31" customHeight="1" spans="1:27">
      <c r="A120" s="9"/>
      <c r="B120" s="9" t="s">
        <v>32</v>
      </c>
      <c r="C120" s="9" t="s">
        <v>30</v>
      </c>
      <c r="D120" s="10">
        <v>32</v>
      </c>
      <c r="E120" s="9" t="s">
        <v>26</v>
      </c>
      <c r="F120" s="10">
        <v>0.5</v>
      </c>
      <c r="G120" s="10">
        <v>32</v>
      </c>
      <c r="H120" s="10">
        <v>1</v>
      </c>
      <c r="I120" s="10">
        <v>3</v>
      </c>
      <c r="J120" s="10">
        <v>0.5</v>
      </c>
      <c r="K120" s="10">
        <v>0.2</v>
      </c>
      <c r="L120" s="11"/>
      <c r="M120" s="11"/>
      <c r="N120" s="11"/>
      <c r="O120" s="11"/>
      <c r="P120" s="11"/>
      <c r="Q120" s="11"/>
      <c r="R120" s="12" t="str">
        <f t="shared" si="8"/>
        <v/>
      </c>
      <c r="S120" s="12" t="str">
        <f t="shared" si="9"/>
        <v/>
      </c>
      <c r="T120" s="12" t="str">
        <f>IF(COUNT(R120:S120)=2,AVERAGE(R120:S120),"")</f>
      </c>
      <c r="U120" s="11"/>
      <c r="V120" s="11"/>
      <c r="W120" s="12" t="str">
        <f t="shared" si="11"/>
        <v/>
      </c>
      <c r="X120" s="12" t="str">
        <f t="shared" si="12"/>
        <v/>
      </c>
      <c r="Y120" s="12" t="str">
        <f>IF(COUNT(W120:X120)=2,AVERAGE(W120:X120),"")</f>
      </c>
      <c r="Z120" s="13" t="str">
        <f>IF(COUNT(L120:O120)+COUNT(U120:V120)&lt;6,"待导师填写",IF(AND(L120&gt;=0,M120&lt;=1,N120&gt;=0,O120&lt;=1,U120&gt;=0,V120&lt;=1,L120&lt;=M120,N120&lt;=O120,U120&lt;=V120,R120&lt;=S120,W120&lt;=X120,T120&gt;=1),"通过","检查"))</f>
      </c>
      <c r="AA120" s="14" t="s">
        <v>33</v>
      </c>
    </row>
    <row r="121" ht="31" customHeight="1" spans="1:27">
      <c r="A121" s="9"/>
      <c r="B121" s="9" t="s">
        <v>32</v>
      </c>
      <c r="C121" s="9" t="s">
        <v>30</v>
      </c>
      <c r="D121" s="10">
        <v>36</v>
      </c>
      <c r="E121" s="9" t="s">
        <v>26</v>
      </c>
      <c r="F121" s="10">
        <v>0.5</v>
      </c>
      <c r="G121" s="10">
        <v>36</v>
      </c>
      <c r="H121" s="10">
        <v>1</v>
      </c>
      <c r="I121" s="10">
        <v>3</v>
      </c>
      <c r="J121" s="10">
        <v>0.5</v>
      </c>
      <c r="K121" s="10">
        <v>0.2</v>
      </c>
      <c r="L121" s="11"/>
      <c r="M121" s="11"/>
      <c r="N121" s="11"/>
      <c r="O121" s="11"/>
      <c r="P121" s="11"/>
      <c r="Q121" s="11"/>
      <c r="R121" s="12" t="str">
        <f t="shared" si="8"/>
        <v/>
      </c>
      <c r="S121" s="12" t="str">
        <f t="shared" si="9"/>
        <v/>
      </c>
      <c r="T121" s="12" t="str">
        <f>IF(COUNT(R121:S121)=2,AVERAGE(R121:S121),"")</f>
      </c>
      <c r="U121" s="11"/>
      <c r="V121" s="11"/>
      <c r="W121" s="12" t="str">
        <f t="shared" si="11"/>
        <v/>
      </c>
      <c r="X121" s="12" t="str">
        <f t="shared" si="12"/>
        <v/>
      </c>
      <c r="Y121" s="12" t="str">
        <f>IF(COUNT(W121:X121)=2,AVERAGE(W121:X121),"")</f>
      </c>
      <c r="Z121" s="13" t="str">
        <f>IF(COUNT(L121:O121)+COUNT(U121:V121)&lt;6,"待导师填写",IF(AND(L121&gt;=0,M121&lt;=1,N121&gt;=0,O121&lt;=1,U121&gt;=0,V121&lt;=1,L121&lt;=M121,N121&lt;=O121,U121&lt;=V121,R121&lt;=S121,W121&lt;=X121,T121&gt;=1),"通过","检查"))</f>
      </c>
      <c r="AA121" s="14" t="s">
        <v>33</v>
      </c>
    </row>
    <row r="122" ht="31" customHeight="1" spans="1:27">
      <c r="A122" s="9"/>
      <c r="B122" s="9" t="s">
        <v>32</v>
      </c>
      <c r="C122" s="9" t="s">
        <v>30</v>
      </c>
      <c r="D122" s="10">
        <v>40</v>
      </c>
      <c r="E122" s="9" t="s">
        <v>26</v>
      </c>
      <c r="F122" s="10">
        <v>0.5</v>
      </c>
      <c r="G122" s="10">
        <v>40</v>
      </c>
      <c r="H122" s="10">
        <v>1</v>
      </c>
      <c r="I122" s="10">
        <v>3</v>
      </c>
      <c r="J122" s="10">
        <v>0.5</v>
      </c>
      <c r="K122" s="10">
        <v>0.2</v>
      </c>
      <c r="L122" s="11"/>
      <c r="M122" s="11"/>
      <c r="N122" s="11"/>
      <c r="O122" s="11"/>
      <c r="P122" s="11"/>
      <c r="Q122" s="11"/>
      <c r="R122" s="12" t="str">
        <f t="shared" si="8"/>
        <v/>
      </c>
      <c r="S122" s="12" t="str">
        <f t="shared" si="9"/>
        <v/>
      </c>
      <c r="T122" s="12" t="str">
        <f>IF(COUNT(R122:S122)=2,AVERAGE(R122:S122),"")</f>
      </c>
      <c r="U122" s="11"/>
      <c r="V122" s="11"/>
      <c r="W122" s="12" t="str">
        <f t="shared" si="11"/>
        <v/>
      </c>
      <c r="X122" s="12" t="str">
        <f t="shared" si="12"/>
        <v/>
      </c>
      <c r="Y122" s="12" t="str">
        <f>IF(COUNT(W122:X122)=2,AVERAGE(W122:X122),"")</f>
      </c>
      <c r="Z122" s="13" t="str">
        <f>IF(COUNT(L122:O122)+COUNT(U122:V122)&lt;6,"待导师填写",IF(AND(L122&gt;=0,M122&lt;=1,N122&gt;=0,O122&lt;=1,U122&gt;=0,V122&lt;=1,L122&lt;=M122,N122&lt;=O122,U122&lt;=V122,R122&lt;=S122,W122&lt;=X122,T122&gt;=1),"通过","检查"))</f>
      </c>
      <c r="AA122" s="14" t="s">
        <v>33</v>
      </c>
    </row>
    <row r="123" ht="31" customHeight="1" spans="1:27">
      <c r="A123" s="9"/>
      <c r="B123" s="9" t="s">
        <v>32</v>
      </c>
      <c r="C123" s="9" t="s">
        <v>30</v>
      </c>
      <c r="D123" s="10">
        <v>44</v>
      </c>
      <c r="E123" s="9" t="s">
        <v>26</v>
      </c>
      <c r="F123" s="10">
        <v>0.5</v>
      </c>
      <c r="G123" s="10">
        <v>44</v>
      </c>
      <c r="H123" s="10">
        <v>1</v>
      </c>
      <c r="I123" s="10">
        <v>3</v>
      </c>
      <c r="J123" s="10">
        <v>0.5</v>
      </c>
      <c r="K123" s="10">
        <v>0.2</v>
      </c>
      <c r="L123" s="11"/>
      <c r="M123" s="11"/>
      <c r="N123" s="11"/>
      <c r="O123" s="11"/>
      <c r="P123" s="11"/>
      <c r="Q123" s="11"/>
      <c r="R123" s="12" t="str">
        <f t="shared" si="8"/>
        <v/>
      </c>
      <c r="S123" s="12" t="str">
        <f t="shared" si="9"/>
        <v/>
      </c>
      <c r="T123" s="12" t="str">
        <f>IF(COUNT(R123:S123)=2,AVERAGE(R123:S123),"")</f>
      </c>
      <c r="U123" s="11"/>
      <c r="V123" s="11"/>
      <c r="W123" s="12" t="str">
        <f t="shared" si="11"/>
        <v/>
      </c>
      <c r="X123" s="12" t="str">
        <f t="shared" si="12"/>
        <v/>
      </c>
      <c r="Y123" s="12" t="str">
        <f>IF(COUNT(W123:X123)=2,AVERAGE(W123:X123),"")</f>
      </c>
      <c r="Z123" s="13" t="str">
        <f>IF(COUNT(L123:O123)+COUNT(U123:V123)&lt;6,"待导师填写",IF(AND(L123&gt;=0,M123&lt;=1,N123&gt;=0,O123&lt;=1,U123&gt;=0,V123&lt;=1,L123&lt;=M123,N123&lt;=O123,U123&lt;=V123,R123&lt;=S123,W123&lt;=X123,T123&gt;=1),"通过","检查"))</f>
      </c>
      <c r="AA123" s="14" t="s">
        <v>33</v>
      </c>
    </row>
    <row r="124" ht="31" customHeight="1" spans="1:27">
      <c r="A124" s="9"/>
      <c r="B124" s="9" t="s">
        <v>32</v>
      </c>
      <c r="C124" s="9" t="s">
        <v>30</v>
      </c>
      <c r="D124" s="10">
        <v>48</v>
      </c>
      <c r="E124" s="9" t="s">
        <v>26</v>
      </c>
      <c r="F124" s="10">
        <v>0.5</v>
      </c>
      <c r="G124" s="10">
        <v>48</v>
      </c>
      <c r="H124" s="10">
        <v>1</v>
      </c>
      <c r="I124" s="10">
        <v>3</v>
      </c>
      <c r="J124" s="10">
        <v>0.5</v>
      </c>
      <c r="K124" s="10">
        <v>0.2</v>
      </c>
      <c r="L124" s="11"/>
      <c r="M124" s="11"/>
      <c r="N124" s="11"/>
      <c r="O124" s="11"/>
      <c r="P124" s="11"/>
      <c r="Q124" s="11"/>
      <c r="R124" s="12" t="str">
        <f t="shared" si="8"/>
        <v/>
      </c>
      <c r="S124" s="12" t="str">
        <f t="shared" si="9"/>
        <v/>
      </c>
      <c r="T124" s="12" t="str">
        <f>IF(COUNT(R124:S124)=2,AVERAGE(R124:S124),"")</f>
      </c>
      <c r="U124" s="11"/>
      <c r="V124" s="11"/>
      <c r="W124" s="12" t="str">
        <f t="shared" si="11"/>
        <v/>
      </c>
      <c r="X124" s="12" t="str">
        <f t="shared" si="12"/>
        <v/>
      </c>
      <c r="Y124" s="12" t="str">
        <f>IF(COUNT(W124:X124)=2,AVERAGE(W124:X124),"")</f>
      </c>
      <c r="Z124" s="13" t="str">
        <f>IF(COUNT(L124:O124)+COUNT(U124:V124)&lt;6,"待导师填写",IF(AND(L124&gt;=0,M124&lt;=1,N124&gt;=0,O124&lt;=1,U124&gt;=0,V124&lt;=1,L124&lt;=M124,N124&lt;=O124,U124&lt;=V124,R124&lt;=S124,W124&lt;=X124,T124&gt;=1),"通过","检查"))</f>
      </c>
      <c r="AA124" s="14" t="s">
        <v>33</v>
      </c>
    </row>
    <row r="125" ht="31" customHeight="1" spans="1:27">
      <c r="A125" s="9"/>
      <c r="B125" s="9" t="s">
        <v>32</v>
      </c>
      <c r="C125" s="9" t="s">
        <v>30</v>
      </c>
      <c r="D125" s="10">
        <v>52</v>
      </c>
      <c r="E125" s="9" t="s">
        <v>26</v>
      </c>
      <c r="F125" s="10">
        <v>0.5</v>
      </c>
      <c r="G125" s="10">
        <v>52</v>
      </c>
      <c r="H125" s="10">
        <v>1</v>
      </c>
      <c r="I125" s="10">
        <v>3</v>
      </c>
      <c r="J125" s="10">
        <v>0.5</v>
      </c>
      <c r="K125" s="10">
        <v>0.2</v>
      </c>
      <c r="L125" s="11"/>
      <c r="M125" s="11"/>
      <c r="N125" s="11"/>
      <c r="O125" s="11"/>
      <c r="P125" s="11"/>
      <c r="Q125" s="11"/>
      <c r="R125" s="12" t="str">
        <f t="shared" si="8"/>
        <v/>
      </c>
      <c r="S125" s="12" t="str">
        <f t="shared" si="9"/>
        <v/>
      </c>
      <c r="T125" s="12" t="str">
        <f>IF(COUNT(R125:S125)=2,AVERAGE(R125:S125),"")</f>
      </c>
      <c r="U125" s="11"/>
      <c r="V125" s="11"/>
      <c r="W125" s="12" t="str">
        <f t="shared" si="11"/>
        <v/>
      </c>
      <c r="X125" s="12" t="str">
        <f t="shared" si="12"/>
        <v/>
      </c>
      <c r="Y125" s="12" t="str">
        <f>IF(COUNT(W125:X125)=2,AVERAGE(W125:X125),"")</f>
      </c>
      <c r="Z125" s="13" t="str">
        <f>IF(COUNT(L125:O125)+COUNT(U125:V125)&lt;6,"待导师填写",IF(AND(L125&gt;=0,M125&lt;=1,N125&gt;=0,O125&lt;=1,U125&gt;=0,V125&lt;=1,L125&lt;=M125,N125&lt;=O125,U125&lt;=V125,R125&lt;=S125,W125&lt;=X125,T125&gt;=1),"通过","检查"))</f>
      </c>
      <c r="AA125" s="14" t="s">
        <v>33</v>
      </c>
    </row>
    <row r="126" ht="31" customHeight="1" spans="1:27">
      <c r="A126" s="9"/>
      <c r="B126" s="9" t="s">
        <v>32</v>
      </c>
      <c r="C126" s="9" t="s">
        <v>30</v>
      </c>
      <c r="D126" s="10">
        <v>8</v>
      </c>
      <c r="E126" s="9" t="s">
        <v>26</v>
      </c>
      <c r="F126" s="10">
        <v>0.6</v>
      </c>
      <c r="G126" s="10">
        <v>8</v>
      </c>
      <c r="H126" s="10">
        <v>1</v>
      </c>
      <c r="I126" s="10">
        <v>3</v>
      </c>
      <c r="J126" s="10">
        <v>0.6</v>
      </c>
      <c r="K126" s="10">
        <v>0.2</v>
      </c>
      <c r="L126" s="11"/>
      <c r="M126" s="11"/>
      <c r="N126" s="11"/>
      <c r="O126" s="11"/>
      <c r="P126" s="11"/>
      <c r="Q126" s="11"/>
      <c r="R126" s="12" t="str">
        <f t="shared" si="8"/>
        <v/>
      </c>
      <c r="S126" s="12" t="str">
        <f t="shared" si="9"/>
        <v/>
      </c>
      <c r="T126" s="12" t="str">
        <f>IF(COUNT(R126:S126)=2,AVERAGE(R126:S126),"")</f>
      </c>
      <c r="U126" s="11"/>
      <c r="V126" s="11"/>
      <c r="W126" s="12" t="str">
        <f t="shared" si="11"/>
        <v/>
      </c>
      <c r="X126" s="12" t="str">
        <f t="shared" si="12"/>
        <v/>
      </c>
      <c r="Y126" s="12" t="str">
        <f>IF(COUNT(W126:X126)=2,AVERAGE(W126:X126),"")</f>
      </c>
      <c r="Z126" s="13" t="str">
        <f>IF(COUNT(L126:O126)+COUNT(U126:V126)&lt;6,"待导师填写",IF(AND(L126&gt;=0,M126&lt;=1,N126&gt;=0,O126&lt;=1,U126&gt;=0,V126&lt;=1,L126&lt;=M126,N126&lt;=O126,U126&lt;=V126,R126&lt;=S126,W126&lt;=X126,T126&gt;=1),"通过","检查"))</f>
      </c>
      <c r="AA126" s="14" t="s">
        <v>33</v>
      </c>
    </row>
    <row r="127" ht="31" customHeight="1" spans="1:27">
      <c r="A127" s="9"/>
      <c r="B127" s="9" t="s">
        <v>32</v>
      </c>
      <c r="C127" s="9" t="s">
        <v>30</v>
      </c>
      <c r="D127" s="10">
        <v>12</v>
      </c>
      <c r="E127" s="9" t="s">
        <v>26</v>
      </c>
      <c r="F127" s="10">
        <v>0.6</v>
      </c>
      <c r="G127" s="10">
        <v>12</v>
      </c>
      <c r="H127" s="10">
        <v>1</v>
      </c>
      <c r="I127" s="10">
        <v>3</v>
      </c>
      <c r="J127" s="10">
        <v>0.6</v>
      </c>
      <c r="K127" s="10">
        <v>0.2</v>
      </c>
      <c r="L127" s="11"/>
      <c r="M127" s="11"/>
      <c r="N127" s="11"/>
      <c r="O127" s="11"/>
      <c r="P127" s="11"/>
      <c r="Q127" s="11"/>
      <c r="R127" s="12" t="str">
        <f t="shared" si="8"/>
        <v/>
      </c>
      <c r="S127" s="12" t="str">
        <f t="shared" si="9"/>
        <v/>
      </c>
      <c r="T127" s="12" t="str">
        <f>IF(COUNT(R127:S127)=2,AVERAGE(R127:S127),"")</f>
      </c>
      <c r="U127" s="11"/>
      <c r="V127" s="11"/>
      <c r="W127" s="12" t="str">
        <f t="shared" si="11"/>
        <v/>
      </c>
      <c r="X127" s="12" t="str">
        <f t="shared" si="12"/>
        <v/>
      </c>
      <c r="Y127" s="12" t="str">
        <f>IF(COUNT(W127:X127)=2,AVERAGE(W127:X127),"")</f>
      </c>
      <c r="Z127" s="13" t="str">
        <f>IF(COUNT(L127:O127)+COUNT(U127:V127)&lt;6,"待导师填写",IF(AND(L127&gt;=0,M127&lt;=1,N127&gt;=0,O127&lt;=1,U127&gt;=0,V127&lt;=1,L127&lt;=M127,N127&lt;=O127,U127&lt;=V127,R127&lt;=S127,W127&lt;=X127,T127&gt;=1),"通过","检查"))</f>
      </c>
      <c r="AA127" s="14" t="s">
        <v>33</v>
      </c>
    </row>
    <row r="128" ht="31" customHeight="1" spans="1:27">
      <c r="A128" s="9"/>
      <c r="B128" s="9" t="s">
        <v>32</v>
      </c>
      <c r="C128" s="9" t="s">
        <v>30</v>
      </c>
      <c r="D128" s="10">
        <v>16</v>
      </c>
      <c r="E128" s="9" t="s">
        <v>26</v>
      </c>
      <c r="F128" s="10">
        <v>0.6</v>
      </c>
      <c r="G128" s="10">
        <v>16</v>
      </c>
      <c r="H128" s="10">
        <v>1</v>
      </c>
      <c r="I128" s="10">
        <v>3</v>
      </c>
      <c r="J128" s="10">
        <v>0.6</v>
      </c>
      <c r="K128" s="10">
        <v>0.2</v>
      </c>
      <c r="L128" s="11"/>
      <c r="M128" s="11"/>
      <c r="N128" s="11"/>
      <c r="O128" s="11"/>
      <c r="P128" s="11"/>
      <c r="Q128" s="11"/>
      <c r="R128" s="12" t="str">
        <f t="shared" si="8"/>
        <v/>
      </c>
      <c r="S128" s="12" t="str">
        <f t="shared" si="9"/>
        <v/>
      </c>
      <c r="T128" s="12" t="str">
        <f>IF(COUNT(R128:S128)=2,AVERAGE(R128:S128),"")</f>
      </c>
      <c r="U128" s="11"/>
      <c r="V128" s="11"/>
      <c r="W128" s="12" t="str">
        <f t="shared" si="11"/>
        <v/>
      </c>
      <c r="X128" s="12" t="str">
        <f t="shared" si="12"/>
        <v/>
      </c>
      <c r="Y128" s="12" t="str">
        <f>IF(COUNT(W128:X128)=2,AVERAGE(W128:X128),"")</f>
      </c>
      <c r="Z128" s="13" t="str">
        <f>IF(COUNT(L128:O128)+COUNT(U128:V128)&lt;6,"待导师填写",IF(AND(L128&gt;=0,M128&lt;=1,N128&gt;=0,O128&lt;=1,U128&gt;=0,V128&lt;=1,L128&lt;=M128,N128&lt;=O128,U128&lt;=V128,R128&lt;=S128,W128&lt;=X128,T128&gt;=1),"通过","检查"))</f>
      </c>
      <c r="AA128" s="14" t="s">
        <v>33</v>
      </c>
    </row>
    <row r="129" ht="31" customHeight="1" spans="1:27">
      <c r="A129" s="9"/>
      <c r="B129" s="9" t="s">
        <v>32</v>
      </c>
      <c r="C129" s="9" t="s">
        <v>30</v>
      </c>
      <c r="D129" s="10">
        <v>20</v>
      </c>
      <c r="E129" s="9" t="s">
        <v>26</v>
      </c>
      <c r="F129" s="10">
        <v>0.6</v>
      </c>
      <c r="G129" s="10">
        <v>20</v>
      </c>
      <c r="H129" s="10">
        <v>1</v>
      </c>
      <c r="I129" s="10">
        <v>3</v>
      </c>
      <c r="J129" s="10">
        <v>0.6</v>
      </c>
      <c r="K129" s="10">
        <v>0.2</v>
      </c>
      <c r="L129" s="11"/>
      <c r="M129" s="11"/>
      <c r="N129" s="11"/>
      <c r="O129" s="11"/>
      <c r="P129" s="11"/>
      <c r="Q129" s="11"/>
      <c r="R129" s="12" t="str">
        <f t="shared" si="8"/>
        <v/>
      </c>
      <c r="S129" s="12" t="str">
        <f t="shared" si="9"/>
        <v/>
      </c>
      <c r="T129" s="12" t="str">
        <f>IF(COUNT(R129:S129)=2,AVERAGE(R129:S129),"")</f>
      </c>
      <c r="U129" s="11"/>
      <c r="V129" s="11"/>
      <c r="W129" s="12" t="str">
        <f t="shared" si="11"/>
        <v/>
      </c>
      <c r="X129" s="12" t="str">
        <f t="shared" si="12"/>
        <v/>
      </c>
      <c r="Y129" s="12" t="str">
        <f>IF(COUNT(W129:X129)=2,AVERAGE(W129:X129),"")</f>
      </c>
      <c r="Z129" s="13" t="str">
        <f>IF(COUNT(L129:O129)+COUNT(U129:V129)&lt;6,"待导师填写",IF(AND(L129&gt;=0,M129&lt;=1,N129&gt;=0,O129&lt;=1,U129&gt;=0,V129&lt;=1,L129&lt;=M129,N129&lt;=O129,U129&lt;=V129,R129&lt;=S129,W129&lt;=X129,T129&gt;=1),"通过","检查"))</f>
      </c>
      <c r="AA129" s="14" t="s">
        <v>33</v>
      </c>
    </row>
    <row r="130" ht="31" customHeight="1" spans="1:27">
      <c r="A130" s="9"/>
      <c r="B130" s="9" t="s">
        <v>32</v>
      </c>
      <c r="C130" s="9" t="s">
        <v>30</v>
      </c>
      <c r="D130" s="10">
        <v>24</v>
      </c>
      <c r="E130" s="9" t="s">
        <v>26</v>
      </c>
      <c r="F130" s="10">
        <v>0.6</v>
      </c>
      <c r="G130" s="10">
        <v>24</v>
      </c>
      <c r="H130" s="10">
        <v>1</v>
      </c>
      <c r="I130" s="10">
        <v>3</v>
      </c>
      <c r="J130" s="10">
        <v>0.6</v>
      </c>
      <c r="K130" s="10">
        <v>0.2</v>
      </c>
      <c r="L130" s="11"/>
      <c r="M130" s="11"/>
      <c r="N130" s="11"/>
      <c r="O130" s="11"/>
      <c r="P130" s="11"/>
      <c r="Q130" s="11"/>
      <c r="R130" s="12" t="str">
        <f t="shared" si="8"/>
        <v/>
      </c>
      <c r="S130" s="12" t="str">
        <f t="shared" si="9"/>
        <v/>
      </c>
      <c r="T130" s="12" t="str">
        <f>IF(COUNT(R130:S130)=2,AVERAGE(R130:S130),"")</f>
      </c>
      <c r="U130" s="11"/>
      <c r="V130" s="11"/>
      <c r="W130" s="12" t="str">
        <f t="shared" si="11"/>
        <v/>
      </c>
      <c r="X130" s="12" t="str">
        <f t="shared" si="12"/>
        <v/>
      </c>
      <c r="Y130" s="12" t="str">
        <f>IF(COUNT(W130:X130)=2,AVERAGE(W130:X130),"")</f>
      </c>
      <c r="Z130" s="13" t="str">
        <f>IF(COUNT(L130:O130)+COUNT(U130:V130)&lt;6,"待导师填写",IF(AND(L130&gt;=0,M130&lt;=1,N130&gt;=0,O130&lt;=1,U130&gt;=0,V130&lt;=1,L130&lt;=M130,N130&lt;=O130,U130&lt;=V130,R130&lt;=S130,W130&lt;=X130,T130&gt;=1),"通过","检查"))</f>
      </c>
      <c r="AA130" s="14" t="s">
        <v>33</v>
      </c>
    </row>
    <row r="131" ht="31" customHeight="1" spans="1:27">
      <c r="A131" s="9"/>
      <c r="B131" s="9" t="s">
        <v>32</v>
      </c>
      <c r="C131" s="9" t="s">
        <v>30</v>
      </c>
      <c r="D131" s="10">
        <v>28</v>
      </c>
      <c r="E131" s="9" t="s">
        <v>26</v>
      </c>
      <c r="F131" s="10">
        <v>0.6</v>
      </c>
      <c r="G131" s="10">
        <v>28</v>
      </c>
      <c r="H131" s="10">
        <v>1</v>
      </c>
      <c r="I131" s="10">
        <v>3</v>
      </c>
      <c r="J131" s="10">
        <v>0.6</v>
      </c>
      <c r="K131" s="10">
        <v>0.2</v>
      </c>
      <c r="L131" s="11"/>
      <c r="M131" s="11"/>
      <c r="N131" s="11"/>
      <c r="O131" s="11"/>
      <c r="P131" s="11"/>
      <c r="Q131" s="11"/>
      <c r="R131" s="12" t="str">
        <f t="shared" ref="R131:R173" si="16">IFERROR(L131/O131,"")</f>
        <v/>
      </c>
      <c r="S131" s="12" t="str">
        <f t="shared" ref="S131:S173" si="17">IFERROR(M131/N131,"")</f>
        <v/>
      </c>
      <c r="T131" s="12" t="str">
        <f>IF(COUNT(R131:S131)=2,AVERAGE(R131:S131),"")</f>
      </c>
      <c r="U131" s="11"/>
      <c r="V131" s="11"/>
      <c r="W131" s="12" t="str">
        <f t="shared" ref="W131:W173" si="19">IFERROR(U131/M131,"")</f>
        <v/>
      </c>
      <c r="X131" s="12" t="str">
        <f t="shared" ref="X131:X173" si="20">IFERROR(V131/L131,"")</f>
        <v/>
      </c>
      <c r="Y131" s="12" t="str">
        <f>IF(COUNT(W131:X131)=2,AVERAGE(W131:X131),"")</f>
      </c>
      <c r="Z131" s="13" t="str">
        <f>IF(COUNT(L131:O131)+COUNT(U131:V131)&lt;6,"待导师填写",IF(AND(L131&gt;=0,M131&lt;=1,N131&gt;=0,O131&lt;=1,U131&gt;=0,V131&lt;=1,L131&lt;=M131,N131&lt;=O131,U131&lt;=V131,R131&lt;=S131,W131&lt;=X131,T131&gt;=1),"通过","检查"))</f>
      </c>
      <c r="AA131" s="14" t="s">
        <v>33</v>
      </c>
    </row>
    <row r="132" ht="31" customHeight="1" spans="1:27">
      <c r="A132" s="9"/>
      <c r="B132" s="9" t="s">
        <v>32</v>
      </c>
      <c r="C132" s="9" t="s">
        <v>30</v>
      </c>
      <c r="D132" s="10">
        <v>32</v>
      </c>
      <c r="E132" s="9" t="s">
        <v>26</v>
      </c>
      <c r="F132" s="10">
        <v>0.6</v>
      </c>
      <c r="G132" s="10">
        <v>32</v>
      </c>
      <c r="H132" s="10">
        <v>1</v>
      </c>
      <c r="I132" s="10">
        <v>3</v>
      </c>
      <c r="J132" s="10">
        <v>0.6</v>
      </c>
      <c r="K132" s="10">
        <v>0.2</v>
      </c>
      <c r="L132" s="11"/>
      <c r="M132" s="11"/>
      <c r="N132" s="11"/>
      <c r="O132" s="11"/>
      <c r="P132" s="11"/>
      <c r="Q132" s="11"/>
      <c r="R132" s="12" t="str">
        <f t="shared" si="16"/>
        <v/>
      </c>
      <c r="S132" s="12" t="str">
        <f t="shared" si="17"/>
        <v/>
      </c>
      <c r="T132" s="12" t="str">
        <f>IF(COUNT(R132:S132)=2,AVERAGE(R132:S132),"")</f>
      </c>
      <c r="U132" s="11"/>
      <c r="V132" s="11"/>
      <c r="W132" s="12" t="str">
        <f t="shared" si="19"/>
        <v/>
      </c>
      <c r="X132" s="12" t="str">
        <f t="shared" si="20"/>
        <v/>
      </c>
      <c r="Y132" s="12" t="str">
        <f>IF(COUNT(W132:X132)=2,AVERAGE(W132:X132),"")</f>
      </c>
      <c r="Z132" s="13" t="str">
        <f>IF(COUNT(L132:O132)+COUNT(U132:V132)&lt;6,"待导师填写",IF(AND(L132&gt;=0,M132&lt;=1,N132&gt;=0,O132&lt;=1,U132&gt;=0,V132&lt;=1,L132&lt;=M132,N132&lt;=O132,U132&lt;=V132,R132&lt;=S132,W132&lt;=X132,T132&gt;=1),"通过","检查"))</f>
      </c>
      <c r="AA132" s="14" t="s">
        <v>33</v>
      </c>
    </row>
    <row r="133" ht="31" customHeight="1" spans="1:27">
      <c r="A133" s="9"/>
      <c r="B133" s="9" t="s">
        <v>32</v>
      </c>
      <c r="C133" s="9" t="s">
        <v>30</v>
      </c>
      <c r="D133" s="10">
        <v>36</v>
      </c>
      <c r="E133" s="9" t="s">
        <v>26</v>
      </c>
      <c r="F133" s="10">
        <v>0.6</v>
      </c>
      <c r="G133" s="10">
        <v>36</v>
      </c>
      <c r="H133" s="10">
        <v>1</v>
      </c>
      <c r="I133" s="10">
        <v>3</v>
      </c>
      <c r="J133" s="10">
        <v>0.6</v>
      </c>
      <c r="K133" s="10">
        <v>0.2</v>
      </c>
      <c r="L133" s="11"/>
      <c r="M133" s="11"/>
      <c r="N133" s="11"/>
      <c r="O133" s="11"/>
      <c r="P133" s="11"/>
      <c r="Q133" s="11"/>
      <c r="R133" s="12" t="str">
        <f t="shared" si="16"/>
        <v/>
      </c>
      <c r="S133" s="12" t="str">
        <f t="shared" si="17"/>
        <v/>
      </c>
      <c r="T133" s="12" t="str">
        <f>IF(COUNT(R133:S133)=2,AVERAGE(R133:S133),"")</f>
      </c>
      <c r="U133" s="11"/>
      <c r="V133" s="11"/>
      <c r="W133" s="12" t="str">
        <f t="shared" si="19"/>
        <v/>
      </c>
      <c r="X133" s="12" t="str">
        <f t="shared" si="20"/>
        <v/>
      </c>
      <c r="Y133" s="12" t="str">
        <f>IF(COUNT(W133:X133)=2,AVERAGE(W133:X133),"")</f>
      </c>
      <c r="Z133" s="13" t="str">
        <f>IF(COUNT(L133:O133)+COUNT(U133:V133)&lt;6,"待导师填写",IF(AND(L133&gt;=0,M133&lt;=1,N133&gt;=0,O133&lt;=1,U133&gt;=0,V133&lt;=1,L133&lt;=M133,N133&lt;=O133,U133&lt;=V133,R133&lt;=S133,W133&lt;=X133,T133&gt;=1),"通过","检查"))</f>
      </c>
      <c r="AA133" s="14" t="s">
        <v>33</v>
      </c>
    </row>
    <row r="134" ht="31" customHeight="1" spans="1:27">
      <c r="A134" s="9"/>
      <c r="B134" s="9" t="s">
        <v>32</v>
      </c>
      <c r="C134" s="9" t="s">
        <v>30</v>
      </c>
      <c r="D134" s="10">
        <v>40</v>
      </c>
      <c r="E134" s="9" t="s">
        <v>26</v>
      </c>
      <c r="F134" s="10">
        <v>0.6</v>
      </c>
      <c r="G134" s="10">
        <v>40</v>
      </c>
      <c r="H134" s="10">
        <v>1</v>
      </c>
      <c r="I134" s="10">
        <v>3</v>
      </c>
      <c r="J134" s="10">
        <v>0.6</v>
      </c>
      <c r="K134" s="10">
        <v>0.2</v>
      </c>
      <c r="L134" s="11"/>
      <c r="M134" s="11"/>
      <c r="N134" s="11"/>
      <c r="O134" s="11"/>
      <c r="P134" s="11"/>
      <c r="Q134" s="11"/>
      <c r="R134" s="12" t="str">
        <f t="shared" si="16"/>
        <v/>
      </c>
      <c r="S134" s="12" t="str">
        <f t="shared" si="17"/>
        <v/>
      </c>
      <c r="T134" s="12" t="str">
        <f>IF(COUNT(R134:S134)=2,AVERAGE(R134:S134),"")</f>
      </c>
      <c r="U134" s="11"/>
      <c r="V134" s="11"/>
      <c r="W134" s="12" t="str">
        <f t="shared" si="19"/>
        <v/>
      </c>
      <c r="X134" s="12" t="str">
        <f t="shared" si="20"/>
        <v/>
      </c>
      <c r="Y134" s="12" t="str">
        <f>IF(COUNT(W134:X134)=2,AVERAGE(W134:X134),"")</f>
      </c>
      <c r="Z134" s="13" t="str">
        <f>IF(COUNT(L134:O134)+COUNT(U134:V134)&lt;6,"待导师填写",IF(AND(L134&gt;=0,M134&lt;=1,N134&gt;=0,O134&lt;=1,U134&gt;=0,V134&lt;=1,L134&lt;=M134,N134&lt;=O134,U134&lt;=V134,R134&lt;=S134,W134&lt;=X134,T134&gt;=1),"通过","检查"))</f>
      </c>
      <c r="AA134" s="14" t="s">
        <v>33</v>
      </c>
    </row>
    <row r="135" ht="31" customHeight="1" spans="1:27">
      <c r="A135" s="9"/>
      <c r="B135" s="9" t="s">
        <v>32</v>
      </c>
      <c r="C135" s="9" t="s">
        <v>30</v>
      </c>
      <c r="D135" s="10">
        <v>44</v>
      </c>
      <c r="E135" s="9" t="s">
        <v>26</v>
      </c>
      <c r="F135" s="10">
        <v>0.6</v>
      </c>
      <c r="G135" s="10">
        <v>44</v>
      </c>
      <c r="H135" s="10">
        <v>1</v>
      </c>
      <c r="I135" s="10">
        <v>3</v>
      </c>
      <c r="J135" s="10">
        <v>0.6</v>
      </c>
      <c r="K135" s="10">
        <v>0.2</v>
      </c>
      <c r="L135" s="11"/>
      <c r="M135" s="11"/>
      <c r="N135" s="11"/>
      <c r="O135" s="11"/>
      <c r="P135" s="11"/>
      <c r="Q135" s="11"/>
      <c r="R135" s="12" t="str">
        <f t="shared" si="16"/>
        <v/>
      </c>
      <c r="S135" s="12" t="str">
        <f t="shared" si="17"/>
        <v/>
      </c>
      <c r="T135" s="12" t="str">
        <f>IF(COUNT(R135:S135)=2,AVERAGE(R135:S135),"")</f>
      </c>
      <c r="U135" s="11"/>
      <c r="V135" s="11"/>
      <c r="W135" s="12" t="str">
        <f t="shared" si="19"/>
        <v/>
      </c>
      <c r="X135" s="12" t="str">
        <f t="shared" si="20"/>
        <v/>
      </c>
      <c r="Y135" s="12" t="str">
        <f>IF(COUNT(W135:X135)=2,AVERAGE(W135:X135),"")</f>
      </c>
      <c r="Z135" s="13" t="str">
        <f>IF(COUNT(L135:O135)+COUNT(U135:V135)&lt;6,"待导师填写",IF(AND(L135&gt;=0,M135&lt;=1,N135&gt;=0,O135&lt;=1,U135&gt;=0,V135&lt;=1,L135&lt;=M135,N135&lt;=O135,U135&lt;=V135,R135&lt;=S135,W135&lt;=X135,T135&gt;=1),"通过","检查"))</f>
      </c>
      <c r="AA135" s="14" t="s">
        <v>33</v>
      </c>
    </row>
    <row r="136" ht="31" customHeight="1" spans="1:27">
      <c r="A136" s="9"/>
      <c r="B136" s="9" t="s">
        <v>32</v>
      </c>
      <c r="C136" s="9" t="s">
        <v>30</v>
      </c>
      <c r="D136" s="10">
        <v>48</v>
      </c>
      <c r="E136" s="9" t="s">
        <v>26</v>
      </c>
      <c r="F136" s="10">
        <v>0.6</v>
      </c>
      <c r="G136" s="10">
        <v>48</v>
      </c>
      <c r="H136" s="10">
        <v>1</v>
      </c>
      <c r="I136" s="10">
        <v>3</v>
      </c>
      <c r="J136" s="10">
        <v>0.6</v>
      </c>
      <c r="K136" s="10">
        <v>0.2</v>
      </c>
      <c r="L136" s="11"/>
      <c r="M136" s="11"/>
      <c r="N136" s="11"/>
      <c r="O136" s="11"/>
      <c r="P136" s="11"/>
      <c r="Q136" s="11"/>
      <c r="R136" s="12" t="str">
        <f t="shared" si="16"/>
        <v/>
      </c>
      <c r="S136" s="12" t="str">
        <f t="shared" si="17"/>
        <v/>
      </c>
      <c r="T136" s="12" t="str">
        <f>IF(COUNT(R136:S136)=2,AVERAGE(R136:S136),"")</f>
      </c>
      <c r="U136" s="11"/>
      <c r="V136" s="11"/>
      <c r="W136" s="12" t="str">
        <f t="shared" si="19"/>
        <v/>
      </c>
      <c r="X136" s="12" t="str">
        <f t="shared" si="20"/>
        <v/>
      </c>
      <c r="Y136" s="12" t="str">
        <f>IF(COUNT(W136:X136)=2,AVERAGE(W136:X136),"")</f>
      </c>
      <c r="Z136" s="13" t="str">
        <f>IF(COUNT(L136:O136)+COUNT(U136:V136)&lt;6,"待导师填写",IF(AND(L136&gt;=0,M136&lt;=1,N136&gt;=0,O136&lt;=1,U136&gt;=0,V136&lt;=1,L136&lt;=M136,N136&lt;=O136,U136&lt;=V136,R136&lt;=S136,W136&lt;=X136,T136&gt;=1),"通过","检查"))</f>
      </c>
      <c r="AA136" s="14" t="s">
        <v>33</v>
      </c>
    </row>
    <row r="137" ht="31" customHeight="1" spans="1:27">
      <c r="A137" s="9"/>
      <c r="B137" s="9" t="s">
        <v>32</v>
      </c>
      <c r="C137" s="9" t="s">
        <v>30</v>
      </c>
      <c r="D137" s="10">
        <v>52</v>
      </c>
      <c r="E137" s="9" t="s">
        <v>26</v>
      </c>
      <c r="F137" s="10">
        <v>0.6</v>
      </c>
      <c r="G137" s="10">
        <v>52</v>
      </c>
      <c r="H137" s="10">
        <v>1</v>
      </c>
      <c r="I137" s="10">
        <v>3</v>
      </c>
      <c r="J137" s="10">
        <v>0.6</v>
      </c>
      <c r="K137" s="10">
        <v>0.2</v>
      </c>
      <c r="L137" s="11"/>
      <c r="M137" s="11"/>
      <c r="N137" s="11"/>
      <c r="O137" s="11"/>
      <c r="P137" s="11"/>
      <c r="Q137" s="11"/>
      <c r="R137" s="12" t="str">
        <f t="shared" si="16"/>
        <v/>
      </c>
      <c r="S137" s="12" t="str">
        <f t="shared" si="17"/>
        <v/>
      </c>
      <c r="T137" s="12" t="str">
        <f>IF(COUNT(R137:S137)=2,AVERAGE(R137:S137),"")</f>
      </c>
      <c r="U137" s="11"/>
      <c r="V137" s="11"/>
      <c r="W137" s="12" t="str">
        <f t="shared" si="19"/>
        <v/>
      </c>
      <c r="X137" s="12" t="str">
        <f t="shared" si="20"/>
        <v/>
      </c>
      <c r="Y137" s="12" t="str">
        <f>IF(COUNT(W137:X137)=2,AVERAGE(W137:X137),"")</f>
      </c>
      <c r="Z137" s="13" t="str">
        <f>IF(COUNT(L137:O137)+COUNT(U137:V137)&lt;6,"待导师填写",IF(AND(L137&gt;=0,M137&lt;=1,N137&gt;=0,O137&lt;=1,U137&gt;=0,V137&lt;=1,L137&lt;=M137,N137&lt;=O137,U137&lt;=V137,R137&lt;=S137,W137&lt;=X137,T137&gt;=1),"通过","检查"))</f>
      </c>
      <c r="AA137" s="14" t="s">
        <v>33</v>
      </c>
    </row>
    <row r="138" ht="31" customHeight="1" spans="1:27">
      <c r="A138" s="9"/>
      <c r="B138" s="9" t="s">
        <v>32</v>
      </c>
      <c r="C138" s="9" t="s">
        <v>30</v>
      </c>
      <c r="D138" s="10">
        <v>8</v>
      </c>
      <c r="E138" s="9" t="s">
        <v>26</v>
      </c>
      <c r="F138" s="10">
        <v>0.7</v>
      </c>
      <c r="G138" s="10">
        <v>8</v>
      </c>
      <c r="H138" s="10">
        <v>1</v>
      </c>
      <c r="I138" s="10">
        <v>3</v>
      </c>
      <c r="J138" s="10">
        <v>0.7</v>
      </c>
      <c r="K138" s="10">
        <v>0.2</v>
      </c>
      <c r="L138" s="11"/>
      <c r="M138" s="11"/>
      <c r="N138" s="11"/>
      <c r="O138" s="11"/>
      <c r="P138" s="11"/>
      <c r="Q138" s="11"/>
      <c r="R138" s="12" t="str">
        <f t="shared" si="16"/>
        <v/>
      </c>
      <c r="S138" s="12" t="str">
        <f t="shared" si="17"/>
        <v/>
      </c>
      <c r="T138" s="12" t="str">
        <f>IF(COUNT(R138:S138)=2,AVERAGE(R138:S138),"")</f>
      </c>
      <c r="U138" s="11"/>
      <c r="V138" s="11"/>
      <c r="W138" s="12" t="str">
        <f t="shared" si="19"/>
        <v/>
      </c>
      <c r="X138" s="12" t="str">
        <f t="shared" si="20"/>
        <v/>
      </c>
      <c r="Y138" s="12" t="str">
        <f>IF(COUNT(W138:X138)=2,AVERAGE(W138:X138),"")</f>
      </c>
      <c r="Z138" s="13" t="str">
        <f>IF(COUNT(L138:O138)+COUNT(U138:V138)&lt;6,"待导师填写",IF(AND(L138&gt;=0,M138&lt;=1,N138&gt;=0,O138&lt;=1,U138&gt;=0,V138&lt;=1,L138&lt;=M138,N138&lt;=O138,U138&lt;=V138,R138&lt;=S138,W138&lt;=X138,T138&gt;=1),"通过","检查"))</f>
      </c>
      <c r="AA138" s="14" t="s">
        <v>33</v>
      </c>
    </row>
    <row r="139" ht="31" customHeight="1" spans="1:27">
      <c r="A139" s="9"/>
      <c r="B139" s="9" t="s">
        <v>32</v>
      </c>
      <c r="C139" s="9" t="s">
        <v>30</v>
      </c>
      <c r="D139" s="10">
        <v>12</v>
      </c>
      <c r="E139" s="9" t="s">
        <v>26</v>
      </c>
      <c r="F139" s="10">
        <v>0.7</v>
      </c>
      <c r="G139" s="10">
        <v>12</v>
      </c>
      <c r="H139" s="10">
        <v>1</v>
      </c>
      <c r="I139" s="10">
        <v>3</v>
      </c>
      <c r="J139" s="10">
        <v>0.7</v>
      </c>
      <c r="K139" s="10">
        <v>0.2</v>
      </c>
      <c r="L139" s="11"/>
      <c r="M139" s="11"/>
      <c r="N139" s="11"/>
      <c r="O139" s="11"/>
      <c r="P139" s="11"/>
      <c r="Q139" s="11"/>
      <c r="R139" s="12" t="str">
        <f t="shared" si="16"/>
        <v/>
      </c>
      <c r="S139" s="12" t="str">
        <f t="shared" si="17"/>
        <v/>
      </c>
      <c r="T139" s="12" t="str">
        <f>IF(COUNT(R139:S139)=2,AVERAGE(R139:S139),"")</f>
      </c>
      <c r="U139" s="11"/>
      <c r="V139" s="11"/>
      <c r="W139" s="12" t="str">
        <f t="shared" si="19"/>
        <v/>
      </c>
      <c r="X139" s="12" t="str">
        <f t="shared" si="20"/>
        <v/>
      </c>
      <c r="Y139" s="12" t="str">
        <f>IF(COUNT(W139:X139)=2,AVERAGE(W139:X139),"")</f>
      </c>
      <c r="Z139" s="13" t="str">
        <f>IF(COUNT(L139:O139)+COUNT(U139:V139)&lt;6,"待导师填写",IF(AND(L139&gt;=0,M139&lt;=1,N139&gt;=0,O139&lt;=1,U139&gt;=0,V139&lt;=1,L139&lt;=M139,N139&lt;=O139,U139&lt;=V139,R139&lt;=S139,W139&lt;=X139,T139&gt;=1),"通过","检查"))</f>
      </c>
      <c r="AA139" s="14" t="s">
        <v>33</v>
      </c>
    </row>
    <row r="140" ht="31" customHeight="1" spans="1:27">
      <c r="A140" s="9"/>
      <c r="B140" s="9" t="s">
        <v>32</v>
      </c>
      <c r="C140" s="9" t="s">
        <v>30</v>
      </c>
      <c r="D140" s="10">
        <v>16</v>
      </c>
      <c r="E140" s="9" t="s">
        <v>26</v>
      </c>
      <c r="F140" s="10">
        <v>0.7</v>
      </c>
      <c r="G140" s="10">
        <v>16</v>
      </c>
      <c r="H140" s="10">
        <v>1</v>
      </c>
      <c r="I140" s="10">
        <v>3</v>
      </c>
      <c r="J140" s="10">
        <v>0.7</v>
      </c>
      <c r="K140" s="10">
        <v>0.2</v>
      </c>
      <c r="L140" s="11"/>
      <c r="M140" s="11"/>
      <c r="N140" s="11"/>
      <c r="O140" s="11"/>
      <c r="P140" s="11"/>
      <c r="Q140" s="11"/>
      <c r="R140" s="12" t="str">
        <f t="shared" si="16"/>
        <v/>
      </c>
      <c r="S140" s="12" t="str">
        <f t="shared" si="17"/>
        <v/>
      </c>
      <c r="T140" s="12" t="str">
        <f>IF(COUNT(R140:S140)=2,AVERAGE(R140:S140),"")</f>
      </c>
      <c r="U140" s="11"/>
      <c r="V140" s="11"/>
      <c r="W140" s="12" t="str">
        <f t="shared" si="19"/>
        <v/>
      </c>
      <c r="X140" s="12" t="str">
        <f t="shared" si="20"/>
        <v/>
      </c>
      <c r="Y140" s="12" t="str">
        <f>IF(COUNT(W140:X140)=2,AVERAGE(W140:X140),"")</f>
      </c>
      <c r="Z140" s="13" t="str">
        <f>IF(COUNT(L140:O140)+COUNT(U140:V140)&lt;6,"待导师填写",IF(AND(L140&gt;=0,M140&lt;=1,N140&gt;=0,O140&lt;=1,U140&gt;=0,V140&lt;=1,L140&lt;=M140,N140&lt;=O140,U140&lt;=V140,R140&lt;=S140,W140&lt;=X140,T140&gt;=1),"通过","检查"))</f>
      </c>
      <c r="AA140" s="14" t="s">
        <v>33</v>
      </c>
    </row>
    <row r="141" ht="31" customHeight="1" spans="1:27">
      <c r="A141" s="9"/>
      <c r="B141" s="9" t="s">
        <v>32</v>
      </c>
      <c r="C141" s="9" t="s">
        <v>30</v>
      </c>
      <c r="D141" s="10">
        <v>20</v>
      </c>
      <c r="E141" s="9" t="s">
        <v>26</v>
      </c>
      <c r="F141" s="10">
        <v>0.7</v>
      </c>
      <c r="G141" s="10">
        <v>20</v>
      </c>
      <c r="H141" s="10">
        <v>1</v>
      </c>
      <c r="I141" s="10">
        <v>3</v>
      </c>
      <c r="J141" s="10">
        <v>0.7</v>
      </c>
      <c r="K141" s="10">
        <v>0.2</v>
      </c>
      <c r="L141" s="11"/>
      <c r="M141" s="11"/>
      <c r="N141" s="11"/>
      <c r="O141" s="11"/>
      <c r="P141" s="11"/>
      <c r="Q141" s="11"/>
      <c r="R141" s="12" t="str">
        <f t="shared" si="16"/>
        <v/>
      </c>
      <c r="S141" s="12" t="str">
        <f t="shared" si="17"/>
        <v/>
      </c>
      <c r="T141" s="12" t="str">
        <f>IF(COUNT(R141:S141)=2,AVERAGE(R141:S141),"")</f>
      </c>
      <c r="U141" s="11"/>
      <c r="V141" s="11"/>
      <c r="W141" s="12" t="str">
        <f t="shared" si="19"/>
        <v/>
      </c>
      <c r="X141" s="12" t="str">
        <f t="shared" si="20"/>
        <v/>
      </c>
      <c r="Y141" s="12" t="str">
        <f>IF(COUNT(W141:X141)=2,AVERAGE(W141:X141),"")</f>
      </c>
      <c r="Z141" s="13" t="str">
        <f>IF(COUNT(L141:O141)+COUNT(U141:V141)&lt;6,"待导师填写",IF(AND(L141&gt;=0,M141&lt;=1,N141&gt;=0,O141&lt;=1,U141&gt;=0,V141&lt;=1,L141&lt;=M141,N141&lt;=O141,U141&lt;=V141,R141&lt;=S141,W141&lt;=X141,T141&gt;=1),"通过","检查"))</f>
      </c>
      <c r="AA141" s="14" t="s">
        <v>33</v>
      </c>
    </row>
    <row r="142" ht="31" customHeight="1" spans="1:27">
      <c r="A142" s="9"/>
      <c r="B142" s="9" t="s">
        <v>32</v>
      </c>
      <c r="C142" s="9" t="s">
        <v>30</v>
      </c>
      <c r="D142" s="10">
        <v>24</v>
      </c>
      <c r="E142" s="9" t="s">
        <v>26</v>
      </c>
      <c r="F142" s="10">
        <v>0.7</v>
      </c>
      <c r="G142" s="10">
        <v>24</v>
      </c>
      <c r="H142" s="10">
        <v>1</v>
      </c>
      <c r="I142" s="10">
        <v>3</v>
      </c>
      <c r="J142" s="10">
        <v>0.7</v>
      </c>
      <c r="K142" s="10">
        <v>0.2</v>
      </c>
      <c r="L142" s="11"/>
      <c r="M142" s="11"/>
      <c r="N142" s="11"/>
      <c r="O142" s="11"/>
      <c r="P142" s="11"/>
      <c r="Q142" s="11"/>
      <c r="R142" s="12" t="str">
        <f t="shared" si="16"/>
        <v/>
      </c>
      <c r="S142" s="12" t="str">
        <f t="shared" si="17"/>
        <v/>
      </c>
      <c r="T142" s="12" t="str">
        <f>IF(COUNT(R142:S142)=2,AVERAGE(R142:S142),"")</f>
      </c>
      <c r="U142" s="11"/>
      <c r="V142" s="11"/>
      <c r="W142" s="12" t="str">
        <f t="shared" si="19"/>
        <v/>
      </c>
      <c r="X142" s="12" t="str">
        <f t="shared" si="20"/>
        <v/>
      </c>
      <c r="Y142" s="12" t="str">
        <f>IF(COUNT(W142:X142)=2,AVERAGE(W142:X142),"")</f>
      </c>
      <c r="Z142" s="13" t="str">
        <f>IF(COUNT(L142:O142)+COUNT(U142:V142)&lt;6,"待导师填写",IF(AND(L142&gt;=0,M142&lt;=1,N142&gt;=0,O142&lt;=1,U142&gt;=0,V142&lt;=1,L142&lt;=M142,N142&lt;=O142,U142&lt;=V142,R142&lt;=S142,W142&lt;=X142,T142&gt;=1),"通过","检查"))</f>
      </c>
      <c r="AA142" s="14" t="s">
        <v>33</v>
      </c>
    </row>
    <row r="143" ht="31" customHeight="1" spans="1:27">
      <c r="A143" s="9"/>
      <c r="B143" s="9" t="s">
        <v>32</v>
      </c>
      <c r="C143" s="9" t="s">
        <v>30</v>
      </c>
      <c r="D143" s="10">
        <v>28</v>
      </c>
      <c r="E143" s="9" t="s">
        <v>26</v>
      </c>
      <c r="F143" s="10">
        <v>0.7</v>
      </c>
      <c r="G143" s="10">
        <v>28</v>
      </c>
      <c r="H143" s="10">
        <v>1</v>
      </c>
      <c r="I143" s="10">
        <v>3</v>
      </c>
      <c r="J143" s="10">
        <v>0.7</v>
      </c>
      <c r="K143" s="10">
        <v>0.2</v>
      </c>
      <c r="L143" s="11"/>
      <c r="M143" s="11"/>
      <c r="N143" s="11"/>
      <c r="O143" s="11"/>
      <c r="P143" s="11"/>
      <c r="Q143" s="11"/>
      <c r="R143" s="12" t="str">
        <f t="shared" si="16"/>
        <v/>
      </c>
      <c r="S143" s="12" t="str">
        <f t="shared" si="17"/>
        <v/>
      </c>
      <c r="T143" s="12" t="str">
        <f>IF(COUNT(R143:S143)=2,AVERAGE(R143:S143),"")</f>
      </c>
      <c r="U143" s="11"/>
      <c r="V143" s="11"/>
      <c r="W143" s="12" t="str">
        <f t="shared" si="19"/>
        <v/>
      </c>
      <c r="X143" s="12" t="str">
        <f t="shared" si="20"/>
        <v/>
      </c>
      <c r="Y143" s="12" t="str">
        <f>IF(COUNT(W143:X143)=2,AVERAGE(W143:X143),"")</f>
      </c>
      <c r="Z143" s="13" t="str">
        <f>IF(COUNT(L143:O143)+COUNT(U143:V143)&lt;6,"待导师填写",IF(AND(L143&gt;=0,M143&lt;=1,N143&gt;=0,O143&lt;=1,U143&gt;=0,V143&lt;=1,L143&lt;=M143,N143&lt;=O143,U143&lt;=V143,R143&lt;=S143,W143&lt;=X143,T143&gt;=1),"通过","检查"))</f>
      </c>
      <c r="AA143" s="14" t="s">
        <v>33</v>
      </c>
    </row>
    <row r="144" ht="31" customHeight="1" spans="1:27">
      <c r="A144" s="9"/>
      <c r="B144" s="9" t="s">
        <v>32</v>
      </c>
      <c r="C144" s="9" t="s">
        <v>30</v>
      </c>
      <c r="D144" s="10">
        <v>32</v>
      </c>
      <c r="E144" s="9" t="s">
        <v>26</v>
      </c>
      <c r="F144" s="10">
        <v>0.7</v>
      </c>
      <c r="G144" s="10">
        <v>32</v>
      </c>
      <c r="H144" s="10">
        <v>1</v>
      </c>
      <c r="I144" s="10">
        <v>3</v>
      </c>
      <c r="J144" s="10">
        <v>0.7</v>
      </c>
      <c r="K144" s="10">
        <v>0.2</v>
      </c>
      <c r="L144" s="11"/>
      <c r="M144" s="11"/>
      <c r="N144" s="11"/>
      <c r="O144" s="11"/>
      <c r="P144" s="11"/>
      <c r="Q144" s="11"/>
      <c r="R144" s="12" t="str">
        <f t="shared" si="16"/>
        <v/>
      </c>
      <c r="S144" s="12" t="str">
        <f t="shared" si="17"/>
        <v/>
      </c>
      <c r="T144" s="12" t="str">
        <f>IF(COUNT(R144:S144)=2,AVERAGE(R144:S144),"")</f>
      </c>
      <c r="U144" s="11"/>
      <c r="V144" s="11"/>
      <c r="W144" s="12" t="str">
        <f t="shared" si="19"/>
        <v/>
      </c>
      <c r="X144" s="12" t="str">
        <f t="shared" si="20"/>
        <v/>
      </c>
      <c r="Y144" s="12" t="str">
        <f>IF(COUNT(W144:X144)=2,AVERAGE(W144:X144),"")</f>
      </c>
      <c r="Z144" s="13" t="str">
        <f>IF(COUNT(L144:O144)+COUNT(U144:V144)&lt;6,"待导师填写",IF(AND(L144&gt;=0,M144&lt;=1,N144&gt;=0,O144&lt;=1,U144&gt;=0,V144&lt;=1,L144&lt;=M144,N144&lt;=O144,U144&lt;=V144,R144&lt;=S144,W144&lt;=X144,T144&gt;=1),"通过","检查"))</f>
      </c>
      <c r="AA144" s="14" t="s">
        <v>33</v>
      </c>
    </row>
    <row r="145" ht="31" customHeight="1" spans="1:27">
      <c r="A145" s="9"/>
      <c r="B145" s="9" t="s">
        <v>32</v>
      </c>
      <c r="C145" s="9" t="s">
        <v>30</v>
      </c>
      <c r="D145" s="10">
        <v>36</v>
      </c>
      <c r="E145" s="9" t="s">
        <v>26</v>
      </c>
      <c r="F145" s="10">
        <v>0.7</v>
      </c>
      <c r="G145" s="10">
        <v>36</v>
      </c>
      <c r="H145" s="10">
        <v>1</v>
      </c>
      <c r="I145" s="10">
        <v>3</v>
      </c>
      <c r="J145" s="10">
        <v>0.7</v>
      </c>
      <c r="K145" s="10">
        <v>0.2</v>
      </c>
      <c r="L145" s="11"/>
      <c r="M145" s="11"/>
      <c r="N145" s="11"/>
      <c r="O145" s="11"/>
      <c r="P145" s="11"/>
      <c r="Q145" s="11"/>
      <c r="R145" s="12" t="str">
        <f t="shared" si="16"/>
        <v/>
      </c>
      <c r="S145" s="12" t="str">
        <f t="shared" si="17"/>
        <v/>
      </c>
      <c r="T145" s="12" t="str">
        <f>IF(COUNT(R145:S145)=2,AVERAGE(R145:S145),"")</f>
      </c>
      <c r="U145" s="11"/>
      <c r="V145" s="11"/>
      <c r="W145" s="12" t="str">
        <f t="shared" si="19"/>
        <v/>
      </c>
      <c r="X145" s="12" t="str">
        <f t="shared" si="20"/>
        <v/>
      </c>
      <c r="Y145" s="12" t="str">
        <f>IF(COUNT(W145:X145)=2,AVERAGE(W145:X145),"")</f>
      </c>
      <c r="Z145" s="13" t="str">
        <f>IF(COUNT(L145:O145)+COUNT(U145:V145)&lt;6,"待导师填写",IF(AND(L145&gt;=0,M145&lt;=1,N145&gt;=0,O145&lt;=1,U145&gt;=0,V145&lt;=1,L145&lt;=M145,N145&lt;=O145,U145&lt;=V145,R145&lt;=S145,W145&lt;=X145,T145&gt;=1),"通过","检查"))</f>
      </c>
      <c r="AA145" s="14" t="s">
        <v>33</v>
      </c>
    </row>
    <row r="146" ht="31" customHeight="1" spans="1:27">
      <c r="A146" s="9"/>
      <c r="B146" s="9" t="s">
        <v>32</v>
      </c>
      <c r="C146" s="9" t="s">
        <v>30</v>
      </c>
      <c r="D146" s="10">
        <v>40</v>
      </c>
      <c r="E146" s="9" t="s">
        <v>26</v>
      </c>
      <c r="F146" s="10">
        <v>0.7</v>
      </c>
      <c r="G146" s="10">
        <v>40</v>
      </c>
      <c r="H146" s="10">
        <v>1</v>
      </c>
      <c r="I146" s="10">
        <v>3</v>
      </c>
      <c r="J146" s="10">
        <v>0.7</v>
      </c>
      <c r="K146" s="10">
        <v>0.2</v>
      </c>
      <c r="L146" s="11"/>
      <c r="M146" s="11"/>
      <c r="N146" s="11"/>
      <c r="O146" s="11"/>
      <c r="P146" s="11"/>
      <c r="Q146" s="11"/>
      <c r="R146" s="12" t="str">
        <f t="shared" si="16"/>
        <v/>
      </c>
      <c r="S146" s="12" t="str">
        <f t="shared" si="17"/>
        <v/>
      </c>
      <c r="T146" s="12" t="str">
        <f>IF(COUNT(R146:S146)=2,AVERAGE(R146:S146),"")</f>
      </c>
      <c r="U146" s="11"/>
      <c r="V146" s="11"/>
      <c r="W146" s="12" t="str">
        <f t="shared" si="19"/>
        <v/>
      </c>
      <c r="X146" s="12" t="str">
        <f t="shared" si="20"/>
        <v/>
      </c>
      <c r="Y146" s="12" t="str">
        <f>IF(COUNT(W146:X146)=2,AVERAGE(W146:X146),"")</f>
      </c>
      <c r="Z146" s="13" t="str">
        <f>IF(COUNT(L146:O146)+COUNT(U146:V146)&lt;6,"待导师填写",IF(AND(L146&gt;=0,M146&lt;=1,N146&gt;=0,O146&lt;=1,U146&gt;=0,V146&lt;=1,L146&lt;=M146,N146&lt;=O146,U146&lt;=V146,R146&lt;=S146,W146&lt;=X146,T146&gt;=1),"通过","检查"))</f>
      </c>
      <c r="AA146" s="14" t="s">
        <v>33</v>
      </c>
    </row>
    <row r="147" ht="31" customHeight="1" spans="1:27">
      <c r="A147" s="9"/>
      <c r="B147" s="9" t="s">
        <v>32</v>
      </c>
      <c r="C147" s="9" t="s">
        <v>30</v>
      </c>
      <c r="D147" s="10">
        <v>44</v>
      </c>
      <c r="E147" s="9" t="s">
        <v>26</v>
      </c>
      <c r="F147" s="10">
        <v>0.7</v>
      </c>
      <c r="G147" s="10">
        <v>44</v>
      </c>
      <c r="H147" s="10">
        <v>1</v>
      </c>
      <c r="I147" s="10">
        <v>3</v>
      </c>
      <c r="J147" s="10">
        <v>0.7</v>
      </c>
      <c r="K147" s="10">
        <v>0.2</v>
      </c>
      <c r="L147" s="11"/>
      <c r="M147" s="11"/>
      <c r="N147" s="11"/>
      <c r="O147" s="11"/>
      <c r="P147" s="11"/>
      <c r="Q147" s="11"/>
      <c r="R147" s="12" t="str">
        <f t="shared" si="16"/>
        <v/>
      </c>
      <c r="S147" s="12" t="str">
        <f t="shared" si="17"/>
        <v/>
      </c>
      <c r="T147" s="12" t="str">
        <f>IF(COUNT(R147:S147)=2,AVERAGE(R147:S147),"")</f>
      </c>
      <c r="U147" s="11"/>
      <c r="V147" s="11"/>
      <c r="W147" s="12" t="str">
        <f t="shared" si="19"/>
        <v/>
      </c>
      <c r="X147" s="12" t="str">
        <f t="shared" si="20"/>
        <v/>
      </c>
      <c r="Y147" s="12" t="str">
        <f>IF(COUNT(W147:X147)=2,AVERAGE(W147:X147),"")</f>
      </c>
      <c r="Z147" s="13" t="str">
        <f>IF(COUNT(L147:O147)+COUNT(U147:V147)&lt;6,"待导师填写",IF(AND(L147&gt;=0,M147&lt;=1,N147&gt;=0,O147&lt;=1,U147&gt;=0,V147&lt;=1,L147&lt;=M147,N147&lt;=O147,U147&lt;=V147,R147&lt;=S147,W147&lt;=X147,T147&gt;=1),"通过","检查"))</f>
      </c>
      <c r="AA147" s="14" t="s">
        <v>33</v>
      </c>
    </row>
    <row r="148" ht="31" customHeight="1" spans="1:27">
      <c r="A148" s="9"/>
      <c r="B148" s="9" t="s">
        <v>32</v>
      </c>
      <c r="C148" s="9" t="s">
        <v>30</v>
      </c>
      <c r="D148" s="10">
        <v>48</v>
      </c>
      <c r="E148" s="9" t="s">
        <v>26</v>
      </c>
      <c r="F148" s="10">
        <v>0.7</v>
      </c>
      <c r="G148" s="10">
        <v>48</v>
      </c>
      <c r="H148" s="10">
        <v>1</v>
      </c>
      <c r="I148" s="10">
        <v>3</v>
      </c>
      <c r="J148" s="10">
        <v>0.7</v>
      </c>
      <c r="K148" s="10">
        <v>0.2</v>
      </c>
      <c r="L148" s="11"/>
      <c r="M148" s="11"/>
      <c r="N148" s="11"/>
      <c r="O148" s="11"/>
      <c r="P148" s="11"/>
      <c r="Q148" s="11"/>
      <c r="R148" s="12" t="str">
        <f t="shared" si="16"/>
        <v/>
      </c>
      <c r="S148" s="12" t="str">
        <f t="shared" si="17"/>
        <v/>
      </c>
      <c r="T148" s="12" t="str">
        <f>IF(COUNT(R148:S148)=2,AVERAGE(R148:S148),"")</f>
      </c>
      <c r="U148" s="11"/>
      <c r="V148" s="11"/>
      <c r="W148" s="12" t="str">
        <f t="shared" si="19"/>
        <v/>
      </c>
      <c r="X148" s="12" t="str">
        <f t="shared" si="20"/>
        <v/>
      </c>
      <c r="Y148" s="12" t="str">
        <f>IF(COUNT(W148:X148)=2,AVERAGE(W148:X148),"")</f>
      </c>
      <c r="Z148" s="13" t="str">
        <f>IF(COUNT(L148:O148)+COUNT(U148:V148)&lt;6,"待导师填写",IF(AND(L148&gt;=0,M148&lt;=1,N148&gt;=0,O148&lt;=1,U148&gt;=0,V148&lt;=1,L148&lt;=M148,N148&lt;=O148,U148&lt;=V148,R148&lt;=S148,W148&lt;=X148,T148&gt;=1),"通过","检查"))</f>
      </c>
      <c r="AA148" s="14" t="s">
        <v>33</v>
      </c>
    </row>
    <row r="149" ht="31" customHeight="1" spans="1:27">
      <c r="A149" s="9"/>
      <c r="B149" s="9" t="s">
        <v>32</v>
      </c>
      <c r="C149" s="9" t="s">
        <v>30</v>
      </c>
      <c r="D149" s="10">
        <v>52</v>
      </c>
      <c r="E149" s="9" t="s">
        <v>26</v>
      </c>
      <c r="F149" s="10">
        <v>0.7</v>
      </c>
      <c r="G149" s="10">
        <v>52</v>
      </c>
      <c r="H149" s="10">
        <v>1</v>
      </c>
      <c r="I149" s="10">
        <v>3</v>
      </c>
      <c r="J149" s="10">
        <v>0.7</v>
      </c>
      <c r="K149" s="10">
        <v>0.2</v>
      </c>
      <c r="L149" s="11"/>
      <c r="M149" s="11"/>
      <c r="N149" s="11"/>
      <c r="O149" s="11"/>
      <c r="P149" s="11"/>
      <c r="Q149" s="11"/>
      <c r="R149" s="12" t="str">
        <f t="shared" si="16"/>
        <v/>
      </c>
      <c r="S149" s="12" t="str">
        <f t="shared" si="17"/>
        <v/>
      </c>
      <c r="T149" s="12" t="str">
        <f>IF(COUNT(R149:S149)=2,AVERAGE(R149:S149),"")</f>
      </c>
      <c r="U149" s="11"/>
      <c r="V149" s="11"/>
      <c r="W149" s="12" t="str">
        <f t="shared" si="19"/>
        <v/>
      </c>
      <c r="X149" s="12" t="str">
        <f t="shared" si="20"/>
        <v/>
      </c>
      <c r="Y149" s="12" t="str">
        <f>IF(COUNT(W149:X149)=2,AVERAGE(W149:X149),"")</f>
      </c>
      <c r="Z149" s="13" t="str">
        <f>IF(COUNT(L149:O149)+COUNT(U149:V149)&lt;6,"待导师填写",IF(AND(L149&gt;=0,M149&lt;=1,N149&gt;=0,O149&lt;=1,U149&gt;=0,V149&lt;=1,L149&lt;=M149,N149&lt;=O149,U149&lt;=V149,R149&lt;=S149,W149&lt;=X149,T149&gt;=1),"通过","检查"))</f>
      </c>
      <c r="AA149" s="14" t="s">
        <v>33</v>
      </c>
    </row>
    <row r="150" ht="31" customHeight="1" spans="1:27">
      <c r="A150" s="9"/>
      <c r="B150" s="9" t="s">
        <v>32</v>
      </c>
      <c r="C150" s="9" t="s">
        <v>30</v>
      </c>
      <c r="D150" s="10">
        <v>8</v>
      </c>
      <c r="E150" s="9" t="s">
        <v>26</v>
      </c>
      <c r="F150" s="10">
        <v>0.8</v>
      </c>
      <c r="G150" s="10">
        <v>8</v>
      </c>
      <c r="H150" s="10">
        <v>1</v>
      </c>
      <c r="I150" s="10">
        <v>3</v>
      </c>
      <c r="J150" s="10">
        <v>0.8</v>
      </c>
      <c r="K150" s="10">
        <v>0.2</v>
      </c>
      <c r="L150" s="11"/>
      <c r="M150" s="11"/>
      <c r="N150" s="11"/>
      <c r="O150" s="11"/>
      <c r="P150" s="11"/>
      <c r="Q150" s="11"/>
      <c r="R150" s="12" t="str">
        <f t="shared" si="16"/>
        <v/>
      </c>
      <c r="S150" s="12" t="str">
        <f t="shared" si="17"/>
        <v/>
      </c>
      <c r="T150" s="12" t="str">
        <f>IF(COUNT(R150:S150)=2,AVERAGE(R150:S150),"")</f>
      </c>
      <c r="U150" s="11"/>
      <c r="V150" s="11"/>
      <c r="W150" s="12" t="str">
        <f t="shared" si="19"/>
        <v/>
      </c>
      <c r="X150" s="12" t="str">
        <f t="shared" si="20"/>
        <v/>
      </c>
      <c r="Y150" s="12" t="str">
        <f>IF(COUNT(W150:X150)=2,AVERAGE(W150:X150),"")</f>
      </c>
      <c r="Z150" s="13" t="str">
        <f>IF(COUNT(L150:O150)+COUNT(U150:V150)&lt;6,"待导师填写",IF(AND(L150&gt;=0,M150&lt;=1,N150&gt;=0,O150&lt;=1,U150&gt;=0,V150&lt;=1,L150&lt;=M150,N150&lt;=O150,U150&lt;=V150,R150&lt;=S150,W150&lt;=X150,T150&gt;=1),"通过","检查"))</f>
      </c>
      <c r="AA150" s="14" t="s">
        <v>33</v>
      </c>
    </row>
    <row r="151" ht="31" customHeight="1" spans="1:27">
      <c r="A151" s="9"/>
      <c r="B151" s="9" t="s">
        <v>32</v>
      </c>
      <c r="C151" s="9" t="s">
        <v>30</v>
      </c>
      <c r="D151" s="10">
        <v>12</v>
      </c>
      <c r="E151" s="9" t="s">
        <v>26</v>
      </c>
      <c r="F151" s="10">
        <v>0.8</v>
      </c>
      <c r="G151" s="10">
        <v>12</v>
      </c>
      <c r="H151" s="10">
        <v>1</v>
      </c>
      <c r="I151" s="10">
        <v>3</v>
      </c>
      <c r="J151" s="10">
        <v>0.8</v>
      </c>
      <c r="K151" s="10">
        <v>0.2</v>
      </c>
      <c r="L151" s="11"/>
      <c r="M151" s="11"/>
      <c r="N151" s="11"/>
      <c r="O151" s="11"/>
      <c r="P151" s="11"/>
      <c r="Q151" s="11"/>
      <c r="R151" s="12" t="str">
        <f t="shared" si="16"/>
        <v/>
      </c>
      <c r="S151" s="12" t="str">
        <f t="shared" si="17"/>
        <v/>
      </c>
      <c r="T151" s="12" t="str">
        <f>IF(COUNT(R151:S151)=2,AVERAGE(R151:S151),"")</f>
      </c>
      <c r="U151" s="11"/>
      <c r="V151" s="11"/>
      <c r="W151" s="12" t="str">
        <f t="shared" si="19"/>
        <v/>
      </c>
      <c r="X151" s="12" t="str">
        <f t="shared" si="20"/>
        <v/>
      </c>
      <c r="Y151" s="12" t="str">
        <f>IF(COUNT(W151:X151)=2,AVERAGE(W151:X151),"")</f>
      </c>
      <c r="Z151" s="13" t="str">
        <f>IF(COUNT(L151:O151)+COUNT(U151:V151)&lt;6,"待导师填写",IF(AND(L151&gt;=0,M151&lt;=1,N151&gt;=0,O151&lt;=1,U151&gt;=0,V151&lt;=1,L151&lt;=M151,N151&lt;=O151,U151&lt;=V151,R151&lt;=S151,W151&lt;=X151,T151&gt;=1),"通过","检查"))</f>
      </c>
      <c r="AA151" s="14" t="s">
        <v>33</v>
      </c>
    </row>
    <row r="152" ht="31" customHeight="1" spans="1:27">
      <c r="A152" s="9"/>
      <c r="B152" s="9" t="s">
        <v>32</v>
      </c>
      <c r="C152" s="9" t="s">
        <v>30</v>
      </c>
      <c r="D152" s="10">
        <v>16</v>
      </c>
      <c r="E152" s="9" t="s">
        <v>26</v>
      </c>
      <c r="F152" s="10">
        <v>0.8</v>
      </c>
      <c r="G152" s="10">
        <v>16</v>
      </c>
      <c r="H152" s="10">
        <v>1</v>
      </c>
      <c r="I152" s="10">
        <v>3</v>
      </c>
      <c r="J152" s="10">
        <v>0.8</v>
      </c>
      <c r="K152" s="10">
        <v>0.2</v>
      </c>
      <c r="L152" s="11"/>
      <c r="M152" s="11"/>
      <c r="N152" s="11"/>
      <c r="O152" s="11"/>
      <c r="P152" s="11"/>
      <c r="Q152" s="11"/>
      <c r="R152" s="12" t="str">
        <f t="shared" si="16"/>
        <v/>
      </c>
      <c r="S152" s="12" t="str">
        <f t="shared" si="17"/>
        <v/>
      </c>
      <c r="T152" s="12" t="str">
        <f>IF(COUNT(R152:S152)=2,AVERAGE(R152:S152),"")</f>
      </c>
      <c r="U152" s="11"/>
      <c r="V152" s="11"/>
      <c r="W152" s="12" t="str">
        <f t="shared" si="19"/>
        <v/>
      </c>
      <c r="X152" s="12" t="str">
        <f t="shared" si="20"/>
        <v/>
      </c>
      <c r="Y152" s="12" t="str">
        <f>IF(COUNT(W152:X152)=2,AVERAGE(W152:X152),"")</f>
      </c>
      <c r="Z152" s="13" t="str">
        <f>IF(COUNT(L152:O152)+COUNT(U152:V152)&lt;6,"待导师填写",IF(AND(L152&gt;=0,M152&lt;=1,N152&gt;=0,O152&lt;=1,U152&gt;=0,V152&lt;=1,L152&lt;=M152,N152&lt;=O152,U152&lt;=V152,R152&lt;=S152,W152&lt;=X152,T152&gt;=1),"通过","检查"))</f>
      </c>
      <c r="AA152" s="14" t="s">
        <v>33</v>
      </c>
    </row>
    <row r="153" ht="31" customHeight="1" spans="1:27">
      <c r="A153" s="9"/>
      <c r="B153" s="9" t="s">
        <v>32</v>
      </c>
      <c r="C153" s="9" t="s">
        <v>30</v>
      </c>
      <c r="D153" s="10">
        <v>20</v>
      </c>
      <c r="E153" s="9" t="s">
        <v>26</v>
      </c>
      <c r="F153" s="10">
        <v>0.8</v>
      </c>
      <c r="G153" s="10">
        <v>20</v>
      </c>
      <c r="H153" s="10">
        <v>1</v>
      </c>
      <c r="I153" s="10">
        <v>3</v>
      </c>
      <c r="J153" s="10">
        <v>0.8</v>
      </c>
      <c r="K153" s="10">
        <v>0.2</v>
      </c>
      <c r="L153" s="11"/>
      <c r="M153" s="11"/>
      <c r="N153" s="11"/>
      <c r="O153" s="11"/>
      <c r="P153" s="11"/>
      <c r="Q153" s="11"/>
      <c r="R153" s="12" t="str">
        <f t="shared" si="16"/>
        <v/>
      </c>
      <c r="S153" s="12" t="str">
        <f t="shared" si="17"/>
        <v/>
      </c>
      <c r="T153" s="12" t="str">
        <f>IF(COUNT(R153:S153)=2,AVERAGE(R153:S153),"")</f>
      </c>
      <c r="U153" s="11"/>
      <c r="V153" s="11"/>
      <c r="W153" s="12" t="str">
        <f t="shared" si="19"/>
        <v/>
      </c>
      <c r="X153" s="12" t="str">
        <f t="shared" si="20"/>
        <v/>
      </c>
      <c r="Y153" s="12" t="str">
        <f>IF(COUNT(W153:X153)=2,AVERAGE(W153:X153),"")</f>
      </c>
      <c r="Z153" s="13" t="str">
        <f>IF(COUNT(L153:O153)+COUNT(U153:V153)&lt;6,"待导师填写",IF(AND(L153&gt;=0,M153&lt;=1,N153&gt;=0,O153&lt;=1,U153&gt;=0,V153&lt;=1,L153&lt;=M153,N153&lt;=O153,U153&lt;=V153,R153&lt;=S153,W153&lt;=X153,T153&gt;=1),"通过","检查"))</f>
      </c>
      <c r="AA153" s="14" t="s">
        <v>33</v>
      </c>
    </row>
    <row r="154" ht="31" customHeight="1" spans="1:27">
      <c r="A154" s="9"/>
      <c r="B154" s="9" t="s">
        <v>32</v>
      </c>
      <c r="C154" s="9" t="s">
        <v>30</v>
      </c>
      <c r="D154" s="10">
        <v>24</v>
      </c>
      <c r="E154" s="9" t="s">
        <v>26</v>
      </c>
      <c r="F154" s="10">
        <v>0.8</v>
      </c>
      <c r="G154" s="10">
        <v>24</v>
      </c>
      <c r="H154" s="10">
        <v>1</v>
      </c>
      <c r="I154" s="10">
        <v>3</v>
      </c>
      <c r="J154" s="10">
        <v>0.8</v>
      </c>
      <c r="K154" s="10">
        <v>0.2</v>
      </c>
      <c r="L154" s="11"/>
      <c r="M154" s="11"/>
      <c r="N154" s="11"/>
      <c r="O154" s="11"/>
      <c r="P154" s="11"/>
      <c r="Q154" s="11"/>
      <c r="R154" s="12" t="str">
        <f t="shared" si="16"/>
        <v/>
      </c>
      <c r="S154" s="12" t="str">
        <f t="shared" si="17"/>
        <v/>
      </c>
      <c r="T154" s="12" t="str">
        <f>IF(COUNT(R154:S154)=2,AVERAGE(R154:S154),"")</f>
      </c>
      <c r="U154" s="11"/>
      <c r="V154" s="11"/>
      <c r="W154" s="12" t="str">
        <f t="shared" si="19"/>
        <v/>
      </c>
      <c r="X154" s="12" t="str">
        <f t="shared" si="20"/>
        <v/>
      </c>
      <c r="Y154" s="12" t="str">
        <f>IF(COUNT(W154:X154)=2,AVERAGE(W154:X154),"")</f>
      </c>
      <c r="Z154" s="13" t="str">
        <f>IF(COUNT(L154:O154)+COUNT(U154:V154)&lt;6,"待导师填写",IF(AND(L154&gt;=0,M154&lt;=1,N154&gt;=0,O154&lt;=1,U154&gt;=0,V154&lt;=1,L154&lt;=M154,N154&lt;=O154,U154&lt;=V154,R154&lt;=S154,W154&lt;=X154,T154&gt;=1),"通过","检查"))</f>
      </c>
      <c r="AA154" s="14" t="s">
        <v>33</v>
      </c>
    </row>
    <row r="155" ht="31" customHeight="1" spans="1:27">
      <c r="A155" s="9"/>
      <c r="B155" s="9" t="s">
        <v>32</v>
      </c>
      <c r="C155" s="9" t="s">
        <v>30</v>
      </c>
      <c r="D155" s="10">
        <v>28</v>
      </c>
      <c r="E155" s="9" t="s">
        <v>26</v>
      </c>
      <c r="F155" s="10">
        <v>0.8</v>
      </c>
      <c r="G155" s="10">
        <v>28</v>
      </c>
      <c r="H155" s="10">
        <v>1</v>
      </c>
      <c r="I155" s="10">
        <v>3</v>
      </c>
      <c r="J155" s="10">
        <v>0.8</v>
      </c>
      <c r="K155" s="10">
        <v>0.2</v>
      </c>
      <c r="L155" s="11"/>
      <c r="M155" s="11"/>
      <c r="N155" s="11"/>
      <c r="O155" s="11"/>
      <c r="P155" s="11"/>
      <c r="Q155" s="11"/>
      <c r="R155" s="12" t="str">
        <f t="shared" si="16"/>
        <v/>
      </c>
      <c r="S155" s="12" t="str">
        <f t="shared" si="17"/>
        <v/>
      </c>
      <c r="T155" s="12" t="str">
        <f>IF(COUNT(R155:S155)=2,AVERAGE(R155:S155),"")</f>
      </c>
      <c r="U155" s="11"/>
      <c r="V155" s="11"/>
      <c r="W155" s="12" t="str">
        <f t="shared" si="19"/>
        <v/>
      </c>
      <c r="X155" s="12" t="str">
        <f t="shared" si="20"/>
        <v/>
      </c>
      <c r="Y155" s="12" t="str">
        <f>IF(COUNT(W155:X155)=2,AVERAGE(W155:X155),"")</f>
      </c>
      <c r="Z155" s="13" t="str">
        <f>IF(COUNT(L155:O155)+COUNT(U155:V155)&lt;6,"待导师填写",IF(AND(L155&gt;=0,M155&lt;=1,N155&gt;=0,O155&lt;=1,U155&gt;=0,V155&lt;=1,L155&lt;=M155,N155&lt;=O155,U155&lt;=V155,R155&lt;=S155,W155&lt;=X155,T155&gt;=1),"通过","检查"))</f>
      </c>
      <c r="AA155" s="14" t="s">
        <v>33</v>
      </c>
    </row>
    <row r="156" ht="31" customHeight="1" spans="1:27">
      <c r="A156" s="9"/>
      <c r="B156" s="9" t="s">
        <v>32</v>
      </c>
      <c r="C156" s="9" t="s">
        <v>30</v>
      </c>
      <c r="D156" s="10">
        <v>32</v>
      </c>
      <c r="E156" s="9" t="s">
        <v>26</v>
      </c>
      <c r="F156" s="10">
        <v>0.8</v>
      </c>
      <c r="G156" s="10">
        <v>32</v>
      </c>
      <c r="H156" s="10">
        <v>1</v>
      </c>
      <c r="I156" s="10">
        <v>3</v>
      </c>
      <c r="J156" s="10">
        <v>0.8</v>
      </c>
      <c r="K156" s="10">
        <v>0.2</v>
      </c>
      <c r="L156" s="11"/>
      <c r="M156" s="11"/>
      <c r="N156" s="11"/>
      <c r="O156" s="11"/>
      <c r="P156" s="11"/>
      <c r="Q156" s="11"/>
      <c r="R156" s="12" t="str">
        <f t="shared" si="16"/>
        <v/>
      </c>
      <c r="S156" s="12" t="str">
        <f t="shared" si="17"/>
        <v/>
      </c>
      <c r="T156" s="12" t="str">
        <f>IF(COUNT(R156:S156)=2,AVERAGE(R156:S156),"")</f>
      </c>
      <c r="U156" s="11"/>
      <c r="V156" s="11"/>
      <c r="W156" s="12" t="str">
        <f t="shared" si="19"/>
        <v/>
      </c>
      <c r="X156" s="12" t="str">
        <f t="shared" si="20"/>
        <v/>
      </c>
      <c r="Y156" s="12" t="str">
        <f>IF(COUNT(W156:X156)=2,AVERAGE(W156:X156),"")</f>
      </c>
      <c r="Z156" s="13" t="str">
        <f>IF(COUNT(L156:O156)+COUNT(U156:V156)&lt;6,"待导师填写",IF(AND(L156&gt;=0,M156&lt;=1,N156&gt;=0,O156&lt;=1,U156&gt;=0,V156&lt;=1,L156&lt;=M156,N156&lt;=O156,U156&lt;=V156,R156&lt;=S156,W156&lt;=X156,T156&gt;=1),"通过","检查"))</f>
      </c>
      <c r="AA156" s="14" t="s">
        <v>33</v>
      </c>
    </row>
    <row r="157" ht="31" customHeight="1" spans="1:27">
      <c r="A157" s="9"/>
      <c r="B157" s="9" t="s">
        <v>32</v>
      </c>
      <c r="C157" s="9" t="s">
        <v>30</v>
      </c>
      <c r="D157" s="10">
        <v>36</v>
      </c>
      <c r="E157" s="9" t="s">
        <v>26</v>
      </c>
      <c r="F157" s="10">
        <v>0.8</v>
      </c>
      <c r="G157" s="10">
        <v>36</v>
      </c>
      <c r="H157" s="10">
        <v>1</v>
      </c>
      <c r="I157" s="10">
        <v>3</v>
      </c>
      <c r="J157" s="10">
        <v>0.8</v>
      </c>
      <c r="K157" s="10">
        <v>0.2</v>
      </c>
      <c r="L157" s="11"/>
      <c r="M157" s="11"/>
      <c r="N157" s="11"/>
      <c r="O157" s="11"/>
      <c r="P157" s="11"/>
      <c r="Q157" s="11"/>
      <c r="R157" s="12" t="str">
        <f t="shared" si="16"/>
        <v/>
      </c>
      <c r="S157" s="12" t="str">
        <f t="shared" si="17"/>
        <v/>
      </c>
      <c r="T157" s="12" t="str">
        <f>IF(COUNT(R157:S157)=2,AVERAGE(R157:S157),"")</f>
      </c>
      <c r="U157" s="11"/>
      <c r="V157" s="11"/>
      <c r="W157" s="12" t="str">
        <f t="shared" si="19"/>
        <v/>
      </c>
      <c r="X157" s="12" t="str">
        <f t="shared" si="20"/>
        <v/>
      </c>
      <c r="Y157" s="12" t="str">
        <f>IF(COUNT(W157:X157)=2,AVERAGE(W157:X157),"")</f>
      </c>
      <c r="Z157" s="13" t="str">
        <f>IF(COUNT(L157:O157)+COUNT(U157:V157)&lt;6,"待导师填写",IF(AND(L157&gt;=0,M157&lt;=1,N157&gt;=0,O157&lt;=1,U157&gt;=0,V157&lt;=1,L157&lt;=M157,N157&lt;=O157,U157&lt;=V157,R157&lt;=S157,W157&lt;=X157,T157&gt;=1),"通过","检查"))</f>
      </c>
      <c r="AA157" s="14" t="s">
        <v>33</v>
      </c>
    </row>
    <row r="158" ht="31" customHeight="1" spans="1:27">
      <c r="A158" s="9"/>
      <c r="B158" s="9" t="s">
        <v>32</v>
      </c>
      <c r="C158" s="9" t="s">
        <v>30</v>
      </c>
      <c r="D158" s="10">
        <v>40</v>
      </c>
      <c r="E158" s="9" t="s">
        <v>26</v>
      </c>
      <c r="F158" s="10">
        <v>0.8</v>
      </c>
      <c r="G158" s="10">
        <v>40</v>
      </c>
      <c r="H158" s="10">
        <v>1</v>
      </c>
      <c r="I158" s="10">
        <v>3</v>
      </c>
      <c r="J158" s="10">
        <v>0.8</v>
      </c>
      <c r="K158" s="10">
        <v>0.2</v>
      </c>
      <c r="L158" s="11"/>
      <c r="M158" s="11"/>
      <c r="N158" s="11"/>
      <c r="O158" s="11"/>
      <c r="P158" s="11"/>
      <c r="Q158" s="11"/>
      <c r="R158" s="12" t="str">
        <f t="shared" si="16"/>
        <v/>
      </c>
      <c r="S158" s="12" t="str">
        <f t="shared" si="17"/>
        <v/>
      </c>
      <c r="T158" s="12" t="str">
        <f>IF(COUNT(R158:S158)=2,AVERAGE(R158:S158),"")</f>
      </c>
      <c r="U158" s="11"/>
      <c r="V158" s="11"/>
      <c r="W158" s="12" t="str">
        <f t="shared" si="19"/>
        <v/>
      </c>
      <c r="X158" s="12" t="str">
        <f t="shared" si="20"/>
        <v/>
      </c>
      <c r="Y158" s="12" t="str">
        <f>IF(COUNT(W158:X158)=2,AVERAGE(W158:X158),"")</f>
      </c>
      <c r="Z158" s="13" t="str">
        <f>IF(COUNT(L158:O158)+COUNT(U158:V158)&lt;6,"待导师填写",IF(AND(L158&gt;=0,M158&lt;=1,N158&gt;=0,O158&lt;=1,U158&gt;=0,V158&lt;=1,L158&lt;=M158,N158&lt;=O158,U158&lt;=V158,R158&lt;=S158,W158&lt;=X158,T158&gt;=1),"通过","检查"))</f>
      </c>
      <c r="AA158" s="14" t="s">
        <v>33</v>
      </c>
    </row>
    <row r="159" ht="31" customHeight="1" spans="1:27">
      <c r="A159" s="9"/>
      <c r="B159" s="9" t="s">
        <v>32</v>
      </c>
      <c r="C159" s="9" t="s">
        <v>30</v>
      </c>
      <c r="D159" s="10">
        <v>44</v>
      </c>
      <c r="E159" s="9" t="s">
        <v>26</v>
      </c>
      <c r="F159" s="10">
        <v>0.8</v>
      </c>
      <c r="G159" s="10">
        <v>44</v>
      </c>
      <c r="H159" s="10">
        <v>1</v>
      </c>
      <c r="I159" s="10">
        <v>3</v>
      </c>
      <c r="J159" s="10">
        <v>0.8</v>
      </c>
      <c r="K159" s="10">
        <v>0.2</v>
      </c>
      <c r="L159" s="11"/>
      <c r="M159" s="11"/>
      <c r="N159" s="11"/>
      <c r="O159" s="11"/>
      <c r="P159" s="11"/>
      <c r="Q159" s="11"/>
      <c r="R159" s="12" t="str">
        <f t="shared" si="16"/>
        <v/>
      </c>
      <c r="S159" s="12" t="str">
        <f t="shared" si="17"/>
        <v/>
      </c>
      <c r="T159" s="12" t="str">
        <f>IF(COUNT(R159:S159)=2,AVERAGE(R159:S159),"")</f>
      </c>
      <c r="U159" s="11"/>
      <c r="V159" s="11"/>
      <c r="W159" s="12" t="str">
        <f t="shared" si="19"/>
        <v/>
      </c>
      <c r="X159" s="12" t="str">
        <f t="shared" si="20"/>
        <v/>
      </c>
      <c r="Y159" s="12" t="str">
        <f>IF(COUNT(W159:X159)=2,AVERAGE(W159:X159),"")</f>
      </c>
      <c r="Z159" s="13" t="str">
        <f>IF(COUNT(L159:O159)+COUNT(U159:V159)&lt;6,"待导师填写",IF(AND(L159&gt;=0,M159&lt;=1,N159&gt;=0,O159&lt;=1,U159&gt;=0,V159&lt;=1,L159&lt;=M159,N159&lt;=O159,U159&lt;=V159,R159&lt;=S159,W159&lt;=X159,T159&gt;=1),"通过","检查"))</f>
      </c>
      <c r="AA159" s="14" t="s">
        <v>33</v>
      </c>
    </row>
    <row r="160" ht="31" customHeight="1" spans="1:27">
      <c r="A160" s="9"/>
      <c r="B160" s="9" t="s">
        <v>32</v>
      </c>
      <c r="C160" s="9" t="s">
        <v>30</v>
      </c>
      <c r="D160" s="10">
        <v>48</v>
      </c>
      <c r="E160" s="9" t="s">
        <v>26</v>
      </c>
      <c r="F160" s="10">
        <v>0.8</v>
      </c>
      <c r="G160" s="10">
        <v>48</v>
      </c>
      <c r="H160" s="10">
        <v>1</v>
      </c>
      <c r="I160" s="10">
        <v>3</v>
      </c>
      <c r="J160" s="10">
        <v>0.8</v>
      </c>
      <c r="K160" s="10">
        <v>0.2</v>
      </c>
      <c r="L160" s="11"/>
      <c r="M160" s="11"/>
      <c r="N160" s="11"/>
      <c r="O160" s="11"/>
      <c r="P160" s="11"/>
      <c r="Q160" s="11"/>
      <c r="R160" s="12" t="str">
        <f t="shared" si="16"/>
        <v/>
      </c>
      <c r="S160" s="12" t="str">
        <f t="shared" si="17"/>
        <v/>
      </c>
      <c r="T160" s="12" t="str">
        <f>IF(COUNT(R160:S160)=2,AVERAGE(R160:S160),"")</f>
      </c>
      <c r="U160" s="11"/>
      <c r="V160" s="11"/>
      <c r="W160" s="12" t="str">
        <f t="shared" si="19"/>
        <v/>
      </c>
      <c r="X160" s="12" t="str">
        <f t="shared" si="20"/>
        <v/>
      </c>
      <c r="Y160" s="12" t="str">
        <f>IF(COUNT(W160:X160)=2,AVERAGE(W160:X160),"")</f>
      </c>
      <c r="Z160" s="13" t="str">
        <f>IF(COUNT(L160:O160)+COUNT(U160:V160)&lt;6,"待导师填写",IF(AND(L160&gt;=0,M160&lt;=1,N160&gt;=0,O160&lt;=1,U160&gt;=0,V160&lt;=1,L160&lt;=M160,N160&lt;=O160,U160&lt;=V160,R160&lt;=S160,W160&lt;=X160,T160&gt;=1),"通过","检查"))</f>
      </c>
      <c r="AA160" s="14" t="s">
        <v>33</v>
      </c>
    </row>
    <row r="161" ht="31" customHeight="1" spans="1:27">
      <c r="A161" s="9"/>
      <c r="B161" s="9" t="s">
        <v>32</v>
      </c>
      <c r="C161" s="9" t="s">
        <v>30</v>
      </c>
      <c r="D161" s="10">
        <v>52</v>
      </c>
      <c r="E161" s="9" t="s">
        <v>26</v>
      </c>
      <c r="F161" s="10">
        <v>0.8</v>
      </c>
      <c r="G161" s="10">
        <v>52</v>
      </c>
      <c r="H161" s="10">
        <v>1</v>
      </c>
      <c r="I161" s="10">
        <v>3</v>
      </c>
      <c r="J161" s="10">
        <v>0.8</v>
      </c>
      <c r="K161" s="10">
        <v>0.2</v>
      </c>
      <c r="L161" s="11"/>
      <c r="M161" s="11"/>
      <c r="N161" s="11"/>
      <c r="O161" s="11"/>
      <c r="P161" s="11"/>
      <c r="Q161" s="11"/>
      <c r="R161" s="12" t="str">
        <f t="shared" si="16"/>
        <v/>
      </c>
      <c r="S161" s="12" t="str">
        <f t="shared" si="17"/>
        <v/>
      </c>
      <c r="T161" s="12" t="str">
        <f>IF(COUNT(R161:S161)=2,AVERAGE(R161:S161),"")</f>
      </c>
      <c r="U161" s="11"/>
      <c r="V161" s="11"/>
      <c r="W161" s="12" t="str">
        <f t="shared" si="19"/>
        <v/>
      </c>
      <c r="X161" s="12" t="str">
        <f t="shared" si="20"/>
        <v/>
      </c>
      <c r="Y161" s="12" t="str">
        <f>IF(COUNT(W161:X161)=2,AVERAGE(W161:X161),"")</f>
      </c>
      <c r="Z161" s="13" t="str">
        <f>IF(COUNT(L161:O161)+COUNT(U161:V161)&lt;6,"待导师填写",IF(AND(L161&gt;=0,M161&lt;=1,N161&gt;=0,O161&lt;=1,U161&gt;=0,V161&lt;=1,L161&lt;=M161,N161&lt;=O161,U161&lt;=V161,R161&lt;=S161,W161&lt;=X161,T161&gt;=1),"通过","检查"))</f>
      </c>
      <c r="AA161" s="14" t="s">
        <v>33</v>
      </c>
    </row>
    <row r="162" ht="31" customHeight="1" spans="1:27">
      <c r="A162" s="9"/>
      <c r="B162" s="9" t="s">
        <v>32</v>
      </c>
      <c r="C162" s="9" t="s">
        <v>30</v>
      </c>
      <c r="D162" s="10">
        <v>8</v>
      </c>
      <c r="E162" s="9" t="s">
        <v>26</v>
      </c>
      <c r="F162" s="10">
        <v>0.9</v>
      </c>
      <c r="G162" s="10">
        <v>8</v>
      </c>
      <c r="H162" s="10">
        <v>1</v>
      </c>
      <c r="I162" s="10">
        <v>3</v>
      </c>
      <c r="J162" s="10">
        <v>0.9</v>
      </c>
      <c r="K162" s="10">
        <v>0.2</v>
      </c>
      <c r="L162" s="11"/>
      <c r="M162" s="11"/>
      <c r="N162" s="11"/>
      <c r="O162" s="11"/>
      <c r="P162" s="11"/>
      <c r="Q162" s="11"/>
      <c r="R162" s="12" t="str">
        <f t="shared" si="16"/>
        <v/>
      </c>
      <c r="S162" s="12" t="str">
        <f t="shared" si="17"/>
        <v/>
      </c>
      <c r="T162" s="12" t="str">
        <f>IF(COUNT(R162:S162)=2,AVERAGE(R162:S162),"")</f>
      </c>
      <c r="U162" s="11"/>
      <c r="V162" s="11"/>
      <c r="W162" s="12" t="str">
        <f t="shared" si="19"/>
        <v/>
      </c>
      <c r="X162" s="12" t="str">
        <f t="shared" si="20"/>
        <v/>
      </c>
      <c r="Y162" s="12" t="str">
        <f>IF(COUNT(W162:X162)=2,AVERAGE(W162:X162),"")</f>
      </c>
      <c r="Z162" s="13" t="str">
        <f>IF(COUNT(L162:O162)+COUNT(U162:V162)&lt;6,"待导师填写",IF(AND(L162&gt;=0,M162&lt;=1,N162&gt;=0,O162&lt;=1,U162&gt;=0,V162&lt;=1,L162&lt;=M162,N162&lt;=O162,U162&lt;=V162,R162&lt;=S162,W162&lt;=X162,T162&gt;=1),"通过","检查"))</f>
      </c>
      <c r="AA162" s="14" t="s">
        <v>33</v>
      </c>
    </row>
    <row r="163" ht="31" customHeight="1" spans="1:27">
      <c r="A163" s="9"/>
      <c r="B163" s="9" t="s">
        <v>32</v>
      </c>
      <c r="C163" s="9" t="s">
        <v>30</v>
      </c>
      <c r="D163" s="10">
        <v>12</v>
      </c>
      <c r="E163" s="9" t="s">
        <v>26</v>
      </c>
      <c r="F163" s="10">
        <v>0.9</v>
      </c>
      <c r="G163" s="10">
        <v>12</v>
      </c>
      <c r="H163" s="10">
        <v>1</v>
      </c>
      <c r="I163" s="10">
        <v>3</v>
      </c>
      <c r="J163" s="10">
        <v>0.9</v>
      </c>
      <c r="K163" s="10">
        <v>0.2</v>
      </c>
      <c r="L163" s="11"/>
      <c r="M163" s="11"/>
      <c r="N163" s="11"/>
      <c r="O163" s="11"/>
      <c r="P163" s="11"/>
      <c r="Q163" s="11"/>
      <c r="R163" s="12" t="str">
        <f t="shared" si="16"/>
        <v/>
      </c>
      <c r="S163" s="12" t="str">
        <f t="shared" si="17"/>
        <v/>
      </c>
      <c r="T163" s="12" t="str">
        <f>IF(COUNT(R163:S163)=2,AVERAGE(R163:S163),"")</f>
      </c>
      <c r="U163" s="11"/>
      <c r="V163" s="11"/>
      <c r="W163" s="12" t="str">
        <f t="shared" si="19"/>
        <v/>
      </c>
      <c r="X163" s="12" t="str">
        <f t="shared" si="20"/>
        <v/>
      </c>
      <c r="Y163" s="12" t="str">
        <f>IF(COUNT(W163:X163)=2,AVERAGE(W163:X163),"")</f>
      </c>
      <c r="Z163" s="13" t="str">
        <f>IF(COUNT(L163:O163)+COUNT(U163:V163)&lt;6,"待导师填写",IF(AND(L163&gt;=0,M163&lt;=1,N163&gt;=0,O163&lt;=1,U163&gt;=0,V163&lt;=1,L163&lt;=M163,N163&lt;=O163,U163&lt;=V163,R163&lt;=S163,W163&lt;=X163,T163&gt;=1),"通过","检查"))</f>
      </c>
      <c r="AA163" s="14" t="s">
        <v>33</v>
      </c>
    </row>
    <row r="164" ht="31" customHeight="1" spans="1:27">
      <c r="A164" s="9"/>
      <c r="B164" s="9" t="s">
        <v>32</v>
      </c>
      <c r="C164" s="9" t="s">
        <v>30</v>
      </c>
      <c r="D164" s="10">
        <v>16</v>
      </c>
      <c r="E164" s="9" t="s">
        <v>26</v>
      </c>
      <c r="F164" s="10">
        <v>0.9</v>
      </c>
      <c r="G164" s="10">
        <v>16</v>
      </c>
      <c r="H164" s="10">
        <v>1</v>
      </c>
      <c r="I164" s="10">
        <v>3</v>
      </c>
      <c r="J164" s="10">
        <v>0.9</v>
      </c>
      <c r="K164" s="10">
        <v>0.2</v>
      </c>
      <c r="L164" s="11"/>
      <c r="M164" s="11"/>
      <c r="N164" s="11"/>
      <c r="O164" s="11"/>
      <c r="P164" s="11"/>
      <c r="Q164" s="11"/>
      <c r="R164" s="12" t="str">
        <f t="shared" si="16"/>
        <v/>
      </c>
      <c r="S164" s="12" t="str">
        <f t="shared" si="17"/>
        <v/>
      </c>
      <c r="T164" s="12" t="str">
        <f>IF(COUNT(R164:S164)=2,AVERAGE(R164:S164),"")</f>
      </c>
      <c r="U164" s="11"/>
      <c r="V164" s="11"/>
      <c r="W164" s="12" t="str">
        <f t="shared" si="19"/>
        <v/>
      </c>
      <c r="X164" s="12" t="str">
        <f t="shared" si="20"/>
        <v/>
      </c>
      <c r="Y164" s="12" t="str">
        <f>IF(COUNT(W164:X164)=2,AVERAGE(W164:X164),"")</f>
      </c>
      <c r="Z164" s="13" t="str">
        <f>IF(COUNT(L164:O164)+COUNT(U164:V164)&lt;6,"待导师填写",IF(AND(L164&gt;=0,M164&lt;=1,N164&gt;=0,O164&lt;=1,U164&gt;=0,V164&lt;=1,L164&lt;=M164,N164&lt;=O164,U164&lt;=V164,R164&lt;=S164,W164&lt;=X164,T164&gt;=1),"通过","检查"))</f>
      </c>
      <c r="AA164" s="14" t="s">
        <v>33</v>
      </c>
    </row>
    <row r="165" ht="31" customHeight="1" spans="1:27">
      <c r="A165" s="9"/>
      <c r="B165" s="9" t="s">
        <v>32</v>
      </c>
      <c r="C165" s="9" t="s">
        <v>30</v>
      </c>
      <c r="D165" s="10">
        <v>20</v>
      </c>
      <c r="E165" s="9" t="s">
        <v>26</v>
      </c>
      <c r="F165" s="10">
        <v>0.9</v>
      </c>
      <c r="G165" s="10">
        <v>20</v>
      </c>
      <c r="H165" s="10">
        <v>1</v>
      </c>
      <c r="I165" s="10">
        <v>3</v>
      </c>
      <c r="J165" s="10">
        <v>0.9</v>
      </c>
      <c r="K165" s="10">
        <v>0.2</v>
      </c>
      <c r="L165" s="11"/>
      <c r="M165" s="11"/>
      <c r="N165" s="11"/>
      <c r="O165" s="11"/>
      <c r="P165" s="11"/>
      <c r="Q165" s="11"/>
      <c r="R165" s="12" t="str">
        <f t="shared" si="16"/>
        <v/>
      </c>
      <c r="S165" s="12" t="str">
        <f t="shared" si="17"/>
        <v/>
      </c>
      <c r="T165" s="12" t="str">
        <f>IF(COUNT(R165:S165)=2,AVERAGE(R165:S165),"")</f>
      </c>
      <c r="U165" s="11"/>
      <c r="V165" s="11"/>
      <c r="W165" s="12" t="str">
        <f t="shared" si="19"/>
        <v/>
      </c>
      <c r="X165" s="12" t="str">
        <f t="shared" si="20"/>
        <v/>
      </c>
      <c r="Y165" s="12" t="str">
        <f>IF(COUNT(W165:X165)=2,AVERAGE(W165:X165),"")</f>
      </c>
      <c r="Z165" s="13" t="str">
        <f>IF(COUNT(L165:O165)+COUNT(U165:V165)&lt;6,"待导师填写",IF(AND(L165&gt;=0,M165&lt;=1,N165&gt;=0,O165&lt;=1,U165&gt;=0,V165&lt;=1,L165&lt;=M165,N165&lt;=O165,U165&lt;=V165,R165&lt;=S165,W165&lt;=X165,T165&gt;=1),"通过","检查"))</f>
      </c>
      <c r="AA165" s="14" t="s">
        <v>33</v>
      </c>
    </row>
    <row r="166" ht="31" customHeight="1" spans="1:27">
      <c r="A166" s="9"/>
      <c r="B166" s="9" t="s">
        <v>32</v>
      </c>
      <c r="C166" s="9" t="s">
        <v>30</v>
      </c>
      <c r="D166" s="10">
        <v>24</v>
      </c>
      <c r="E166" s="9" t="s">
        <v>26</v>
      </c>
      <c r="F166" s="10">
        <v>0.9</v>
      </c>
      <c r="G166" s="10">
        <v>24</v>
      </c>
      <c r="H166" s="10">
        <v>1</v>
      </c>
      <c r="I166" s="10">
        <v>3</v>
      </c>
      <c r="J166" s="10">
        <v>0.9</v>
      </c>
      <c r="K166" s="10">
        <v>0.2</v>
      </c>
      <c r="L166" s="11"/>
      <c r="M166" s="11"/>
      <c r="N166" s="11"/>
      <c r="O166" s="11"/>
      <c r="P166" s="11"/>
      <c r="Q166" s="11"/>
      <c r="R166" s="12" t="str">
        <f t="shared" si="16"/>
        <v/>
      </c>
      <c r="S166" s="12" t="str">
        <f t="shared" si="17"/>
        <v/>
      </c>
      <c r="T166" s="12" t="str">
        <f>IF(COUNT(R166:S166)=2,AVERAGE(R166:S166),"")</f>
      </c>
      <c r="U166" s="11"/>
      <c r="V166" s="11"/>
      <c r="W166" s="12" t="str">
        <f t="shared" si="19"/>
        <v/>
      </c>
      <c r="X166" s="12" t="str">
        <f t="shared" si="20"/>
        <v/>
      </c>
      <c r="Y166" s="12" t="str">
        <f>IF(COUNT(W166:X166)=2,AVERAGE(W166:X166),"")</f>
      </c>
      <c r="Z166" s="13" t="str">
        <f>IF(COUNT(L166:O166)+COUNT(U166:V166)&lt;6,"待导师填写",IF(AND(L166&gt;=0,M166&lt;=1,N166&gt;=0,O166&lt;=1,U166&gt;=0,V166&lt;=1,L166&lt;=M166,N166&lt;=O166,U166&lt;=V166,R166&lt;=S166,W166&lt;=X166,T166&gt;=1),"通过","检查"))</f>
      </c>
      <c r="AA166" s="14" t="s">
        <v>33</v>
      </c>
    </row>
    <row r="167" ht="31" customHeight="1" spans="1:27">
      <c r="A167" s="9"/>
      <c r="B167" s="9" t="s">
        <v>32</v>
      </c>
      <c r="C167" s="9" t="s">
        <v>30</v>
      </c>
      <c r="D167" s="10">
        <v>28</v>
      </c>
      <c r="E167" s="9" t="s">
        <v>26</v>
      </c>
      <c r="F167" s="10">
        <v>0.9</v>
      </c>
      <c r="G167" s="10">
        <v>28</v>
      </c>
      <c r="H167" s="10">
        <v>1</v>
      </c>
      <c r="I167" s="10">
        <v>3</v>
      </c>
      <c r="J167" s="10">
        <v>0.9</v>
      </c>
      <c r="K167" s="10">
        <v>0.2</v>
      </c>
      <c r="L167" s="11"/>
      <c r="M167" s="11"/>
      <c r="N167" s="11"/>
      <c r="O167" s="11"/>
      <c r="P167" s="11"/>
      <c r="Q167" s="11"/>
      <c r="R167" s="12" t="str">
        <f t="shared" si="16"/>
        <v/>
      </c>
      <c r="S167" s="12" t="str">
        <f t="shared" si="17"/>
        <v/>
      </c>
      <c r="T167" s="12" t="str">
        <f>IF(COUNT(R167:S167)=2,AVERAGE(R167:S167),"")</f>
      </c>
      <c r="U167" s="11"/>
      <c r="V167" s="11"/>
      <c r="W167" s="12" t="str">
        <f t="shared" si="19"/>
        <v/>
      </c>
      <c r="X167" s="12" t="str">
        <f t="shared" si="20"/>
        <v/>
      </c>
      <c r="Y167" s="12" t="str">
        <f>IF(COUNT(W167:X167)=2,AVERAGE(W167:X167),"")</f>
      </c>
      <c r="Z167" s="13" t="str">
        <f>IF(COUNT(L167:O167)+COUNT(U167:V167)&lt;6,"待导师填写",IF(AND(L167&gt;=0,M167&lt;=1,N167&gt;=0,O167&lt;=1,U167&gt;=0,V167&lt;=1,L167&lt;=M167,N167&lt;=O167,U167&lt;=V167,R167&lt;=S167,W167&lt;=X167,T167&gt;=1),"通过","检查"))</f>
      </c>
      <c r="AA167" s="14" t="s">
        <v>33</v>
      </c>
    </row>
    <row r="168" ht="31" customHeight="1" spans="1:27">
      <c r="A168" s="9"/>
      <c r="B168" s="9" t="s">
        <v>32</v>
      </c>
      <c r="C168" s="9" t="s">
        <v>30</v>
      </c>
      <c r="D168" s="10">
        <v>32</v>
      </c>
      <c r="E168" s="9" t="s">
        <v>26</v>
      </c>
      <c r="F168" s="10">
        <v>0.9</v>
      </c>
      <c r="G168" s="10">
        <v>32</v>
      </c>
      <c r="H168" s="10">
        <v>1</v>
      </c>
      <c r="I168" s="10">
        <v>3</v>
      </c>
      <c r="J168" s="10">
        <v>0.9</v>
      </c>
      <c r="K168" s="10">
        <v>0.2</v>
      </c>
      <c r="L168" s="11"/>
      <c r="M168" s="11"/>
      <c r="N168" s="11"/>
      <c r="O168" s="11"/>
      <c r="P168" s="11"/>
      <c r="Q168" s="11"/>
      <c r="R168" s="12" t="str">
        <f t="shared" si="16"/>
        <v/>
      </c>
      <c r="S168" s="12" t="str">
        <f t="shared" si="17"/>
        <v/>
      </c>
      <c r="T168" s="12" t="str">
        <f>IF(COUNT(R168:S168)=2,AVERAGE(R168:S168),"")</f>
      </c>
      <c r="U168" s="11"/>
      <c r="V168" s="11"/>
      <c r="W168" s="12" t="str">
        <f t="shared" si="19"/>
        <v/>
      </c>
      <c r="X168" s="12" t="str">
        <f t="shared" si="20"/>
        <v/>
      </c>
      <c r="Y168" s="12" t="str">
        <f>IF(COUNT(W168:X168)=2,AVERAGE(W168:X168),"")</f>
      </c>
      <c r="Z168" s="13" t="str">
        <f>IF(COUNT(L168:O168)+COUNT(U168:V168)&lt;6,"待导师填写",IF(AND(L168&gt;=0,M168&lt;=1,N168&gt;=0,O168&lt;=1,U168&gt;=0,V168&lt;=1,L168&lt;=M168,N168&lt;=O168,U168&lt;=V168,R168&lt;=S168,W168&lt;=X168,T168&gt;=1),"通过","检查"))</f>
      </c>
      <c r="AA168" s="14" t="s">
        <v>33</v>
      </c>
    </row>
    <row r="169" ht="31" customHeight="1" spans="1:27">
      <c r="A169" s="9"/>
      <c r="B169" s="9" t="s">
        <v>32</v>
      </c>
      <c r="C169" s="9" t="s">
        <v>30</v>
      </c>
      <c r="D169" s="10">
        <v>36</v>
      </c>
      <c r="E169" s="9" t="s">
        <v>26</v>
      </c>
      <c r="F169" s="10">
        <v>0.9</v>
      </c>
      <c r="G169" s="10">
        <v>36</v>
      </c>
      <c r="H169" s="10">
        <v>1</v>
      </c>
      <c r="I169" s="10">
        <v>3</v>
      </c>
      <c r="J169" s="10">
        <v>0.9</v>
      </c>
      <c r="K169" s="10">
        <v>0.2</v>
      </c>
      <c r="L169" s="11"/>
      <c r="M169" s="11"/>
      <c r="N169" s="11"/>
      <c r="O169" s="11"/>
      <c r="P169" s="11"/>
      <c r="Q169" s="11"/>
      <c r="R169" s="12" t="str">
        <f t="shared" si="16"/>
        <v/>
      </c>
      <c r="S169" s="12" t="str">
        <f t="shared" si="17"/>
        <v/>
      </c>
      <c r="T169" s="12" t="str">
        <f>IF(COUNT(R169:S169)=2,AVERAGE(R169:S169),"")</f>
      </c>
      <c r="U169" s="11"/>
      <c r="V169" s="11"/>
      <c r="W169" s="12" t="str">
        <f t="shared" si="19"/>
        <v/>
      </c>
      <c r="X169" s="12" t="str">
        <f t="shared" si="20"/>
        <v/>
      </c>
      <c r="Y169" s="12" t="str">
        <f>IF(COUNT(W169:X169)=2,AVERAGE(W169:X169),"")</f>
      </c>
      <c r="Z169" s="13" t="str">
        <f>IF(COUNT(L169:O169)+COUNT(U169:V169)&lt;6,"待导师填写",IF(AND(L169&gt;=0,M169&lt;=1,N169&gt;=0,O169&lt;=1,U169&gt;=0,V169&lt;=1,L169&lt;=M169,N169&lt;=O169,U169&lt;=V169,R169&lt;=S169,W169&lt;=X169,T169&gt;=1),"通过","检查"))</f>
      </c>
      <c r="AA169" s="14" t="s">
        <v>33</v>
      </c>
    </row>
    <row r="170" ht="31" customHeight="1" spans="1:27">
      <c r="A170" s="9"/>
      <c r="B170" s="9" t="s">
        <v>32</v>
      </c>
      <c r="C170" s="9" t="s">
        <v>30</v>
      </c>
      <c r="D170" s="10">
        <v>40</v>
      </c>
      <c r="E170" s="9" t="s">
        <v>26</v>
      </c>
      <c r="F170" s="10">
        <v>0.9</v>
      </c>
      <c r="G170" s="10">
        <v>40</v>
      </c>
      <c r="H170" s="10">
        <v>1</v>
      </c>
      <c r="I170" s="10">
        <v>3</v>
      </c>
      <c r="J170" s="10">
        <v>0.9</v>
      </c>
      <c r="K170" s="10">
        <v>0.2</v>
      </c>
      <c r="L170" s="11"/>
      <c r="M170" s="11"/>
      <c r="N170" s="11"/>
      <c r="O170" s="11"/>
      <c r="P170" s="11"/>
      <c r="Q170" s="11"/>
      <c r="R170" s="12" t="str">
        <f t="shared" si="16"/>
        <v/>
      </c>
      <c r="S170" s="12" t="str">
        <f t="shared" si="17"/>
        <v/>
      </c>
      <c r="T170" s="12" t="str">
        <f>IF(COUNT(R170:S170)=2,AVERAGE(R170:S170),"")</f>
      </c>
      <c r="U170" s="11"/>
      <c r="V170" s="11"/>
      <c r="W170" s="12" t="str">
        <f t="shared" si="19"/>
        <v/>
      </c>
      <c r="X170" s="12" t="str">
        <f t="shared" si="20"/>
        <v/>
      </c>
      <c r="Y170" s="12" t="str">
        <f>IF(COUNT(W170:X170)=2,AVERAGE(W170:X170),"")</f>
      </c>
      <c r="Z170" s="13" t="str">
        <f>IF(COUNT(L170:O170)+COUNT(U170:V170)&lt;6,"待导师填写",IF(AND(L170&gt;=0,M170&lt;=1,N170&gt;=0,O170&lt;=1,U170&gt;=0,V170&lt;=1,L170&lt;=M170,N170&lt;=O170,U170&lt;=V170,R170&lt;=S170,W170&lt;=X170,T170&gt;=1),"通过","检查"))</f>
      </c>
      <c r="AA170" s="14" t="s">
        <v>33</v>
      </c>
    </row>
    <row r="171" ht="31" customHeight="1" spans="1:27">
      <c r="A171" s="9"/>
      <c r="B171" s="9" t="s">
        <v>32</v>
      </c>
      <c r="C171" s="9" t="s">
        <v>30</v>
      </c>
      <c r="D171" s="10">
        <v>44</v>
      </c>
      <c r="E171" s="9" t="s">
        <v>26</v>
      </c>
      <c r="F171" s="10">
        <v>0.9</v>
      </c>
      <c r="G171" s="10">
        <v>44</v>
      </c>
      <c r="H171" s="10">
        <v>1</v>
      </c>
      <c r="I171" s="10">
        <v>3</v>
      </c>
      <c r="J171" s="10">
        <v>0.9</v>
      </c>
      <c r="K171" s="10">
        <v>0.2</v>
      </c>
      <c r="L171" s="11"/>
      <c r="M171" s="11"/>
      <c r="N171" s="11"/>
      <c r="O171" s="11"/>
      <c r="P171" s="11"/>
      <c r="Q171" s="11"/>
      <c r="R171" s="12" t="str">
        <f t="shared" si="16"/>
        <v/>
      </c>
      <c r="S171" s="12" t="str">
        <f t="shared" si="17"/>
        <v/>
      </c>
      <c r="T171" s="12" t="str">
        <f>IF(COUNT(R171:S171)=2,AVERAGE(R171:S171),"")</f>
      </c>
      <c r="U171" s="11"/>
      <c r="V171" s="11"/>
      <c r="W171" s="12" t="str">
        <f t="shared" si="19"/>
        <v/>
      </c>
      <c r="X171" s="12" t="str">
        <f t="shared" si="20"/>
        <v/>
      </c>
      <c r="Y171" s="12" t="str">
        <f>IF(COUNT(W171:X171)=2,AVERAGE(W171:X171),"")</f>
      </c>
      <c r="Z171" s="13" t="str">
        <f>IF(COUNT(L171:O171)+COUNT(U171:V171)&lt;6,"待导师填写",IF(AND(L171&gt;=0,M171&lt;=1,N171&gt;=0,O171&lt;=1,U171&gt;=0,V171&lt;=1,L171&lt;=M171,N171&lt;=O171,U171&lt;=V171,R171&lt;=S171,W171&lt;=X171,T171&gt;=1),"通过","检查"))</f>
      </c>
      <c r="AA171" s="14" t="s">
        <v>33</v>
      </c>
    </row>
    <row r="172" ht="31" customHeight="1" spans="1:27">
      <c r="A172" s="9"/>
      <c r="B172" s="9" t="s">
        <v>32</v>
      </c>
      <c r="C172" s="9" t="s">
        <v>30</v>
      </c>
      <c r="D172" s="10">
        <v>48</v>
      </c>
      <c r="E172" s="9" t="s">
        <v>26</v>
      </c>
      <c r="F172" s="10">
        <v>0.9</v>
      </c>
      <c r="G172" s="10">
        <v>48</v>
      </c>
      <c r="H172" s="10">
        <v>1</v>
      </c>
      <c r="I172" s="10">
        <v>3</v>
      </c>
      <c r="J172" s="10">
        <v>0.9</v>
      </c>
      <c r="K172" s="10">
        <v>0.2</v>
      </c>
      <c r="L172" s="11"/>
      <c r="M172" s="11"/>
      <c r="N172" s="11"/>
      <c r="O172" s="11"/>
      <c r="P172" s="11"/>
      <c r="Q172" s="11"/>
      <c r="R172" s="12" t="str">
        <f t="shared" si="16"/>
        <v/>
      </c>
      <c r="S172" s="12" t="str">
        <f t="shared" si="17"/>
        <v/>
      </c>
      <c r="T172" s="12" t="str">
        <f>IF(COUNT(R172:S172)=2,AVERAGE(R172:S172),"")</f>
      </c>
      <c r="U172" s="11"/>
      <c r="V172" s="11"/>
      <c r="W172" s="12" t="str">
        <f t="shared" si="19"/>
        <v/>
      </c>
      <c r="X172" s="12" t="str">
        <f t="shared" si="20"/>
        <v/>
      </c>
      <c r="Y172" s="12" t="str">
        <f>IF(COUNT(W172:X172)=2,AVERAGE(W172:X172),"")</f>
      </c>
      <c r="Z172" s="13" t="str">
        <f>IF(COUNT(L172:O172)+COUNT(U172:V172)&lt;6,"待导师填写",IF(AND(L172&gt;=0,M172&lt;=1,N172&gt;=0,O172&lt;=1,U172&gt;=0,V172&lt;=1,L172&lt;=M172,N172&lt;=O172,U172&lt;=V172,R172&lt;=S172,W172&lt;=X172,T172&gt;=1),"通过","检查"))</f>
      </c>
      <c r="AA172" s="14" t="s">
        <v>33</v>
      </c>
    </row>
    <row r="173" ht="31" customHeight="1" spans="1:27">
      <c r="A173" s="9"/>
      <c r="B173" s="9" t="s">
        <v>32</v>
      </c>
      <c r="C173" s="9" t="s">
        <v>30</v>
      </c>
      <c r="D173" s="10">
        <v>52</v>
      </c>
      <c r="E173" s="9" t="s">
        <v>26</v>
      </c>
      <c r="F173" s="10">
        <v>0.9</v>
      </c>
      <c r="G173" s="10">
        <v>52</v>
      </c>
      <c r="H173" s="10">
        <v>1</v>
      </c>
      <c r="I173" s="10">
        <v>3</v>
      </c>
      <c r="J173" s="10">
        <v>0.9</v>
      </c>
      <c r="K173" s="10">
        <v>0.2</v>
      </c>
      <c r="L173" s="11"/>
      <c r="M173" s="11"/>
      <c r="N173" s="11"/>
      <c r="O173" s="11"/>
      <c r="P173" s="11"/>
      <c r="Q173" s="11"/>
      <c r="R173" s="12" t="str">
        <f t="shared" si="16"/>
        <v/>
      </c>
      <c r="S173" s="12" t="str">
        <f t="shared" si="17"/>
        <v/>
      </c>
      <c r="T173" s="12" t="str">
        <f>IF(COUNT(R173:S173)=2,AVERAGE(R173:S173),"")</f>
      </c>
      <c r="U173" s="11"/>
      <c r="V173" s="11"/>
      <c r="W173" s="12" t="str">
        <f t="shared" si="19"/>
        <v/>
      </c>
      <c r="X173" s="12" t="str">
        <f t="shared" si="20"/>
        <v/>
      </c>
      <c r="Y173" s="12" t="str">
        <f>IF(COUNT(W173:X173)=2,AVERAGE(W173:X173),"")</f>
      </c>
      <c r="Z173" s="13" t="str">
        <f>IF(COUNT(L173:O173)+COUNT(U173:V173)&lt;6,"待导师填写",IF(AND(L173&gt;=0,M173&lt;=1,N173&gt;=0,O173&lt;=1,U173&gt;=0,V173&lt;=1,L173&lt;=M173,N173&lt;=O173,U173&lt;=V173,R173&lt;=S173,W173&lt;=X173,T173&gt;=1),"通过","检查"))</f>
      </c>
      <c r="AA173" s="14" t="s">
        <v>33</v>
      </c>
    </row>
  </sheetData>
  <autoFilter xmlns:etc="http://www.wps.cn/officeDocument/2017/etCustomData" ref="A2:AA173" etc:filterBottomFollowUsedRange="0">
    <extLst/>
  </autoFilter>
  <mergeCells count="1">
    <mergeCell ref="A1:AA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串联多参数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2026-07-13T14:00:00Z</dcterms:created>
  <dcterms:modified xsi:type="dcterms:W3CDTF">2026-07-13T14:17:07Z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9B60ECB3FD364B2BBE0947695484E95D_12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